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4.대회의실,소희의실 정보통신시설 개선공사\"/>
    </mc:Choice>
  </mc:AlternateContent>
  <xr:revisionPtr revIDLastSave="0" documentId="13_ncr:1_{422A362D-91A4-4EE2-87FA-FC273E343F05}" xr6:coauthVersionLast="47" xr6:coauthVersionMax="47" xr10:uidLastSave="{00000000-0000-0000-0000-000000000000}"/>
  <bookViews>
    <workbookView xWindow="-120" yWindow="-120" windowWidth="29040" windowHeight="15720" tabRatio="923" firstSheet="1" activeTab="1" xr2:uid="{00000000-000D-0000-FFFF-FFFF00000000}"/>
  </bookViews>
  <sheets>
    <sheet name="설계예산서" sheetId="231" state="hidden" r:id="rId1"/>
    <sheet name="표지" sheetId="39221" r:id="rId2"/>
    <sheet name="원가계산서" sheetId="39212" r:id="rId3"/>
    <sheet name="설계내역서" sheetId="39107" r:id="rId4"/>
    <sheet name="일위대가표" sheetId="39222" r:id="rId5"/>
    <sheet name="자재단가표" sheetId="39217" r:id="rId6"/>
    <sheet name="노임단가표" sheetId="39220" r:id="rId7"/>
    <sheet name="산출집계표" sheetId="39118" r:id="rId8"/>
    <sheet name="물량내역서" sheetId="39216" r:id="rId9"/>
    <sheet name="구성도" sheetId="39223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</externalReferences>
  <definedNames>
    <definedName name="_" localSheetId="2" hidden="1">#REF!</definedName>
    <definedName name="_" localSheetId="4" hidden="1">#REF!</definedName>
    <definedName name="_" localSheetId="1" hidden="1">#REF!</definedName>
    <definedName name="_" hidden="1">#REF!</definedName>
    <definedName name="___SW2" localSheetId="4" hidden="1">{#N/A,#N/A,FALSE,"전력간선"}</definedName>
    <definedName name="___SW2" localSheetId="1" hidden="1">{#N/A,#N/A,FALSE,"전력간선"}</definedName>
    <definedName name="___SW2" hidden="1">{#N/A,#N/A,FALSE,"전력간선"}</definedName>
    <definedName name="__123Graph_AA" hidden="1">[1]Sheet13!$S$50:$AV$50</definedName>
    <definedName name="__123Graph_AB" hidden="1">[1]Sheet13!$S$51:$AV$51</definedName>
    <definedName name="__123Graph_AC" hidden="1">[1]Sheet13!$S$47:$AV$47</definedName>
    <definedName name="__123Graph_AD" hidden="1">[1]Sheet13!$O$64:$O$131</definedName>
    <definedName name="__123Graph_AE" hidden="1">[1]Sheet13!$O$131:$O$201</definedName>
    <definedName name="__123Graph_AF" hidden="1">[1]Sheet13!$O$202:$O$271</definedName>
    <definedName name="__123Graph_AG" hidden="1">[1]Sheet13!$O$272:$O$341</definedName>
    <definedName name="__123Graph_XA" hidden="1">[1]Sheet13!$S$48:$AV$48</definedName>
    <definedName name="__123Graph_XB" hidden="1">[1]Sheet13!$S$48:$AV$48</definedName>
    <definedName name="__123Graph_XC" hidden="1">[1]Sheet13!$S$48:$AV$48</definedName>
    <definedName name="__123Graph_XD" hidden="1">[1]Sheet13!$N$64:$N$131</definedName>
    <definedName name="__123Graph_XE" hidden="1">[1]Sheet13!$N$131:$N$201</definedName>
    <definedName name="__123Graph_XF" hidden="1">[1]Sheet13!$N$202:$N$271</definedName>
    <definedName name="__123Graph_XG" hidden="1">[1]Sheet13!$N$272:$N$341</definedName>
    <definedName name="__q45" localSheetId="4" hidden="1">{"'용역비'!$A$4:$C$8"}</definedName>
    <definedName name="__q45" localSheetId="1" hidden="1">{"'용역비'!$A$4:$C$8"}</definedName>
    <definedName name="__q45" hidden="1">{"'용역비'!$A$4:$C$8"}</definedName>
    <definedName name="_1._PANEL_BD.__LP___1">#REF!</definedName>
    <definedName name="_1.05gb_nonplug_drive" localSheetId="1">[2]Supplement2!#REF!</definedName>
    <definedName name="_1.05gb_nonplug_drive">[2]Supplement2!#REF!</definedName>
    <definedName name="_1.05gb_plug_drive" localSheetId="1">[2]Supplement2!#REF!</definedName>
    <definedName name="_1.05gb_plug_drive">[2]Supplement2!#REF!</definedName>
    <definedName name="_1_??±?????³?¿ª" localSheetId="4">#REF!</definedName>
    <definedName name="_1_??±?????³?¿ª" localSheetId="1">#REF!</definedName>
    <definedName name="_1_??±?????³?¿ª">#REF!</definedName>
    <definedName name="_1´ÜÀ§°ø·_1" localSheetId="4">'[3]일위(PN)'!#REF!</definedName>
    <definedName name="_1´ÜÀ§°ø·_1" localSheetId="1">'[3]일위(PN)'!#REF!</definedName>
    <definedName name="_1´ÜÀ§°ø·_1">'[3]일위(PN)'!#REF!</definedName>
    <definedName name="_10_3_0Crite" localSheetId="2">#REF!</definedName>
    <definedName name="_10´ÜÀ§°ø·_16" localSheetId="4">#REF!</definedName>
    <definedName name="_10´ÜÀ§°ø·_16" localSheetId="1">#REF!</definedName>
    <definedName name="_10´ÜÀ§°ø·_16">#REF!</definedName>
    <definedName name="_10´ÜÀ§°ø·_2" localSheetId="4">'[3]일위(PN)'!#REF!</definedName>
    <definedName name="_10´ÜÀ§°ø·_2" localSheetId="1">'[3]일위(PN)'!#REF!</definedName>
    <definedName name="_10´ÜÀ§°ø·_2">'[3]일위(PN)'!#REF!</definedName>
    <definedName name="_11´ÜÀ§°ø·_17" localSheetId="4">#REF!</definedName>
    <definedName name="_11´ÜÀ§°ø·_17" localSheetId="1">#REF!</definedName>
    <definedName name="_11´ÜÀ§°ø·_17">#REF!</definedName>
    <definedName name="_11´ÜÀ§°ø·_3" localSheetId="4">'[3]일위(PN)'!#REF!</definedName>
    <definedName name="_11´ÜÀ§°ø·_3" localSheetId="1">'[3]일위(PN)'!#REF!</definedName>
    <definedName name="_11´ÜÀ§°ø·_3">'[3]일위(PN)'!#REF!</definedName>
    <definedName name="_12_3_0Crite" localSheetId="4">#REF!</definedName>
    <definedName name="_12_3_0Crite" localSheetId="1">#REF!</definedName>
    <definedName name="_12_3_0Crite">#REF!</definedName>
    <definedName name="_12´ÜÀ§°ø·_2" localSheetId="4">'[4]일위(PN)'!#REF!</definedName>
    <definedName name="_12´ÜÀ§°ø·_2" localSheetId="1">'[4]일위(PN)'!#REF!</definedName>
    <definedName name="_12´ÜÀ§°ø·_2">'[4]일위(PN)'!#REF!</definedName>
    <definedName name="_12´ÜÀ§°ø·_4" localSheetId="4">#REF!</definedName>
    <definedName name="_12´ÜÀ§°ø·_4" localSheetId="1">#REF!</definedName>
    <definedName name="_12´ÜÀ§°ø·_4">#REF!</definedName>
    <definedName name="_13´ÜÀ§°ø·_3" localSheetId="4">'[4]일위(PN)'!#REF!</definedName>
    <definedName name="_13´ÜÀ§°ø·_3" localSheetId="1">'[4]일위(PN)'!#REF!</definedName>
    <definedName name="_13´ÜÀ§°ø·_3">'[4]일위(PN)'!#REF!</definedName>
    <definedName name="_13´ÜÀ§°ø·_5" localSheetId="4">#REF!</definedName>
    <definedName name="_13´ÜÀ§°ø·_5" localSheetId="1">#REF!</definedName>
    <definedName name="_13´ÜÀ§°ø·_5">#REF!</definedName>
    <definedName name="_14_3_0Criteria" localSheetId="2">#REF!</definedName>
    <definedName name="_14´ÜÀ§°ø·_4" localSheetId="4">#REF!</definedName>
    <definedName name="_14´ÜÀ§°ø·_4">#REF!</definedName>
    <definedName name="_14´ÜÀ§°ø·_6" localSheetId="4">#REF!</definedName>
    <definedName name="_14´ÜÀ§°ø·_6">#REF!</definedName>
    <definedName name="_15´ÜÀ§°ø·_5" localSheetId="4">#REF!</definedName>
    <definedName name="_15´ÜÀ§°ø·_5">#REF!</definedName>
    <definedName name="_15´ÜÀ§°ø·_7" localSheetId="4">#REF!</definedName>
    <definedName name="_15´ÜÀ§°ø·_7">#REF!</definedName>
    <definedName name="_15A">[5]설치공사!$D$3:$D$10</definedName>
    <definedName name="_16_3_0Criteria" localSheetId="4">#REF!</definedName>
    <definedName name="_16_3_0Criteria" localSheetId="1">#REF!</definedName>
    <definedName name="_16_3_0Criteria">#REF!</definedName>
    <definedName name="_16´ÜÀ§°ø·_6" localSheetId="4">#REF!</definedName>
    <definedName name="_16´ÜÀ§°ø·_6">#REF!</definedName>
    <definedName name="_16´ÜÀ§°ø·_8" localSheetId="4">#REF!</definedName>
    <definedName name="_16´ÜÀ§°ø·_8">#REF!</definedName>
    <definedName name="_17´ÜÀ§°ø·_7" localSheetId="4">#REF!</definedName>
    <definedName name="_17´ÜÀ§°ø·_7">#REF!</definedName>
    <definedName name="_17´ÜÀ§°ø·_9" localSheetId="4">#REF!</definedName>
    <definedName name="_17´ÜÀ§°ø·_9">#REF!</definedName>
    <definedName name="_18_0" localSheetId="4">'[6]YES-T'!#REF!</definedName>
    <definedName name="_18_0">'[6]YES-T'!#REF!</definedName>
    <definedName name="_18´ÜÀ§°ø·_8" localSheetId="4">#REF!</definedName>
    <definedName name="_18´ÜÀ§°ø·_8" localSheetId="1">#REF!</definedName>
    <definedName name="_18´ÜÀ§°ø·_8">#REF!</definedName>
    <definedName name="_18G_0Extr" localSheetId="2">#REF!</definedName>
    <definedName name="_19´ÜÀ§°ø·_9" localSheetId="4">#REF!</definedName>
    <definedName name="_19´ÜÀ§°ø·_9">#REF!</definedName>
    <definedName name="_2.1gb_fastwide_plug_drive" localSheetId="4">[2]Supplement2!#REF!</definedName>
    <definedName name="_2.1gb_fastwide_plug_drive">[2]Supplement2!#REF!</definedName>
    <definedName name="_2.1gb_nonplug_drive" localSheetId="4">[2]Supplement2!#REF!</definedName>
    <definedName name="_2.1gb_nonplug_drive">[2]Supplement2!#REF!</definedName>
    <definedName name="_2.1gb_plug_drive" localSheetId="4">[2]Supplement2!#REF!</definedName>
    <definedName name="_2.1gb_plug_drive">[2]Supplement2!#REF!</definedName>
    <definedName name="_2´ÜÀ§°ø·_10" localSheetId="4">#REF!</definedName>
    <definedName name="_2´ÜÀ§°ø·_10" localSheetId="1">#REF!</definedName>
    <definedName name="_2´ÜÀ§°ø·_10">#REF!</definedName>
    <definedName name="_20_0_0_F" localSheetId="4" hidden="1">#REF!</definedName>
    <definedName name="_20_0_0_F" localSheetId="1" hidden="1">#REF!</definedName>
    <definedName name="_20_0_0_F" hidden="1">#REF!</definedName>
    <definedName name="_20_3_0Crite" localSheetId="4">#REF!</definedName>
    <definedName name="_20_3_0Crite">#REF!</definedName>
    <definedName name="_20G_0Extr" localSheetId="4">#REF!</definedName>
    <definedName name="_20G_0Extr">#REF!</definedName>
    <definedName name="_21_3_0Crite" localSheetId="4">#REF!</definedName>
    <definedName name="_21_3_0Crite">#REF!</definedName>
    <definedName name="_22_3_0Criteria" localSheetId="4">#REF!</definedName>
    <definedName name="_22_3_0Criteria">#REF!</definedName>
    <definedName name="_22G_0Extract" localSheetId="2">#REF!</definedName>
    <definedName name="_23_3__Crite" localSheetId="4">#REF!</definedName>
    <definedName name="_23_3__Crite">#REF!</definedName>
    <definedName name="_23_3_0Criteria" localSheetId="4">#REF!</definedName>
    <definedName name="_23_3_0Criteria">#REF!</definedName>
    <definedName name="_24_3__Criteria" localSheetId="4">#REF!</definedName>
    <definedName name="_24_3__Criteria">#REF!</definedName>
    <definedName name="_24_3_0Criteria" localSheetId="4">#REF!</definedName>
    <definedName name="_24_3_0Criteria">#REF!</definedName>
    <definedName name="_24G_0Extract" localSheetId="4">#REF!</definedName>
    <definedName name="_24G_0Extract">#REF!</definedName>
    <definedName name="_25Àü±â_êÃâ³_¿ª" localSheetId="4">#REF!</definedName>
    <definedName name="_25Àü±â_êÃâ³_¿ª">#REF!</definedName>
    <definedName name="_25단" localSheetId="4">#REF!</definedName>
    <definedName name="_25단">#REF!</definedName>
    <definedName name="_26A001_" localSheetId="4">[7]Sheet1!#REF!</definedName>
    <definedName name="_26A001_">[7]Sheet1!#REF!</definedName>
    <definedName name="_26G_0Extr" localSheetId="4">#REF!</definedName>
    <definedName name="_26G_0Extr" localSheetId="1">#REF!</definedName>
    <definedName name="_26G_0Extr">#REF!</definedName>
    <definedName name="_27A1_" localSheetId="4">[7]Sheet1!#REF!</definedName>
    <definedName name="_27A1_" localSheetId="1">[7]Sheet1!#REF!</definedName>
    <definedName name="_27A1_">[7]Sheet1!#REF!</definedName>
    <definedName name="_27G_0Extr" localSheetId="4">#REF!</definedName>
    <definedName name="_27G_0Extr" localSheetId="1">#REF!</definedName>
    <definedName name="_27G_0Extr">#REF!</definedName>
    <definedName name="_28Àü±â_êÃâ³_¿ª" localSheetId="4">#REF!</definedName>
    <definedName name="_28Àü±â_êÃâ³_¿ª" localSheetId="1">#REF!</definedName>
    <definedName name="_28Àü±â_êÃâ³_¿ª">#REF!</definedName>
    <definedName name="_28G_0Extract" localSheetId="4">#REF!</definedName>
    <definedName name="_28G_0Extract">#REF!</definedName>
    <definedName name="_29G_0Extr" localSheetId="4">#REF!</definedName>
    <definedName name="_29G_0Extr">#REF!</definedName>
    <definedName name="_29G_0Extract" localSheetId="4">#REF!</definedName>
    <definedName name="_29G_0Extract">#REF!</definedName>
    <definedName name="_2F" localSheetId="4" hidden="1">#REF!</definedName>
    <definedName name="_2F" hidden="1">#REF!</definedName>
    <definedName name="_3" localSheetId="4">#REF!</definedName>
    <definedName name="_3">#REF!</definedName>
    <definedName name="_3_0_S" localSheetId="2" hidden="1">#REF!</definedName>
    <definedName name="_3´ÜÀ§°ø·_1" localSheetId="4">'[4]일위(PN)'!#REF!</definedName>
    <definedName name="_3´ÜÀ§°ø·_1">'[4]일위(PN)'!#REF!</definedName>
    <definedName name="_3´ÜÀ§°ø·_11" localSheetId="4">#REF!</definedName>
    <definedName name="_3´ÜÀ§°ø·_11" localSheetId="1">#REF!</definedName>
    <definedName name="_3´ÜÀ§°ø·_11">#REF!</definedName>
    <definedName name="_30G_0Extract" localSheetId="4">#REF!</definedName>
    <definedName name="_30G_0Extract" localSheetId="1">#REF!</definedName>
    <definedName name="_30G_0Extract">#REF!</definedName>
    <definedName name="_30단" localSheetId="4">#REF!</definedName>
    <definedName name="_30단">#REF!</definedName>
    <definedName name="_31G__Extr" localSheetId="4">#REF!</definedName>
    <definedName name="_31G__Extr">#REF!</definedName>
    <definedName name="_32G__Extract" localSheetId="4">#REF!</definedName>
    <definedName name="_32G__Extract">#REF!</definedName>
    <definedName name="_32mb_70nsmemory" localSheetId="4">[2]Supplement2!#REF!</definedName>
    <definedName name="_32mb_70nsmemory">[2]Supplement2!#REF!</definedName>
    <definedName name="_33M1_" localSheetId="4">[7]Sheet1!#REF!</definedName>
    <definedName name="_33M1_">[7]Sheet1!#REF!</definedName>
    <definedName name="_34M5_" localSheetId="4">[7]Sheet1!#REF!</definedName>
    <definedName name="_34M5_">[7]Sheet1!#REF!</definedName>
    <definedName name="_35_0_0_F" localSheetId="4" hidden="1">#REF!</definedName>
    <definedName name="_35_0_0_F" localSheetId="1" hidden="1">#REF!</definedName>
    <definedName name="_35_0_0_F" hidden="1">#REF!</definedName>
    <definedName name="_35M6_" localSheetId="4">[7]Sheet1!#REF!</definedName>
    <definedName name="_35M6_" localSheetId="1">[7]Sheet1!#REF!</definedName>
    <definedName name="_35M6_">[7]Sheet1!#REF!</definedName>
    <definedName name="_36N3_" localSheetId="4">[7]Sheet1!#REF!</definedName>
    <definedName name="_36N3_" localSheetId="1">[7]Sheet1!#REF!</definedName>
    <definedName name="_36N3_">[7]Sheet1!#REF!</definedName>
    <definedName name="_37p1_" localSheetId="4">#REF!</definedName>
    <definedName name="_37p1_" localSheetId="1">#REF!</definedName>
    <definedName name="_37p1_">#REF!</definedName>
    <definedName name="_3F" localSheetId="4" hidden="1">#REF!</definedName>
    <definedName name="_3F" hidden="1">#REF!</definedName>
    <definedName name="_４._설___비____공___사" localSheetId="4">#REF!</definedName>
    <definedName name="_４._설___비____공___사">#REF!</definedName>
    <definedName name="_4.3gb_fastwide_plug_drive" localSheetId="4">[2]Supplement2!#REF!</definedName>
    <definedName name="_4.3gb_fastwide_plug_drive">[2]Supplement2!#REF!</definedName>
    <definedName name="_4.3gb_nonplug_drive" localSheetId="4">[2]Supplement2!#REF!</definedName>
    <definedName name="_4.3gb_nonplug_drive">[2]Supplement2!#REF!</definedName>
    <definedName name="_4_0_S" localSheetId="2" hidden="1">#REF!</definedName>
    <definedName name="_4´ÜÀ§°ø·_10" localSheetId="4">#REF!</definedName>
    <definedName name="_4´ÜÀ§°ø·_10" localSheetId="1">#REF!</definedName>
    <definedName name="_4´ÜÀ§°ø·_10">#REF!</definedName>
    <definedName name="_4´ÜÀ§°ø·_12" localSheetId="4">#REF!</definedName>
    <definedName name="_4´ÜÀ§°ø·_12" localSheetId="1">#REF!</definedName>
    <definedName name="_4´ÜÀ§°ø·_12">#REF!</definedName>
    <definedName name="_5´ÜÀ§°ø·_11" localSheetId="4">#REF!</definedName>
    <definedName name="_5´ÜÀ§°ø·_11">#REF!</definedName>
    <definedName name="_5´ÜÀ§°ø·_13" localSheetId="4">#REF!</definedName>
    <definedName name="_5´ÜÀ§°ø·_13">#REF!</definedName>
    <definedName name="_535mb_nonplug_drive" localSheetId="4">[2]Supplement2!#REF!</definedName>
    <definedName name="_535mb_nonplug_drive">[2]Supplement2!#REF!</definedName>
    <definedName name="_6´ÜÀ§°ø·_12" localSheetId="4">#REF!</definedName>
    <definedName name="_6´ÜÀ§°ø·_12" localSheetId="1">#REF!</definedName>
    <definedName name="_6´ÜÀ§°ø·_12">#REF!</definedName>
    <definedName name="_6´ÜÀ§°ø·_14" localSheetId="4">#REF!</definedName>
    <definedName name="_6´ÜÀ§°ø·_14">#REF!</definedName>
    <definedName name="_7_0_S" localSheetId="4" hidden="1">#REF!</definedName>
    <definedName name="_7_0_S" hidden="1">#REF!</definedName>
    <definedName name="_7´ÜÀ§°ø·_13" localSheetId="4">#REF!</definedName>
    <definedName name="_7´ÜÀ§°ø·_13">#REF!</definedName>
    <definedName name="_7´ÜÀ§°ø·_15" localSheetId="4">#REF!</definedName>
    <definedName name="_7´ÜÀ§°ø·_15">#REF!</definedName>
    <definedName name="_8_0_S" localSheetId="4" hidden="1">#REF!</definedName>
    <definedName name="_8_0_S" hidden="1">#REF!</definedName>
    <definedName name="_8´ÜÀ§°ø·_14" localSheetId="4">#REF!</definedName>
    <definedName name="_8´ÜÀ§°ø·_14">#REF!</definedName>
    <definedName name="_8´ÜÀ§°ø·_16" localSheetId="4">#REF!</definedName>
    <definedName name="_8´ÜÀ§°ø·_16">#REF!</definedName>
    <definedName name="_8mb_70nsmemory" localSheetId="4">[2]Supplement2!#REF!</definedName>
    <definedName name="_8mb_70nsmemory">[2]Supplement2!#REF!</definedName>
    <definedName name="_9´ÜÀ§°ø·_15" localSheetId="4">#REF!</definedName>
    <definedName name="_9´ÜÀ§°ø·_15" localSheetId="1">#REF!</definedName>
    <definedName name="_9´ÜÀ§°ø·_15">#REF!</definedName>
    <definedName name="_9´ÜÀ§°ø·_17" localSheetId="4">#REF!</definedName>
    <definedName name="_9´ÜÀ§°ø·_17" localSheetId="1">#REF!</definedName>
    <definedName name="_9´ÜÀ§°ø·_17">#REF!</definedName>
    <definedName name="_A" localSheetId="4">#REF!</definedName>
    <definedName name="_A">#REF!</definedName>
    <definedName name="_aab42" localSheetId="4">#REF!</definedName>
    <definedName name="_aab42">#REF!</definedName>
    <definedName name="_b1" localSheetId="4">#REF!</definedName>
    <definedName name="_b1">#REF!</definedName>
    <definedName name="_b2" localSheetId="4">#REF!</definedName>
    <definedName name="_b2">#REF!</definedName>
    <definedName name="_B22">[8]일위대가!$A$1400:$IV$1413=[8]일위대가!$A$1400</definedName>
    <definedName name="_bb1" localSheetId="4">#REF!</definedName>
    <definedName name="_bb1" localSheetId="1">#REF!</definedName>
    <definedName name="_bb1">#REF!</definedName>
    <definedName name="_bb2" localSheetId="4">#REF!</definedName>
    <definedName name="_bb2" localSheetId="1">#REF!</definedName>
    <definedName name="_bb2">#REF!</definedName>
    <definedName name="_dia300" localSheetId="4">[9]대로근거!#REF!</definedName>
    <definedName name="_dia300" localSheetId="1">[9]대로근거!#REF!</definedName>
    <definedName name="_dia300">[9]대로근거!#REF!</definedName>
    <definedName name="_dia350" localSheetId="4">[9]대로근거!#REF!</definedName>
    <definedName name="_dia350" localSheetId="1">[9]대로근거!#REF!</definedName>
    <definedName name="_dia350">[9]대로근거!#REF!</definedName>
    <definedName name="_Dist_Bin" localSheetId="2" hidden="1">#REF!</definedName>
    <definedName name="_Dist_Bin" localSheetId="4" hidden="1">#REF!</definedName>
    <definedName name="_Dist_Bin" localSheetId="1" hidden="1">#REF!</definedName>
    <definedName name="_Dist_Bin" hidden="1">#REF!</definedName>
    <definedName name="_Dist_Values" localSheetId="4" hidden="1">[10]표준건축비!#REF!</definedName>
    <definedName name="_Dist_Values" localSheetId="1" hidden="1">[11]표준건축비!#REF!</definedName>
    <definedName name="_Dist_Values" hidden="1">[10]표준건축비!#REF!</definedName>
    <definedName name="_DOG1" localSheetId="4">#REF!</definedName>
    <definedName name="_DOG1" localSheetId="1">#REF!</definedName>
    <definedName name="_DOG1">#REF!</definedName>
    <definedName name="_DOG2" localSheetId="4">#REF!</definedName>
    <definedName name="_DOG2" localSheetId="1">#REF!</definedName>
    <definedName name="_DOG2">#REF!</definedName>
    <definedName name="_DOG3" localSheetId="4">#REF!</definedName>
    <definedName name="_DOG3">#REF!</definedName>
    <definedName name="_DOG4" localSheetId="4">#REF!</definedName>
    <definedName name="_DOG4">#REF!</definedName>
    <definedName name="_Fill" localSheetId="2" hidden="1">#REF!</definedName>
    <definedName name="_Fill" localSheetId="4" hidden="1">#REF!</definedName>
    <definedName name="_Fill" localSheetId="1" hidden="1">#REF!</definedName>
    <definedName name="_Fill" hidden="1">#REF!</definedName>
    <definedName name="_xlnm._FilterDatabase" localSheetId="2" hidden="1">#REF!</definedName>
    <definedName name="_xlnm._FilterDatabase" localSheetId="4" hidden="1">#REF!</definedName>
    <definedName name="_xlnm._FilterDatabase" localSheetId="1" hidden="1">#REF!</definedName>
    <definedName name="_xlnm._FilterDatabase" hidden="1">#REF!</definedName>
    <definedName name="_h1" localSheetId="4">#REF!</definedName>
    <definedName name="_h1" localSheetId="1">#REF!</definedName>
    <definedName name="_h1">#REF!</definedName>
    <definedName name="_h2" localSheetId="4">#REF!</definedName>
    <definedName name="_h2">#REF!</definedName>
    <definedName name="_h3" localSheetId="4">#REF!</definedName>
    <definedName name="_h3">#REF!</definedName>
    <definedName name="_h4" localSheetId="4">#REF!</definedName>
    <definedName name="_h4">#REF!</definedName>
    <definedName name="_H66766" localSheetId="2">#REF!</definedName>
    <definedName name="_H66766" localSheetId="4">#REF!</definedName>
    <definedName name="_H66766">#REF!</definedName>
    <definedName name="_hh" localSheetId="4">#REF!</definedName>
    <definedName name="_hh">#REF!</definedName>
    <definedName name="_hh1" localSheetId="4">#REF!</definedName>
    <definedName name="_hh1">#REF!</definedName>
    <definedName name="_hh2" localSheetId="4">#REF!</definedName>
    <definedName name="_hh2">#REF!</definedName>
    <definedName name="_I235417" localSheetId="4">[12]Sheet1!#REF!</definedName>
    <definedName name="_I235417">[12]Sheet1!#REF!</definedName>
    <definedName name="_IPT2">#N/A</definedName>
    <definedName name="_J170094" localSheetId="4">[12]Sheet1!#REF!</definedName>
    <definedName name="_J170094">[12]Sheet1!#REF!</definedName>
    <definedName name="_K">#N/A</definedName>
    <definedName name="_K02">[8]일위대가!$A$732:$IV$745=[8]일위대가!$A$732</definedName>
    <definedName name="_Key1" localSheetId="2" hidden="1">#REF!</definedName>
    <definedName name="_Key1" localSheetId="4" hidden="1">#REF!</definedName>
    <definedName name="_Key1" localSheetId="1" hidden="1">#REF!</definedName>
    <definedName name="_Key1" hidden="1">#REF!</definedName>
    <definedName name="_Key2" localSheetId="4" hidden="1">#REF!</definedName>
    <definedName name="_Key2" hidden="1">#REF!</definedName>
    <definedName name="_kfkf" localSheetId="4" hidden="1">#REF!</definedName>
    <definedName name="_kfkf" hidden="1">#REF!</definedName>
    <definedName name="_ll15" localSheetId="4">#REF!</definedName>
    <definedName name="_ll15">#REF!</definedName>
    <definedName name="_LP1" localSheetId="4">#REF!</definedName>
    <definedName name="_LP1">#REF!</definedName>
    <definedName name="_LP2" localSheetId="4">#REF!</definedName>
    <definedName name="_LP2">#REF!</definedName>
    <definedName name="_LPB1" localSheetId="4">[13]부하계산서!#REF!</definedName>
    <definedName name="_LPB1">[13]부하계산서!#REF!</definedName>
    <definedName name="_LPK1" localSheetId="4">[13]부하계산서!#REF!</definedName>
    <definedName name="_LPK1">[13]부하계산서!#REF!</definedName>
    <definedName name="_LU1" localSheetId="4">'[14]부하(성남)'!#REF!</definedName>
    <definedName name="_LU1">'[14]부하(성남)'!#REF!</definedName>
    <definedName name="_LU2" localSheetId="4">'[14]부하(성남)'!#REF!</definedName>
    <definedName name="_LU2">'[14]부하(성남)'!#REF!</definedName>
    <definedName name="_LV01">'[14]부하(성남)'!#REF!</definedName>
    <definedName name="_LV02" localSheetId="2">#REF!</definedName>
    <definedName name="_LV02" localSheetId="4">#REF!</definedName>
    <definedName name="_LV02" localSheetId="1">#REF!</definedName>
    <definedName name="_LV02">#REF!</definedName>
    <definedName name="_MC1" localSheetId="4">#REF!</definedName>
    <definedName name="_MC1">#REF!</definedName>
    <definedName name="_NMB96" localSheetId="4">#REF!</definedName>
    <definedName name="_NMB96">#REF!</definedName>
    <definedName name="_O03">[8]일위대가!$A$1516:$IV$1529=[8]일위대가!$A$1516</definedName>
    <definedName name="_Order1" hidden="1">255</definedName>
    <definedName name="_Order2" hidden="1">255</definedName>
    <definedName name="_PI48" localSheetId="4">#REF!</definedName>
    <definedName name="_PI48" localSheetId="1">#REF!</definedName>
    <definedName name="_PI48">#REF!</definedName>
    <definedName name="_PI60" localSheetId="4">#REF!</definedName>
    <definedName name="_PI60" localSheetId="1">#REF!</definedName>
    <definedName name="_PI60">#REF!</definedName>
    <definedName name="_pvc50" localSheetId="4">#REF!</definedName>
    <definedName name="_pvc50">#REF!</definedName>
    <definedName name="_Regression_Int" hidden="1">1</definedName>
    <definedName name="_RO110" localSheetId="4">#REF!</definedName>
    <definedName name="_RO110" localSheetId="1">#REF!</definedName>
    <definedName name="_RO110">#REF!</definedName>
    <definedName name="_RO22" localSheetId="4">#REF!</definedName>
    <definedName name="_RO22" localSheetId="1">#REF!</definedName>
    <definedName name="_RO22">#REF!</definedName>
    <definedName name="_RO35" localSheetId="4">#REF!</definedName>
    <definedName name="_RO35">#REF!</definedName>
    <definedName name="_RO60" localSheetId="4">#REF!</definedName>
    <definedName name="_RO60">#REF!</definedName>
    <definedName name="_RO80" localSheetId="4">#REF!</definedName>
    <definedName name="_RO80">#REF!</definedName>
    <definedName name="_RSC3" localSheetId="4">#REF!</definedName>
    <definedName name="_RSC3">#REF!</definedName>
    <definedName name="_si2" localSheetId="4">'[15]일위(PN)'!#REF!</definedName>
    <definedName name="_si2">'[15]일위(PN)'!#REF!</definedName>
    <definedName name="_SMART_SCSIarray" localSheetId="4">[2]Supplement2!#REF!</definedName>
    <definedName name="_SMART_SCSIarray">[2]Supplement2!#REF!</definedName>
    <definedName name="_Sort" localSheetId="4" hidden="1">#REF!</definedName>
    <definedName name="_Sort" localSheetId="1" hidden="1">#REF!</definedName>
    <definedName name="_Sort" hidden="1">#REF!</definedName>
    <definedName name="_STR3001">[16]LANGUAGE!$B$62</definedName>
    <definedName name="_STR3002">[16]LANGUAGE!$B$63</definedName>
    <definedName name="_STR3003">[16]LANGUAGE!$B$64</definedName>
    <definedName name="_SW2" localSheetId="4" hidden="1">{#N/A,#N/A,FALSE,"전력간선"}</definedName>
    <definedName name="_SW2" localSheetId="1" hidden="1">{#N/A,#N/A,FALSE,"전력간선"}</definedName>
    <definedName name="_SW2" hidden="1">{#N/A,#N/A,FALSE,"전력간선"}</definedName>
    <definedName name="_TON1" localSheetId="4">#REF!</definedName>
    <definedName name="_TON1" localSheetId="1">#REF!</definedName>
    <definedName name="_TON1">#REF!</definedName>
    <definedName name="_TON2" localSheetId="4">#REF!</definedName>
    <definedName name="_TON2" localSheetId="1">#REF!</definedName>
    <definedName name="_TON2">#REF!</definedName>
    <definedName name="_UP1" localSheetId="4">[13]부하계산서!#REF!</definedName>
    <definedName name="_UP1" localSheetId="1">[13]부하계산서!#REF!</definedName>
    <definedName name="_UP1">[13]부하계산서!#REF!</definedName>
    <definedName name="_UP2" localSheetId="4">[13]부하계산서!#REF!</definedName>
    <definedName name="_UP2" localSheetId="1">[13]부하계산서!#REF!</definedName>
    <definedName name="_UP2">[13]부하계산서!#REF!</definedName>
    <definedName name="_woogi" localSheetId="4" hidden="1">#REF!</definedName>
    <definedName name="_woogi" localSheetId="1" hidden="1">#REF!</definedName>
    <definedName name="_woogi" hidden="1">#REF!</definedName>
    <definedName name="_woogi2" localSheetId="4" hidden="1">#REF!</definedName>
    <definedName name="_woogi2" localSheetId="1" hidden="1">#REF!</definedName>
    <definedName name="_woogi2" hidden="1">#REF!</definedName>
    <definedName name="_woogi24" localSheetId="4" hidden="1">#REF!</definedName>
    <definedName name="_woogi24" localSheetId="1" hidden="1">#REF!</definedName>
    <definedName name="_woogi24" hidden="1">#REF!</definedName>
    <definedName name="_woogi3" localSheetId="4" hidden="1">#REF!</definedName>
    <definedName name="_woogi3" hidden="1">#REF!</definedName>
    <definedName name="_WW2" localSheetId="4">#REF!</definedName>
    <definedName name="_WW2" localSheetId="1">#REF!</definedName>
    <definedName name="_WW2">#REF!</definedName>
    <definedName name="_WW6" localSheetId="4">#REF!</definedName>
    <definedName name="_WW6" localSheetId="1">#REF!</definedName>
    <definedName name="_WW6">#REF!</definedName>
    <definedName name="_yy11" localSheetId="4">#REF!</definedName>
    <definedName name="_yy11">#REF!</definedName>
    <definedName name="_재ㅐ햐" localSheetId="4" hidden="1">#REF!</definedName>
    <definedName name="_재ㅐ햐" hidden="1">#REF!</definedName>
    <definedName name="´??§°ø·?1" localSheetId="4">'[17]일위(PN)'!#REF!</definedName>
    <definedName name="´??§°ø·?1">'[17]일위(PN)'!#REF!</definedName>
    <definedName name="´??§°ø·?10" localSheetId="4">#REF!</definedName>
    <definedName name="´??§°ø·?10" localSheetId="1">#REF!</definedName>
    <definedName name="´??§°ø·?10">#REF!</definedName>
    <definedName name="´??§°ø·?11" localSheetId="4">#REF!</definedName>
    <definedName name="´??§°ø·?11" localSheetId="1">#REF!</definedName>
    <definedName name="´??§°ø·?11">#REF!</definedName>
    <definedName name="´??§°ø·?12" localSheetId="4">#REF!</definedName>
    <definedName name="´??§°ø·?12">#REF!</definedName>
    <definedName name="´??§°ø·?13" localSheetId="4">#REF!</definedName>
    <definedName name="´??§°ø·?13">#REF!</definedName>
    <definedName name="´??§°ø·?14" localSheetId="4">#REF!</definedName>
    <definedName name="´??§°ø·?14">#REF!</definedName>
    <definedName name="´??§°ø·?15" localSheetId="4">#REF!</definedName>
    <definedName name="´??§°ø·?15">#REF!</definedName>
    <definedName name="´??§°ø·?16" localSheetId="4">#REF!</definedName>
    <definedName name="´??§°ø·?16">#REF!</definedName>
    <definedName name="´??§°ø·?17" localSheetId="4">#REF!</definedName>
    <definedName name="´??§°ø·?17">#REF!</definedName>
    <definedName name="´??§°ø·?2" localSheetId="4">'[17]일위(PN)'!#REF!</definedName>
    <definedName name="´??§°ø·?2">'[17]일위(PN)'!#REF!</definedName>
    <definedName name="´??§°ø·?3" localSheetId="4">'[17]일위(PN)'!#REF!</definedName>
    <definedName name="´??§°ø·?3">'[17]일위(PN)'!#REF!</definedName>
    <definedName name="´??§°ø·?4" localSheetId="4">#REF!</definedName>
    <definedName name="´??§°ø·?4" localSheetId="1">#REF!</definedName>
    <definedName name="´??§°ø·?4">#REF!</definedName>
    <definedName name="´??§°ø·?5" localSheetId="4">#REF!</definedName>
    <definedName name="´??§°ø·?5" localSheetId="1">#REF!</definedName>
    <definedName name="´??§°ø·?5">#REF!</definedName>
    <definedName name="´??§°ø·?6" localSheetId="4">#REF!</definedName>
    <definedName name="´??§°ø·?6">#REF!</definedName>
    <definedName name="´??§°ø·?7" localSheetId="4">#REF!</definedName>
    <definedName name="´??§°ø·?7">#REF!</definedName>
    <definedName name="´??§°ø·?8" localSheetId="4">#REF!</definedName>
    <definedName name="´??§°ø·?8">#REF!</definedName>
    <definedName name="´??§°ø·?9" localSheetId="4">#REF!</definedName>
    <definedName name="´??§°ø·?9">#REF!</definedName>
    <definedName name="´?_°¡" localSheetId="4">#REF!</definedName>
    <definedName name="´?_°¡">#REF!</definedName>
    <definedName name="´?_°¡2" localSheetId="4">#REF!</definedName>
    <definedName name="´?_°¡2">#REF!</definedName>
    <definedName name="´?_°¡3" localSheetId="4">#REF!</definedName>
    <definedName name="´?_°¡3">#REF!</definedName>
    <definedName name="´?_°¡4" localSheetId="4">#REF!</definedName>
    <definedName name="´?_°¡4">#REF!</definedName>
    <definedName name="´?_°¡5" localSheetId="4">#REF!</definedName>
    <definedName name="´?_°¡5">#REF!</definedName>
    <definedName name="´?_°¡6" localSheetId="4">#REF!</definedName>
    <definedName name="´?_°¡6">#REF!</definedName>
    <definedName name="´?°" localSheetId="4">#REF!</definedName>
    <definedName name="´?°">#REF!</definedName>
    <definedName name="´?°°">#N/A</definedName>
    <definedName name="´?°°1">#N/A</definedName>
    <definedName name="´?°°2">#N/A</definedName>
    <definedName name="´?°°3">#N/A</definedName>
    <definedName name="´?°°4">#N/A</definedName>
    <definedName name="´U_°¡" localSheetId="4">#REF!</definedName>
    <definedName name="´U_°¡" localSheetId="1">#REF!</definedName>
    <definedName name="´U_°¡">#REF!</definedName>
    <definedName name="´Ü_°¡" localSheetId="4">#REF!</definedName>
    <definedName name="´Ü_°¡" localSheetId="1">#REF!</definedName>
    <definedName name="´Ü_°¡">#REF!</definedName>
    <definedName name="´U_°¡2" localSheetId="4">#REF!</definedName>
    <definedName name="´U_°¡2">#REF!</definedName>
    <definedName name="´Ü_°¡2" localSheetId="4">#REF!</definedName>
    <definedName name="´Ü_°¡2">#REF!</definedName>
    <definedName name="´U_°¡3" localSheetId="4">#REF!</definedName>
    <definedName name="´U_°¡3">#REF!</definedName>
    <definedName name="´Ü_°¡3" localSheetId="4">#REF!</definedName>
    <definedName name="´Ü_°¡3">#REF!</definedName>
    <definedName name="´U_°¡4" localSheetId="4">#REF!</definedName>
    <definedName name="´U_°¡4">#REF!</definedName>
    <definedName name="´Ü_°¡4" localSheetId="4">#REF!</definedName>
    <definedName name="´Ü_°¡4">#REF!</definedName>
    <definedName name="´U_°¡5" localSheetId="4">#REF!</definedName>
    <definedName name="´U_°¡5">#REF!</definedName>
    <definedName name="´Ü_°¡5" localSheetId="4">#REF!</definedName>
    <definedName name="´Ü_°¡5">#REF!</definedName>
    <definedName name="´U_°¡6" localSheetId="4">#REF!</definedName>
    <definedName name="´U_°¡6">#REF!</definedName>
    <definedName name="´Ü_°¡6" localSheetId="4">#REF!</definedName>
    <definedName name="´Ü_°¡6">#REF!</definedName>
    <definedName name="´U°" localSheetId="4">#REF!</definedName>
    <definedName name="´U°">#REF!</definedName>
    <definedName name="´Ü°" localSheetId="4">#REF!</definedName>
    <definedName name="´Ü°">#REF!</definedName>
    <definedName name="´U°°">#N/A</definedName>
    <definedName name="´Ü°°">#N/A</definedName>
    <definedName name="´U°°1">#N/A</definedName>
    <definedName name="´Ü°°1">#N/A</definedName>
    <definedName name="´U°°2">#N/A</definedName>
    <definedName name="´Ü°°2">#N/A</definedName>
    <definedName name="´U°°3">#N/A</definedName>
    <definedName name="´Ü°°3">#N/A</definedName>
    <definedName name="´U°°4">#N/A</definedName>
    <definedName name="´Ü°°4">#N/A</definedName>
    <definedName name="´UA§°ø·R1" localSheetId="4">'[4]일위(PN)'!#REF!</definedName>
    <definedName name="´UA§°ø·R1">'[4]일위(PN)'!#REF!</definedName>
    <definedName name="´UA§°ø·R10" localSheetId="4">#REF!</definedName>
    <definedName name="´UA§°ø·R10" localSheetId="1">#REF!</definedName>
    <definedName name="´UA§°ø·R10">#REF!</definedName>
    <definedName name="´UA§°ø·R11" localSheetId="4">#REF!</definedName>
    <definedName name="´UA§°ø·R11" localSheetId="1">#REF!</definedName>
    <definedName name="´UA§°ø·R11">#REF!</definedName>
    <definedName name="´UA§°ø·R12" localSheetId="4">#REF!</definedName>
    <definedName name="´UA§°ø·R12">#REF!</definedName>
    <definedName name="´UA§°ø·R13" localSheetId="4">#REF!</definedName>
    <definedName name="´UA§°ø·R13">#REF!</definedName>
    <definedName name="´UA§°ø·R14" localSheetId="4">#REF!</definedName>
    <definedName name="´UA§°ø·R14">#REF!</definedName>
    <definedName name="´UA§°ø·R15" localSheetId="4">#REF!</definedName>
    <definedName name="´UA§°ø·R15">#REF!</definedName>
    <definedName name="´UA§°ø·R16" localSheetId="4">#REF!</definedName>
    <definedName name="´UA§°ø·R16">#REF!</definedName>
    <definedName name="´UA§°ø·R17" localSheetId="4">#REF!</definedName>
    <definedName name="´UA§°ø·R17">#REF!</definedName>
    <definedName name="´UA§°ø·R2" localSheetId="4">'[4]일위(PN)'!#REF!</definedName>
    <definedName name="´UA§°ø·R2">'[4]일위(PN)'!#REF!</definedName>
    <definedName name="´UA§°ø·R3" localSheetId="4">'[4]일위(PN)'!#REF!</definedName>
    <definedName name="´UA§°ø·R3">'[4]일위(PN)'!#REF!</definedName>
    <definedName name="´UA§°ø·R4" localSheetId="4">#REF!</definedName>
    <definedName name="´UA§°ø·R4" localSheetId="1">#REF!</definedName>
    <definedName name="´UA§°ø·R4">#REF!</definedName>
    <definedName name="´UA§°ø·R5" localSheetId="4">#REF!</definedName>
    <definedName name="´UA§°ø·R5" localSheetId="1">#REF!</definedName>
    <definedName name="´UA§°ø·R5">#REF!</definedName>
    <definedName name="´UA§°ø·R6" localSheetId="4">#REF!</definedName>
    <definedName name="´UA§°ø·R6">#REF!</definedName>
    <definedName name="´UA§°ø·R7" localSheetId="4">#REF!</definedName>
    <definedName name="´UA§°ø·R7">#REF!</definedName>
    <definedName name="´UA§°ø·R8" localSheetId="4">#REF!</definedName>
    <definedName name="´UA§°ø·R8">#REF!</definedName>
    <definedName name="´UA§°ø·R9" localSheetId="4">#REF!</definedName>
    <definedName name="´UA§°ø·R9">#REF!</definedName>
    <definedName name="¤Ç315" localSheetId="4">#REF!</definedName>
    <definedName name="¤Ç315">#REF!</definedName>
    <definedName name="\a">#N/A</definedName>
    <definedName name="\b" localSheetId="2">#REF!</definedName>
    <definedName name="\b" localSheetId="4">#REF!</definedName>
    <definedName name="\b" localSheetId="1">#REF!</definedName>
    <definedName name="\b">#REF!</definedName>
    <definedName name="\c">#N/A</definedName>
    <definedName name="\d">#N/A</definedName>
    <definedName name="\e">#N/A</definedName>
    <definedName name="\f">#N/A</definedName>
    <definedName name="\g" localSheetId="4">#REF!</definedName>
    <definedName name="\g" localSheetId="1">#REF!</definedName>
    <definedName name="\g">#REF!</definedName>
    <definedName name="\h" localSheetId="4">#REF!</definedName>
    <definedName name="\h">#REF!</definedName>
    <definedName name="\i">#N/A</definedName>
    <definedName name="\k">#N/A</definedName>
    <definedName name="\l" localSheetId="2">#REF!</definedName>
    <definedName name="\l" localSheetId="4">#REF!</definedName>
    <definedName name="\l" localSheetId="1">#REF!</definedName>
    <definedName name="\l">#REF!</definedName>
    <definedName name="\m">#N/A</definedName>
    <definedName name="\n" localSheetId="4">#REF!</definedName>
    <definedName name="\n" localSheetId="1">#REF!</definedName>
    <definedName name="\n">#REF!</definedName>
    <definedName name="\o" localSheetId="4">[18]매립!#REF!</definedName>
    <definedName name="\o" localSheetId="1">[18]매립!#REF!</definedName>
    <definedName name="\o">[18]매립!#REF!</definedName>
    <definedName name="\p" localSheetId="4">#REF!</definedName>
    <definedName name="\p" localSheetId="1">#N/A</definedName>
    <definedName name="\p">#REF!</definedName>
    <definedName name="\q">#N/A</definedName>
    <definedName name="\r" localSheetId="4">#REF!</definedName>
    <definedName name="\r" localSheetId="1">#REF!</definedName>
    <definedName name="\r">#REF!</definedName>
    <definedName name="\s" localSheetId="4">#REF!</definedName>
    <definedName name="\s" localSheetId="1">#REF!</definedName>
    <definedName name="\s">#REF!</definedName>
    <definedName name="\u" localSheetId="4">#REF!</definedName>
    <definedName name="\u">#REF!</definedName>
    <definedName name="\w">#N/A</definedName>
    <definedName name="\z">#N/A</definedName>
    <definedName name="A" localSheetId="4" hidden="1">#REF!</definedName>
    <definedName name="A" localSheetId="1" hidden="1">#REF!</definedName>
    <definedName name="A" hidden="1">#REF!</definedName>
    <definedName name="A1C1" hidden="1">#N/A</definedName>
    <definedName name="A2114666" localSheetId="4">#REF!</definedName>
    <definedName name="A2114666" localSheetId="1">#REF!</definedName>
    <definedName name="A2114666">#REF!</definedName>
    <definedName name="AA" localSheetId="2">#REF!</definedName>
    <definedName name="AA" localSheetId="4">#REF!</definedName>
    <definedName name="AA" localSheetId="1">#REF!</definedName>
    <definedName name="AA">#REF!</definedName>
    <definedName name="AAA" localSheetId="4">BlankMacro1</definedName>
    <definedName name="AAA" localSheetId="1">BlankMacro1</definedName>
    <definedName name="AAA">BlankMacro1</definedName>
    <definedName name="AAAA" localSheetId="4">#REF!</definedName>
    <definedName name="AAAA" localSheetId="1">#REF!</definedName>
    <definedName name="AAAA">#REF!</definedName>
    <definedName name="AAD" localSheetId="4">#REF!</definedName>
    <definedName name="AAD" localSheetId="1">#REF!</definedName>
    <definedName name="AAD">#REF!</definedName>
    <definedName name="AAUAUAU" localSheetId="2" hidden="1">#REF!</definedName>
    <definedName name="AAUAUAU" localSheetId="4" hidden="1">#REF!</definedName>
    <definedName name="AAUAUAU" hidden="1">#REF!</definedName>
    <definedName name="AB" localSheetId="4">#REF!</definedName>
    <definedName name="AB">#REF!</definedName>
    <definedName name="abc" localSheetId="4" hidden="1">{"'자리배치도'!$AG$1:$CI$28"}</definedName>
    <definedName name="ABC" localSheetId="1">#REF!</definedName>
    <definedName name="abc" hidden="1">{"'자리배치도'!$AG$1:$CI$28"}</definedName>
    <definedName name="abcd" localSheetId="4" hidden="1">{"'자리배치도'!$AG$1:$CI$28"}</definedName>
    <definedName name="abcd" localSheetId="1" hidden="1">{"'자리배치도'!$AG$1:$CI$28"}</definedName>
    <definedName name="abcd" hidden="1">{"'자리배치도'!$AG$1:$CI$28"}</definedName>
    <definedName name="ABS" localSheetId="4" hidden="1">{#N/A,#N/A,FALSE,"전력간선"}</definedName>
    <definedName name="ABS" localSheetId="1" hidden="1">{#N/A,#N/A,FALSE,"전력간선"}</definedName>
    <definedName name="ABS" hidden="1">{#N/A,#N/A,FALSE,"전력간선"}</definedName>
    <definedName name="AC" localSheetId="4">#REF!</definedName>
    <definedName name="AC" localSheetId="1">#REF!</definedName>
    <definedName name="AC">#REF!</definedName>
    <definedName name="AccessDatabase" hidden="1">"C:\My Documents\북부수도사업소\전원차단장치\전원차~1\전원차단장치 내역서 03월06일.mdb"</definedName>
    <definedName name="ACD" localSheetId="4">#REF!</definedName>
    <definedName name="ACD" localSheetId="1">#REF!</definedName>
    <definedName name="ACD">#REF!</definedName>
    <definedName name="ACX" localSheetId="4" hidden="1">#REF!</definedName>
    <definedName name="ACX" localSheetId="1" hidden="1">#REF!</definedName>
    <definedName name="ACX" hidden="1">#REF!</definedName>
    <definedName name="add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dd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E" localSheetId="4">#REF!</definedName>
    <definedName name="AE" localSheetId="1">#REF!</definedName>
    <definedName name="AE">#REF!</definedName>
    <definedName name="AED" localSheetId="4">#REF!</definedName>
    <definedName name="AED" localSheetId="1">#REF!</definedName>
    <definedName name="AED">#REF!</definedName>
    <definedName name="aer" localSheetId="4">#REF!,#REF!</definedName>
    <definedName name="aer" localSheetId="1">#REF!,#REF!</definedName>
    <definedName name="aer">#REF!,#REF!</definedName>
    <definedName name="AFC설비" localSheetId="4">#REF!</definedName>
    <definedName name="AFC설비" localSheetId="1">#REF!</definedName>
    <definedName name="AFC설비">#REF!</definedName>
    <definedName name="af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ff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G" localSheetId="4">#REF!</definedName>
    <definedName name="AG" localSheetId="1">#REF!</definedName>
    <definedName name="AG">#REF!</definedName>
    <definedName name="AGD" localSheetId="4">#REF!</definedName>
    <definedName name="AGD" localSheetId="1">#REF!</definedName>
    <definedName name="AGD">#REF!</definedName>
    <definedName name="ag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gg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g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H" localSheetId="4">[0]!BlankMacro1</definedName>
    <definedName name="AH" localSheetId="1">[0]!BlankMacro1</definedName>
    <definedName name="AH">[0]!BlankMacro1</definedName>
    <definedName name="ahh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hh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h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I" localSheetId="4">#REF!</definedName>
    <definedName name="AI" localSheetId="1">#REF!</definedName>
    <definedName name="AI">#REF!</definedName>
    <definedName name="AID" localSheetId="4">#REF!</definedName>
    <definedName name="AID" localSheetId="1">#REF!</definedName>
    <definedName name="AID">#REF!</definedName>
    <definedName name="AJ42.." localSheetId="4">#REF!</definedName>
    <definedName name="AJ42..">#REF!</definedName>
    <definedName name="AJSHDG" localSheetId="4">#REF!</definedName>
    <definedName name="AJSHDG">#REF!</definedName>
    <definedName name="AK" localSheetId="4">#REF!</definedName>
    <definedName name="AK">#REF!</definedName>
    <definedName name="AKD" localSheetId="4">#REF!</definedName>
    <definedName name="AKD">#REF!</definedName>
    <definedName name="AL" localSheetId="4">#REF!</definedName>
    <definedName name="AL">#REF!</definedName>
    <definedName name="ALL" localSheetId="4">#REF!</definedName>
    <definedName name="ALL">#REF!</definedName>
    <definedName name="ALPHA" localSheetId="4">#REF!</definedName>
    <definedName name="ALPHA">#REF!</definedName>
    <definedName name="ALSLDFㅁ일ㄴ" localSheetId="4">#REF!</definedName>
    <definedName name="ALSLDFㅁ일ㄴ">#REF!</definedName>
    <definedName name="alslsdkjfjs" localSheetId="4" hidden="1">#REF!</definedName>
    <definedName name="alslsdkjfjs" localSheetId="1" hidden="1">#REF!</definedName>
    <definedName name="alslsdkjfjs" hidden="1">#REF!</definedName>
    <definedName name="AM" localSheetId="4">#REF!</definedName>
    <definedName name="AM">#REF!</definedName>
    <definedName name="AMD" localSheetId="4">#REF!</definedName>
    <definedName name="AMD">#REF!</definedName>
    <definedName name="an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n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n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n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nnual_interest_rate" localSheetId="4">#REF!</definedName>
    <definedName name="Annual_interest_rate" localSheetId="1">#REF!</definedName>
    <definedName name="Annual_interest_rate">#REF!</definedName>
    <definedName name="anscount" hidden="1">1</definedName>
    <definedName name="AO" localSheetId="4">#REF!</definedName>
    <definedName name="AO" localSheetId="1">#REF!</definedName>
    <definedName name="AO">#REF!</definedName>
    <definedName name="AOD" localSheetId="4">#REF!</definedName>
    <definedName name="AOD" localSheetId="1">#REF!</definedName>
    <definedName name="AOD">#REF!</definedName>
    <definedName name="AQ" localSheetId="4">#REF!</definedName>
    <definedName name="AQ">#REF!</definedName>
    <definedName name="AQD" localSheetId="4">#REF!</definedName>
    <definedName name="AQD">#REF!</definedName>
    <definedName name="area" localSheetId="4">#REF!</definedName>
    <definedName name="area">#REF!</definedName>
    <definedName name="arr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rr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r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S" localSheetId="4">#REF!</definedName>
    <definedName name="AS" localSheetId="1">#REF!</definedName>
    <definedName name="AS">#REF!</definedName>
    <definedName name="ASAS" localSheetId="4" hidden="1">{#N/A,#N/A,FALSE,"DAOCM 2차 검토"}</definedName>
    <definedName name="ASAS" localSheetId="1" hidden="1">{#N/A,#N/A,FALSE,"DAOCM 2차 검토"}</definedName>
    <definedName name="ASAS" hidden="1">{#N/A,#N/A,FALSE,"DAOCM 2차 검토"}</definedName>
    <definedName name="ASC" localSheetId="1" hidden="1">'[19]98수문일위'!$A$1:$P$2004</definedName>
    <definedName name="ASC" hidden="1">'[20]98수문일위'!$A$1:$P$2004</definedName>
    <definedName name="ASD" localSheetId="4">#REF!</definedName>
    <definedName name="ASD" localSheetId="1">#REF!</definedName>
    <definedName name="ASD">#REF!</definedName>
    <definedName name="asdf" localSheetId="4">#REF!</definedName>
    <definedName name="asdf">#REF!</definedName>
    <definedName name="ASDFAS" localSheetId="4">#REF!</definedName>
    <definedName name="ASDFAS">#REF!</definedName>
    <definedName name="asdfasdf" localSheetId="4" hidden="1">{#N/A,#N/A,FALSE,"CCTV"}</definedName>
    <definedName name="asdfasdf" localSheetId="1" hidden="1">{#N/A,#N/A,FALSE,"CCTV"}</definedName>
    <definedName name="asdfasdf" hidden="1">{#N/A,#N/A,FALSE,"CCTV"}</definedName>
    <definedName name="asdfasdfasdfasfcasx" localSheetId="1" hidden="1">'[21]98수문일위'!$A$1:$P$2004</definedName>
    <definedName name="asdfasdfasdfasfcasx" hidden="1">'[22]98수문일위'!$A$1:$P$2004</definedName>
    <definedName name="ASDFASDFC" localSheetId="4">#REF!</definedName>
    <definedName name="ASDFASDFC" localSheetId="1">#REF!</definedName>
    <definedName name="ASDFASDFC">#REF!</definedName>
    <definedName name="ASDFASDKLFJ" localSheetId="4" hidden="1">{#N/A,#N/A,TRUE,"토적및재료집계";#N/A,#N/A,TRUE,"토적및재료집계";#N/A,#N/A,TRUE,"단위량"}</definedName>
    <definedName name="ASDFASDKLFJ" localSheetId="1" hidden="1">{#N/A,#N/A,TRUE,"토적및재료집계";#N/A,#N/A,TRUE,"토적및재료집계";#N/A,#N/A,TRUE,"단위량"}</definedName>
    <definedName name="ASDFASDKLFJ" hidden="1">{#N/A,#N/A,TRUE,"토적및재료집계";#N/A,#N/A,TRUE,"토적및재료집계";#N/A,#N/A,TRUE,"단위량"}</definedName>
    <definedName name="ASDKLVJCKLVA" localSheetId="4">#REF!</definedName>
    <definedName name="ASDKLVJCKLVA" localSheetId="1">#REF!</definedName>
    <definedName name="ASDKLVJCKLVA">#REF!</definedName>
    <definedName name="ASDVASDF" localSheetId="4">#REF!</definedName>
    <definedName name="ASDVASDF" localSheetId="1">#REF!</definedName>
    <definedName name="ASDVASDF">#REF!</definedName>
    <definedName name="ass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ss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s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T" localSheetId="1">[23]간선계산!#REF!</definedName>
    <definedName name="AT">[23]간선계산!#REF!</definedName>
    <definedName name="AU" localSheetId="4">#REF!</definedName>
    <definedName name="AU" localSheetId="1">#REF!</definedName>
    <definedName name="AU">#REF!</definedName>
    <definedName name="Au±a≫eAa³≫¿ª" localSheetId="4">#REF!</definedName>
    <definedName name="Au±a≫eAa³≫¿ª" localSheetId="1">#REF!</definedName>
    <definedName name="Au±a≫eAa³≫¿ª">#REF!</definedName>
    <definedName name="AUD" localSheetId="4">#REF!</definedName>
    <definedName name="AUD">#REF!</definedName>
    <definedName name="AV1노무" localSheetId="4">#REF!</definedName>
    <definedName name="AV1노무">#REF!</definedName>
    <definedName name="AV1자재" localSheetId="4">#REF!</definedName>
    <definedName name="AV1자재">#REF!</definedName>
    <definedName name="avvvv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v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v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vvv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AV노무" localSheetId="4">#REF!</definedName>
    <definedName name="AV노무" localSheetId="1">#REF!</definedName>
    <definedName name="AV노무">#REF!</definedName>
    <definedName name="AV자재" localSheetId="4">#REF!</definedName>
    <definedName name="AV자재" localSheetId="1">#REF!</definedName>
    <definedName name="AV자재">#REF!</definedName>
    <definedName name="AW" localSheetId="4">#REF!</definedName>
    <definedName name="AW">#REF!</definedName>
    <definedName name="AWD" localSheetId="4">#REF!</definedName>
    <definedName name="AWD">#REF!</definedName>
    <definedName name="awe" localSheetId="4">#REF!</definedName>
    <definedName name="awe">#REF!</definedName>
    <definedName name="AWERTIAWEFASDJV" localSheetId="4">#REF!</definedName>
    <definedName name="AWERTIAWEFASDJV">#REF!</definedName>
    <definedName name="B" localSheetId="4">#REF!</definedName>
    <definedName name="B" localSheetId="1">#REF!</definedName>
    <definedName name="B">#REF!</definedName>
    <definedName name="BBBB" localSheetId="4">BlankMacro1</definedName>
    <definedName name="BBBB" localSheetId="1">BlankMacro1</definedName>
    <definedName name="BBBB">BlankMacro1</definedName>
    <definedName name="BC" localSheetId="4">#REF!</definedName>
    <definedName name="BC" localSheetId="1">#REF!</definedName>
    <definedName name="BC">#REF!</definedName>
    <definedName name="BCD" localSheetId="4">#REF!</definedName>
    <definedName name="BCD" localSheetId="1">#REF!</definedName>
    <definedName name="BCD">#REF!</definedName>
    <definedName name="bdfgdgr">[24]!Macro8</definedName>
    <definedName name="BE" localSheetId="4">#REF!</definedName>
    <definedName name="BE" localSheetId="1">#REF!</definedName>
    <definedName name="BE">#REF!</definedName>
    <definedName name="BED" localSheetId="4">#REF!</definedName>
    <definedName name="BED" localSheetId="1">#REF!</definedName>
    <definedName name="BED">#REF!</definedName>
    <definedName name="Beg.Bal" localSheetId="4">IF(#REF!&lt;&gt;"",#REF!,"")</definedName>
    <definedName name="Beg.Bal" localSheetId="1">IF(#REF!&lt;&gt;"",#REF!,"")</definedName>
    <definedName name="Beg.Bal">IF(#REF!&lt;&gt;"",#REF!,"")</definedName>
    <definedName name="BOOK2" localSheetId="4" hidden="1">{#N/A,#N/A,TRUE,"손익보고"}</definedName>
    <definedName name="BOOK2" localSheetId="1" hidden="1">{#N/A,#N/A,TRUE,"손익보고"}</definedName>
    <definedName name="BOOK2" hidden="1">{#N/A,#N/A,TRUE,"손익보고"}</definedName>
    <definedName name="BSB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BSB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BSB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Button3_누르기" localSheetId="1">표지!Button3_누르기</definedName>
    <definedName name="Button3_누르기">#N/A</definedName>
    <definedName name="BV" localSheetId="4">#REF!</definedName>
    <definedName name="BV" localSheetId="1">#REF!</definedName>
    <definedName name="BV">#REF!</definedName>
    <definedName name="Calculated_payment" localSheetId="4">#REF!</definedName>
    <definedName name="Calculated_payment" localSheetId="1">#REF!</definedName>
    <definedName name="Calculated_payment">#REF!</definedName>
    <definedName name="CASHIN">[25]Inputs!$AG$10</definedName>
    <definedName name="CASHOUT">[25]Inputs!$AG$6</definedName>
    <definedName name="CCCC" localSheetId="4">#REF!</definedName>
    <definedName name="CCCC" localSheetId="1">#REF!</definedName>
    <definedName name="CCCC">#REF!</definedName>
    <definedName name="CCTV" localSheetId="4">{#N/A,#N/A,FALSE,"전력간선"}</definedName>
    <definedName name="CCTV" localSheetId="1">{#N/A,#N/A,FALSE,"전력간선"}</definedName>
    <definedName name="CCTV">{#N/A,#N/A,FALSE,"전력간선"}</definedName>
    <definedName name="CCTV단가" localSheetId="4">#REF!</definedName>
    <definedName name="CCTV단가" localSheetId="1">#REF!</definedName>
    <definedName name="CCTV단가">#REF!</definedName>
    <definedName name="CCTV설비" localSheetId="4">#REF!</definedName>
    <definedName name="CCTV설비" localSheetId="1">#REF!</definedName>
    <definedName name="CCTV설비">#REF!</definedName>
    <definedName name="cgmh" localSheetId="4" hidden="1">{"'용역비'!$A$4:$C$8"}</definedName>
    <definedName name="cgmh" localSheetId="1" hidden="1">{"'용역비'!$A$4:$C$8"}</definedName>
    <definedName name="cgmh" hidden="1">{"'용역비'!$A$4:$C$8"}</definedName>
    <definedName name="CH" localSheetId="4">#REF!,#REF!</definedName>
    <definedName name="CH" localSheetId="1">#REF!,#REF!</definedName>
    <definedName name="CH">#REF!,#REF!</definedName>
    <definedName name="CHAIR">[26]맨홀수량산출!$AE$35</definedName>
    <definedName name="Chart_1">"Chart 1"</definedName>
    <definedName name="CK" localSheetId="4">#REF!</definedName>
    <definedName name="CK" localSheetId="1">#REF!</definedName>
    <definedName name="CK">#REF!</definedName>
    <definedName name="CODE" localSheetId="4">#REF!</definedName>
    <definedName name="CODE" localSheetId="1">#REF!</definedName>
    <definedName name="CODE">#REF!</definedName>
    <definedName name="CONDUIT" localSheetId="4">#REF!</definedName>
    <definedName name="CONDUIT">#REF!</definedName>
    <definedName name="Cost">'[25]Cost Inputs'!$G$190</definedName>
    <definedName name="CR" localSheetId="4">#REF!</definedName>
    <definedName name="CR" localSheetId="1">#REF!</definedName>
    <definedName name="CR">#REF!</definedName>
    <definedName name="_xlnm.Criteria" localSheetId="4">#REF!</definedName>
    <definedName name="_xlnm.Criteria">#REF!</definedName>
    <definedName name="CSD" localSheetId="4">#REF!</definedName>
    <definedName name="CSD">#REF!</definedName>
    <definedName name="CSF" localSheetId="4">#REF!</definedName>
    <definedName name="CSF">#REF!</definedName>
    <definedName name="Cum.Interest" localSheetId="4">IF(#REF!&lt;&gt;"",#REF!+#REF!,"")</definedName>
    <definedName name="Cum.Interest" localSheetId="1">IF(#REF!&lt;&gt;"",#REF!+#REF!,"")</definedName>
    <definedName name="Cum.Interest">IF(#REF!&lt;&gt;"",#REF!+#REF!,"")</definedName>
    <definedName name="CV14_2C" localSheetId="4">[27]단가!#REF!</definedName>
    <definedName name="CV14_2C" localSheetId="1">[27]단가!#REF!</definedName>
    <definedName name="CV14_2C">[27]단가!#REF!</definedName>
    <definedName name="CV14_4C" localSheetId="4">[27]단가!#REF!</definedName>
    <definedName name="CV14_4C" localSheetId="1">[27]단가!#REF!</definedName>
    <definedName name="CV14_4C">[27]단가!#REF!</definedName>
    <definedName name="CV5.5_2">[27]단가!#REF!</definedName>
    <definedName name="CV5.5_4C">[27]단가!#REF!</definedName>
    <definedName name="CV8_2C">[27]단가!#REF!</definedName>
    <definedName name="CV8_4C">[27]단가!#REF!</definedName>
    <definedName name="d" localSheetId="4">#REF!</definedName>
    <definedName name="d" localSheetId="1">#REF!</definedName>
    <definedName name="d">#REF!</definedName>
    <definedName name="DANGA" localSheetId="4">#REF!,#REF!</definedName>
    <definedName name="DANGA" localSheetId="1">#REF!,#REF!</definedName>
    <definedName name="DANGA">#REF!,#REF!</definedName>
    <definedName name="DANGA_">'[28]Y-WORK'!$D$19:$D$19,'[28]Y-WORK'!$F$19:$BD$19</definedName>
    <definedName name="danga2" localSheetId="4">#REF!,#REF!</definedName>
    <definedName name="danga2" localSheetId="1">#REF!,#REF!</definedName>
    <definedName name="danga2">#REF!,#REF!</definedName>
    <definedName name="DATA" localSheetId="4">#REF!</definedName>
    <definedName name="DATA" localSheetId="1">#REF!</definedName>
    <definedName name="DATA">#REF!</definedName>
    <definedName name="DATA_">'[6]YES-T'!$A$22:$BE$401</definedName>
    <definedName name="_xlnm.Database" localSheetId="4">#REF!</definedName>
    <definedName name="_xlnm.Database" localSheetId="1">#REF!</definedName>
    <definedName name="_xlnm.Database">#REF!</definedName>
    <definedName name="dataww" localSheetId="4" hidden="1">#REF!</definedName>
    <definedName name="dataww" localSheetId="1" hidden="1">#REF!</definedName>
    <definedName name="dataww" hidden="1">#REF!</definedName>
    <definedName name="DATE" localSheetId="4">#REF!</definedName>
    <definedName name="DATE" localSheetId="1">#REF!</definedName>
    <definedName name="DATE">#REF!</definedName>
    <definedName name="DazzlerPCI_array" localSheetId="4">[2]Supplement2!#REF!</definedName>
    <definedName name="DazzlerPCI_array" localSheetId="1">[2]Supplement2!#REF!</definedName>
    <definedName name="DazzlerPCI_array">[2]Supplement2!#REF!</definedName>
    <definedName name="DD" localSheetId="4">#REF!</definedName>
    <definedName name="DD" localSheetId="1">#REF!</definedName>
    <definedName name="DD">#REF!</definedName>
    <definedName name="DDD" localSheetId="2" hidden="1">#REF!</definedName>
    <definedName name="DDD" localSheetId="4" hidden="1">#REF!</definedName>
    <definedName name="DDD" localSheetId="1" hidden="1">#REF!</definedName>
    <definedName name="DDD" hidden="1">#REF!</definedName>
    <definedName name="DDDD" localSheetId="4" hidden="1">{#N/A,#N/A,FALSE,"전력간선"}</definedName>
    <definedName name="DDDD" localSheetId="1" hidden="1">{#N/A,#N/A,FALSE,"전력간선"}</definedName>
    <definedName name="DDDD" hidden="1">{#N/A,#N/A,FALSE,"전력간선"}</definedName>
    <definedName name="ddddd" localSheetId="2" hidden="1">#REF!</definedName>
    <definedName name="ddddd" localSheetId="4" hidden="1">#REF!</definedName>
    <definedName name="ddddd" localSheetId="1" hidden="1">#REF!</definedName>
    <definedName name="ddddd" hidden="1">#REF!</definedName>
    <definedName name="dddddd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dddd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dd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ddddd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ddddd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ddd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F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D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EL" localSheetId="4">#REF!</definedName>
    <definedName name="DEL" localSheetId="1">#REF!</definedName>
    <definedName name="DEL">#REF!</definedName>
    <definedName name="DEMO" localSheetId="4">#REF!</definedName>
    <definedName name="DEMO" localSheetId="1">#REF!</definedName>
    <definedName name="DEMO">#REF!</definedName>
    <definedName name="demo2" localSheetId="4">#REF!</definedName>
    <definedName name="demo2">#REF!</definedName>
    <definedName name="Depr">[25]Inputs!$R$18</definedName>
    <definedName name="DESCRIPTIONS" localSheetId="4">#REF!</definedName>
    <definedName name="DESCRIPTIONS" localSheetId="1">#REF!</definedName>
    <definedName name="DESCRIPTIONS">#REF!</definedName>
    <definedName name="dfasdcascasd" localSheetId="4">#REF!</definedName>
    <definedName name="dfasdcascasd">#REF!</definedName>
    <definedName name="DFASDF" localSheetId="4" hidden="1">#REF!</definedName>
    <definedName name="DFASDF" localSheetId="1" hidden="1">#REF!</definedName>
    <definedName name="DFASDF" hidden="1">#REF!</definedName>
    <definedName name="DFASDFASDFASDFADFACASDCASD" localSheetId="4">#REF!</definedName>
    <definedName name="DFASDFASDFASDFADFACASDCASD">#REF!</definedName>
    <definedName name="dfd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df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d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gg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fsfsdf">[29]견적990322!#REF!</definedName>
    <definedName name="DFW" localSheetId="2" hidden="1">#REF!</definedName>
    <definedName name="DFW" localSheetId="4" hidden="1">#REF!</definedName>
    <definedName name="DFW" localSheetId="1" hidden="1">#REF!</definedName>
    <definedName name="DFW" hidden="1">#REF!</definedName>
    <definedName name="dh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h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h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hj" localSheetId="4" hidden="1">{"'용역비'!$A$4:$C$8"}</definedName>
    <definedName name="dhj" localSheetId="1" hidden="1">{"'용역비'!$A$4:$C$8"}</definedName>
    <definedName name="dhj" hidden="1">{"'용역비'!$A$4:$C$8"}</definedName>
    <definedName name="dia_mm">[30]말뚝지지력산정!$J$19</definedName>
    <definedName name="dj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j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j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DRIVE" localSheetId="4">#REF!</definedName>
    <definedName name="DRIVE" localSheetId="1">#REF!</definedName>
    <definedName name="DRIVE">#REF!</definedName>
    <definedName name="DRTRTDKGMUKRT" localSheetId="4">#REF!</definedName>
    <definedName name="DRTRTDKGMUKRT">#REF!</definedName>
    <definedName name="DSF" hidden="1">'[31]도체종-상수표'!$S$48:$AV$48</definedName>
    <definedName name="DSVP" localSheetId="4">#REF!</definedName>
    <definedName name="DSVP">#REF!</definedName>
    <definedName name="dt">[32]dt0301!$B$4:$AF$2401</definedName>
    <definedName name="dtt">[32]dtt0301!$B$4:$AF$2401</definedName>
    <definedName name="DW" localSheetId="4" hidden="1">{"'용역비'!$A$4:$C$8"}</definedName>
    <definedName name="DW" localSheetId="1" hidden="1">{"'용역비'!$A$4:$C$8"}</definedName>
    <definedName name="DW" hidden="1">{"'용역비'!$A$4:$C$8"}</definedName>
    <definedName name="DWD" localSheetId="4" hidden="1">{#N/A,#N/A,FALSE,"전력간선"}</definedName>
    <definedName name="DWD" localSheetId="1" hidden="1">{#N/A,#N/A,FALSE,"전력간선"}</definedName>
    <definedName name="DWD" hidden="1">{#N/A,#N/A,FALSE,"전력간선"}</definedName>
    <definedName name="dwnpmt">[25]Inputs!$D$28</definedName>
    <definedName name="dx" localSheetId="1">표지!dx</definedName>
    <definedName name="dx">#N/A</definedName>
    <definedName name="E" localSheetId="4">#REF!</definedName>
    <definedName name="E" localSheetId="1">#REF!</definedName>
    <definedName name="E">#REF!</definedName>
    <definedName name="E10M" localSheetId="4">#REF!</definedName>
    <definedName name="E10M" localSheetId="1">#REF!</definedName>
    <definedName name="E10M">#REF!</definedName>
    <definedName name="E10P" localSheetId="4">#REF!</definedName>
    <definedName name="E10P">#REF!</definedName>
    <definedName name="E11M" localSheetId="4">#REF!</definedName>
    <definedName name="E11M">#REF!</definedName>
    <definedName name="E11P" localSheetId="4">#REF!</definedName>
    <definedName name="E11P">#REF!</definedName>
    <definedName name="E12M" localSheetId="4">#REF!</definedName>
    <definedName name="E12M">#REF!</definedName>
    <definedName name="E12P" localSheetId="4">#REF!</definedName>
    <definedName name="E12P">#REF!</definedName>
    <definedName name="E13M" localSheetId="4">#REF!</definedName>
    <definedName name="E13M">#REF!</definedName>
    <definedName name="E13P" localSheetId="4">#REF!</definedName>
    <definedName name="E13P">#REF!</definedName>
    <definedName name="E14M" localSheetId="4">#REF!</definedName>
    <definedName name="E14M">#REF!</definedName>
    <definedName name="E14P" localSheetId="4">#REF!</definedName>
    <definedName name="E14P">#REF!</definedName>
    <definedName name="E15M" localSheetId="4">#REF!</definedName>
    <definedName name="E15M">#REF!</definedName>
    <definedName name="E15P" localSheetId="4">#REF!</definedName>
    <definedName name="E15P">#REF!</definedName>
    <definedName name="E16M" localSheetId="4">#REF!</definedName>
    <definedName name="E16M">#REF!</definedName>
    <definedName name="E16P" localSheetId="4">#REF!</definedName>
    <definedName name="E16P">#REF!</definedName>
    <definedName name="E17M" localSheetId="4">#REF!</definedName>
    <definedName name="E17M">#REF!</definedName>
    <definedName name="E17P" localSheetId="4">#REF!</definedName>
    <definedName name="E17P">#REF!</definedName>
    <definedName name="E18M" localSheetId="4">#REF!</definedName>
    <definedName name="E18M">#REF!</definedName>
    <definedName name="E18P" localSheetId="4">#REF!</definedName>
    <definedName name="E18P">#REF!</definedName>
    <definedName name="E19M" localSheetId="4">#REF!</definedName>
    <definedName name="E19M">#REF!</definedName>
    <definedName name="E19P" localSheetId="4">#REF!</definedName>
    <definedName name="E19P">#REF!</definedName>
    <definedName name="E1E" localSheetId="4">#REF!</definedName>
    <definedName name="E1E">#REF!</definedName>
    <definedName name="E1M" localSheetId="4">#REF!</definedName>
    <definedName name="E1M">#REF!</definedName>
    <definedName name="E1P" localSheetId="4">#REF!</definedName>
    <definedName name="E1P">#REF!</definedName>
    <definedName name="E20M" localSheetId="4">#REF!</definedName>
    <definedName name="E20M">#REF!</definedName>
    <definedName name="E20P" localSheetId="4">#REF!</definedName>
    <definedName name="E20P">#REF!</definedName>
    <definedName name="E21M" localSheetId="4">#REF!</definedName>
    <definedName name="E21M">#REF!</definedName>
    <definedName name="E21P" localSheetId="4">#REF!</definedName>
    <definedName name="E21P">#REF!</definedName>
    <definedName name="E22M" localSheetId="4">#REF!</definedName>
    <definedName name="E22M">#REF!</definedName>
    <definedName name="E22P" localSheetId="4">#REF!</definedName>
    <definedName name="E22P">#REF!</definedName>
    <definedName name="E23M" localSheetId="4">#REF!</definedName>
    <definedName name="E23M">#REF!</definedName>
    <definedName name="E23P" localSheetId="4">#REF!</definedName>
    <definedName name="E23P">#REF!</definedName>
    <definedName name="E24M" localSheetId="4">#REF!</definedName>
    <definedName name="E24M">#REF!</definedName>
    <definedName name="E24P" localSheetId="4">#REF!</definedName>
    <definedName name="E24P">#REF!</definedName>
    <definedName name="E25M" localSheetId="4">[33]전기일위대가!#REF!</definedName>
    <definedName name="E25M">[33]전기일위대가!#REF!</definedName>
    <definedName name="E25P" localSheetId="4">[33]전기일위대가!#REF!</definedName>
    <definedName name="E25P">[33]전기일위대가!#REF!</definedName>
    <definedName name="E26E" localSheetId="4">#REF!</definedName>
    <definedName name="E26E" localSheetId="1">#REF!</definedName>
    <definedName name="E26E">#REF!</definedName>
    <definedName name="E26M" localSheetId="4">#REF!</definedName>
    <definedName name="E26M">#REF!</definedName>
    <definedName name="E26P" localSheetId="4">#REF!</definedName>
    <definedName name="E26P">#REF!</definedName>
    <definedName name="E27E" localSheetId="4">#REF!</definedName>
    <definedName name="E27E">#REF!</definedName>
    <definedName name="E27M" localSheetId="4">#REF!</definedName>
    <definedName name="E27M">#REF!</definedName>
    <definedName name="E27P" localSheetId="4">#REF!</definedName>
    <definedName name="E27P">#REF!</definedName>
    <definedName name="E28E" localSheetId="4">#REF!</definedName>
    <definedName name="E28E">#REF!</definedName>
    <definedName name="E28M" localSheetId="4">#REF!</definedName>
    <definedName name="E28M">#REF!</definedName>
    <definedName name="E28P" localSheetId="4">#REF!</definedName>
    <definedName name="E28P">#REF!</definedName>
    <definedName name="E29M" localSheetId="4">#REF!</definedName>
    <definedName name="E29M">#REF!</definedName>
    <definedName name="E29P" localSheetId="4">#REF!</definedName>
    <definedName name="E29P">#REF!</definedName>
    <definedName name="E2E" localSheetId="4">#REF!</definedName>
    <definedName name="E2E">#REF!</definedName>
    <definedName name="E2M" localSheetId="4">#REF!</definedName>
    <definedName name="E2M">#REF!</definedName>
    <definedName name="E2P" localSheetId="4">#REF!</definedName>
    <definedName name="E2P">#REF!</definedName>
    <definedName name="E30M" localSheetId="4">#REF!</definedName>
    <definedName name="E30M">#REF!</definedName>
    <definedName name="E30P" localSheetId="4">#REF!</definedName>
    <definedName name="E30P">#REF!</definedName>
    <definedName name="E31E" localSheetId="4">[33]전기일위대가!#REF!</definedName>
    <definedName name="E31E">[33]전기일위대가!#REF!</definedName>
    <definedName name="E31M" localSheetId="4">[33]전기일위대가!#REF!</definedName>
    <definedName name="E31M">[33]전기일위대가!#REF!</definedName>
    <definedName name="E31P" localSheetId="4">[33]전기일위대가!#REF!</definedName>
    <definedName name="E31P">[33]전기일위대가!#REF!</definedName>
    <definedName name="E32E" localSheetId="4">[33]전기일위대가!#REF!</definedName>
    <definedName name="E32E">[33]전기일위대가!#REF!</definedName>
    <definedName name="E32M">[33]전기일위대가!#REF!</definedName>
    <definedName name="E32P">[33]전기일위대가!#REF!</definedName>
    <definedName name="E33E">[33]전기일위대가!#REF!</definedName>
    <definedName name="E33M">[33]전기일위대가!#REF!</definedName>
    <definedName name="E33P">[33]전기일위대가!#REF!</definedName>
    <definedName name="E34E">[33]전기일위대가!#REF!</definedName>
    <definedName name="E34M">[33]전기일위대가!#REF!</definedName>
    <definedName name="E34P">[33]전기일위대가!#REF!</definedName>
    <definedName name="E35M" localSheetId="4">#REF!</definedName>
    <definedName name="E35M" localSheetId="1">#REF!</definedName>
    <definedName name="E35M">#REF!</definedName>
    <definedName name="E35P" localSheetId="4">#REF!</definedName>
    <definedName name="E35P">#REF!</definedName>
    <definedName name="E36M" localSheetId="4">[33]전기일위대가!#REF!</definedName>
    <definedName name="E36M">[33]전기일위대가!#REF!</definedName>
    <definedName name="E36P" localSheetId="4">[33]전기일위대가!#REF!</definedName>
    <definedName name="E36P">[33]전기일위대가!#REF!</definedName>
    <definedName name="E37M" localSheetId="4">[33]전기일위대가!#REF!</definedName>
    <definedName name="E37M">[33]전기일위대가!#REF!</definedName>
    <definedName name="E37P" localSheetId="4">[33]전기일위대가!#REF!</definedName>
    <definedName name="E37P">[33]전기일위대가!#REF!</definedName>
    <definedName name="E38M">[33]전기일위대가!#REF!</definedName>
    <definedName name="E38P">[33]전기일위대가!#REF!</definedName>
    <definedName name="E39M">[33]전기일위대가!#REF!</definedName>
    <definedName name="E39P">[33]전기일위대가!#REF!</definedName>
    <definedName name="E3P" localSheetId="4">#REF!</definedName>
    <definedName name="E3P" localSheetId="1">#REF!</definedName>
    <definedName name="E3P">#REF!</definedName>
    <definedName name="E40M" localSheetId="4">[33]전기일위대가!#REF!</definedName>
    <definedName name="E40M" localSheetId="1">[33]전기일위대가!#REF!</definedName>
    <definedName name="E40M">[33]전기일위대가!#REF!</definedName>
    <definedName name="E40P" localSheetId="1">[33]전기일위대가!#REF!</definedName>
    <definedName name="E40P">[33]전기일위대가!#REF!</definedName>
    <definedName name="E41M" localSheetId="1">[33]전기일위대가!#REF!</definedName>
    <definedName name="E41M">[33]전기일위대가!#REF!</definedName>
    <definedName name="E41P" localSheetId="1">[33]전기일위대가!#REF!</definedName>
    <definedName name="E41P">[33]전기일위대가!#REF!</definedName>
    <definedName name="E42M" localSheetId="1">[33]전기일위대가!#REF!</definedName>
    <definedName name="E42M">[33]전기일위대가!#REF!</definedName>
    <definedName name="E42P" localSheetId="1">[33]전기일위대가!#REF!</definedName>
    <definedName name="E42P">[33]전기일위대가!#REF!</definedName>
    <definedName name="E43M" localSheetId="4">#REF!</definedName>
    <definedName name="E43M" localSheetId="1">#REF!</definedName>
    <definedName name="E43M">#REF!</definedName>
    <definedName name="E43P" localSheetId="4">#REF!</definedName>
    <definedName name="E43P">#REF!</definedName>
    <definedName name="E44M" localSheetId="4">#REF!</definedName>
    <definedName name="E44M">#REF!</definedName>
    <definedName name="E44P" localSheetId="4">#REF!</definedName>
    <definedName name="E44P">#REF!</definedName>
    <definedName name="E45M" localSheetId="4">#REF!</definedName>
    <definedName name="E45M">#REF!</definedName>
    <definedName name="E45P" localSheetId="4">#REF!</definedName>
    <definedName name="E45P">#REF!</definedName>
    <definedName name="E46M" localSheetId="4">#REF!</definedName>
    <definedName name="E46M">#REF!</definedName>
    <definedName name="E46P" localSheetId="4">#REF!</definedName>
    <definedName name="E46P">#REF!</definedName>
    <definedName name="E47M" localSheetId="4">#REF!</definedName>
    <definedName name="E47M">#REF!</definedName>
    <definedName name="E47P" localSheetId="4">#REF!</definedName>
    <definedName name="E47P">#REF!</definedName>
    <definedName name="E48M" localSheetId="4">[33]전기일위대가!#REF!</definedName>
    <definedName name="E48M">[33]전기일위대가!#REF!</definedName>
    <definedName name="E48P" localSheetId="4">[33]전기일위대가!#REF!</definedName>
    <definedName name="E48P">[33]전기일위대가!#REF!</definedName>
    <definedName name="E49M" localSheetId="4">#REF!</definedName>
    <definedName name="E49M" localSheetId="1">#REF!</definedName>
    <definedName name="E49M">#REF!</definedName>
    <definedName name="E49P" localSheetId="4">#REF!</definedName>
    <definedName name="E49P">#REF!</definedName>
    <definedName name="E4M" localSheetId="4">#REF!</definedName>
    <definedName name="E4M">#REF!</definedName>
    <definedName name="E4P" localSheetId="4">#REF!</definedName>
    <definedName name="E4P">#REF!</definedName>
    <definedName name="E50M" localSheetId="4">#REF!</definedName>
    <definedName name="E50M">#REF!</definedName>
    <definedName name="E50P" localSheetId="4">#REF!</definedName>
    <definedName name="E50P">#REF!</definedName>
    <definedName name="E51E" localSheetId="4">#REF!</definedName>
    <definedName name="E51E">#REF!</definedName>
    <definedName name="E52M" localSheetId="4">[33]전기일위대가!#REF!</definedName>
    <definedName name="E52M">[33]전기일위대가!#REF!</definedName>
    <definedName name="E52P" localSheetId="4">[33]전기일위대가!#REF!</definedName>
    <definedName name="E52P">[33]전기일위대가!#REF!</definedName>
    <definedName name="E53M" localSheetId="4">[33]전기일위대가!#REF!</definedName>
    <definedName name="E53M">[33]전기일위대가!#REF!</definedName>
    <definedName name="E53P" localSheetId="4">[33]전기일위대가!#REF!</definedName>
    <definedName name="E53P">[33]전기일위대가!#REF!</definedName>
    <definedName name="E54M">[33]전기일위대가!#REF!</definedName>
    <definedName name="E54P">[33]전기일위대가!#REF!</definedName>
    <definedName name="E55M">[33]전기일위대가!#REF!</definedName>
    <definedName name="E55P">[33]전기일위대가!#REF!</definedName>
    <definedName name="E56M">[33]전기일위대가!#REF!</definedName>
    <definedName name="E56P">[33]전기일위대가!#REF!</definedName>
    <definedName name="E57M">[33]전기일위대가!#REF!</definedName>
    <definedName name="E57P">[33]전기일위대가!#REF!</definedName>
    <definedName name="E58M">[33]전기일위대가!#REF!</definedName>
    <definedName name="E58P">[33]전기일위대가!#REF!</definedName>
    <definedName name="E59M">[33]전기일위대가!#REF!</definedName>
    <definedName name="E59P">[33]전기일위대가!#REF!</definedName>
    <definedName name="E5M" localSheetId="4">#REF!</definedName>
    <definedName name="E5M" localSheetId="1">#REF!</definedName>
    <definedName name="E5M">#REF!</definedName>
    <definedName name="E5P" localSheetId="4">#REF!</definedName>
    <definedName name="E5P">#REF!</definedName>
    <definedName name="E60M" localSheetId="4">[33]전기일위대가!#REF!</definedName>
    <definedName name="E60M">[33]전기일위대가!#REF!</definedName>
    <definedName name="E60P" localSheetId="4">[33]전기일위대가!#REF!</definedName>
    <definedName name="E60P">[33]전기일위대가!#REF!</definedName>
    <definedName name="E61M" localSheetId="4">[33]전기일위대가!#REF!</definedName>
    <definedName name="E61M">[33]전기일위대가!#REF!</definedName>
    <definedName name="E61P" localSheetId="4">[33]전기일위대가!#REF!</definedName>
    <definedName name="E61P">[33]전기일위대가!#REF!</definedName>
    <definedName name="E62M">[33]전기일위대가!#REF!</definedName>
    <definedName name="E62P">[33]전기일위대가!#REF!</definedName>
    <definedName name="E63M">[33]전기일위대가!#REF!</definedName>
    <definedName name="E63P">[33]전기일위대가!#REF!</definedName>
    <definedName name="E64M">[33]전기일위대가!#REF!</definedName>
    <definedName name="E64P">[33]전기일위대가!#REF!</definedName>
    <definedName name="E65M">[33]전기일위대가!#REF!</definedName>
    <definedName name="E65P">[33]전기일위대가!#REF!</definedName>
    <definedName name="E66M">[33]전기일위대가!#REF!</definedName>
    <definedName name="E66P">[33]전기일위대가!#REF!</definedName>
    <definedName name="E67M">[33]전기일위대가!#REF!</definedName>
    <definedName name="E67P">[33]전기일위대가!#REF!</definedName>
    <definedName name="E68M">[33]전기일위대가!#REF!</definedName>
    <definedName name="E6M" localSheetId="4">#REF!</definedName>
    <definedName name="E6M" localSheetId="1">#REF!</definedName>
    <definedName name="E6M">#REF!</definedName>
    <definedName name="E6P" localSheetId="4">#REF!</definedName>
    <definedName name="E6P">#REF!</definedName>
    <definedName name="E7M" localSheetId="4">#REF!</definedName>
    <definedName name="E7M">#REF!</definedName>
    <definedName name="E7P" localSheetId="4">#REF!</definedName>
    <definedName name="E7P">#REF!</definedName>
    <definedName name="E8M" localSheetId="4">#REF!</definedName>
    <definedName name="E8M">#REF!</definedName>
    <definedName name="E8P" localSheetId="4">#REF!</definedName>
    <definedName name="E8P">#REF!</definedName>
    <definedName name="E9M" localSheetId="4">#REF!</definedName>
    <definedName name="E9M">#REF!</definedName>
    <definedName name="E9P" localSheetId="4">#REF!</definedName>
    <definedName name="E9P">#REF!</definedName>
    <definedName name="ee" localSheetId="4" hidden="1">{#N/A,#N/A,FALSE,"단가표지"}</definedName>
    <definedName name="EE" localSheetId="1">[34]산거각호표!#REF!</definedName>
    <definedName name="ee" hidden="1">{#N/A,#N/A,FALSE,"단가표지"}</definedName>
    <definedName name="eeeeeee" localSheetId="4" hidden="1">{"'자리배치도'!$AG$1:$CI$28"}</definedName>
    <definedName name="eeeeeee" localSheetId="1" hidden="1">{"'자리배치도'!$AG$1:$CI$28"}</definedName>
    <definedName name="eeeeeee" hidden="1">{"'자리배치도'!$AG$1:$CI$28"}</definedName>
    <definedName name="EF">#REF!</definedName>
    <definedName name="efdd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efdd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efd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EGE" localSheetId="4" hidden="1">{"'용역비'!$A$4:$C$8"}</definedName>
    <definedName name="EGE" localSheetId="1" hidden="1">{"'용역비'!$A$4:$C$8"}</definedName>
    <definedName name="EGE" hidden="1">{"'용역비'!$A$4:$C$8"}</definedName>
    <definedName name="ej" localSheetId="4" hidden="1">{"'용역비'!$A$4:$C$8"}</definedName>
    <definedName name="ej" localSheetId="1" hidden="1">{"'용역비'!$A$4:$C$8"}</definedName>
    <definedName name="ej" hidden="1">{"'용역비'!$A$4:$C$8"}</definedName>
    <definedName name="ENDD">[25]Inputs!$D$17</definedName>
    <definedName name="Ending.Balance" localSheetId="1">IF(#REF!&lt;&gt;"",#REF!-#REF!,"")</definedName>
    <definedName name="Ending.Balance">IF(#REF!&lt;&gt;"",#REF!-#REF!,"")</definedName>
    <definedName name="Entered_payment" localSheetId="4">#REF!</definedName>
    <definedName name="Entered_payment" localSheetId="1">#REF!</definedName>
    <definedName name="Entered_payment">#REF!</definedName>
    <definedName name="ErrName289562463" localSheetId="4" hidden="1">[35]합천내역!#REF!</definedName>
    <definedName name="ErrName289562463" localSheetId="1" hidden="1">[35]합천내역!#REF!</definedName>
    <definedName name="ErrName289562463" hidden="1">[35]합천내역!#REF!</definedName>
    <definedName name="ErrName533424019" localSheetId="1" hidden="1">[35]합천내역!#REF!</definedName>
    <definedName name="ErrName533424019" hidden="1">[35]합천내역!#REF!</definedName>
    <definedName name="ErrName709037899" localSheetId="1" hidden="1">[35]합천내역!#REF!</definedName>
    <definedName name="ErrName709037899" hidden="1">[35]합천내역!#REF!</definedName>
    <definedName name="ErrName760723590" localSheetId="1" hidden="1">[35]합천내역!#REF!</definedName>
    <definedName name="ErrName760723590" hidden="1">[35]합천내역!#REF!</definedName>
    <definedName name="ErrName774740099" localSheetId="1" hidden="1">[35]합천내역!#REF!</definedName>
    <definedName name="ErrName774740099" hidden="1">[35]합천내역!#REF!</definedName>
    <definedName name="ertyertye" localSheetId="4" hidden="1">{"'용역비'!$A$4:$C$8"}</definedName>
    <definedName name="ertyertye" localSheetId="1" hidden="1">{"'용역비'!$A$4:$C$8"}</definedName>
    <definedName name="ertyertye" hidden="1">{"'용역비'!$A$4:$C$8"}</definedName>
    <definedName name="ETYETY" localSheetId="4" hidden="1">{"'용역비'!$A$4:$C$8"}</definedName>
    <definedName name="ETYETY" localSheetId="1" hidden="1">{"'용역비'!$A$4:$C$8"}</definedName>
    <definedName name="ETYETY" hidden="1">{"'용역비'!$A$4:$C$8"}</definedName>
    <definedName name="etyj" localSheetId="4" hidden="1">{"'용역비'!$A$4:$C$8"}</definedName>
    <definedName name="etyj" localSheetId="1" hidden="1">{"'용역비'!$A$4:$C$8"}</definedName>
    <definedName name="etyj" hidden="1">{"'용역비'!$A$4:$C$8"}</definedName>
    <definedName name="etyjj" localSheetId="4" hidden="1">{"'용역비'!$A$4:$C$8"}</definedName>
    <definedName name="etyjj" localSheetId="1" hidden="1">{"'용역비'!$A$4:$C$8"}</definedName>
    <definedName name="etyjj" hidden="1">{"'용역비'!$A$4:$C$8"}</definedName>
    <definedName name="ETYJTYJ" localSheetId="4" hidden="1">{"'용역비'!$A$4:$C$8"}</definedName>
    <definedName name="ETYJTYJ" localSheetId="1" hidden="1">{"'용역비'!$A$4:$C$8"}</definedName>
    <definedName name="ETYJTYJ" hidden="1">{"'용역비'!$A$4:$C$8"}</definedName>
    <definedName name="EWAFADS" hidden="1">[36]Sheet14!$M$61:$M$130</definedName>
    <definedName name="EWFDA" hidden="1">[36]Sheet14!$Q$45:$AT$45</definedName>
    <definedName name="EWR" hidden="1">'[31]도체종-상수표'!$S$48:$AV$48</definedName>
    <definedName name="ewrertr4" localSheetId="4" hidden="1">{"'자리배치도'!$AG$1:$CI$28"}</definedName>
    <definedName name="ewrertr4" localSheetId="1" hidden="1">{"'자리배치도'!$AG$1:$CI$28"}</definedName>
    <definedName name="ewrertr4" hidden="1">{"'자리배치도'!$AG$1:$CI$28"}</definedName>
    <definedName name="_xlnm.Extract">#REF!</definedName>
    <definedName name="F" localSheetId="4">#REF!</definedName>
    <definedName name="F" localSheetId="1">#REF!</definedName>
    <definedName name="F">#REF!</definedName>
    <definedName name="fdfd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d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dfd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dfd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df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e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e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fe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S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S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D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E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E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EFE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" localSheetId="4" hidden="1">{#N/A,#N/A,FALSE,"운반시간"}</definedName>
    <definedName name="FF" localSheetId="1">BlankMacro1</definedName>
    <definedName name="ff" hidden="1">{#N/A,#N/A,FALSE,"운반시간"}</definedName>
    <definedName name="fff">[37]일위대가목차!$D$3:$D$9</definedName>
    <definedName name="fffff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f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ff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ffffff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G" localSheetId="4">#REF!</definedName>
    <definedName name="FG" localSheetId="1">#REF!</definedName>
    <definedName name="FG">#REF!</definedName>
    <definedName name="FG12TBTB2RTDKDKGMLRT" localSheetId="1">[38]협조전!#REF!</definedName>
    <definedName name="FG12TBTB2RTDKDKGMLRT">[38]협조전!#REF!</definedName>
    <definedName name="FG46TBTB4RTDKDK" localSheetId="4">#REF!</definedName>
    <definedName name="FG46TBTB4RTDKDK" localSheetId="1">#REF!</definedName>
    <definedName name="FG46TBTB4RTDKDK">#REF!</definedName>
    <definedName name="FGD" localSheetId="4">#REF!</definedName>
    <definedName name="FGD">#REF!</definedName>
    <definedName name="FG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GF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FGRKRKRKRKRKRKRKRKRKRKRKRKRKRKR" localSheetId="4">#REF!</definedName>
    <definedName name="FGRKRKRKRKRKRKRKRKRKRKRKRKRKRKR" localSheetId="1">#REF!</definedName>
    <definedName name="FGRKRKRKRKRKRKRKRKRKRKRKRKRKRKR">#REF!</definedName>
    <definedName name="fgRKRKRKRKRKRKRKRKRKTBTB1RTDKDK" localSheetId="1">[39]부대대비!#REF!</definedName>
    <definedName name="fgRKRKRKRKRKRKRKRKRKTBTB1RTDKDK">[39]부대대비!#REF!</definedName>
    <definedName name="FGrkrkrkrkrkrkrktbtbsptbrt" localSheetId="1">[40]TEL!#REF!</definedName>
    <definedName name="FGrkrkrkrkrkrkrktbtbsptbrt">[40]TEL!#REF!</definedName>
    <definedName name="FGRKRKRKRKRKRKTBTB1RTDKDK">[39]냉연집계!#REF!</definedName>
    <definedName name="FH" hidden="1">'[31]도체종-상수표'!$S$47:$AV$47</definedName>
    <definedName name="FHFH" hidden="1">[41]수량산출!$A$1:$A$8561</definedName>
    <definedName name="FHFK" hidden="1">[41]수량산출!#REF!</definedName>
    <definedName name="First_payment_due" localSheetId="4">#REF!</definedName>
    <definedName name="First_payment_due" localSheetId="1">#REF!</definedName>
    <definedName name="First_payment_due">#REF!</definedName>
    <definedName name="First_payment_no" localSheetId="4">#REF!</definedName>
    <definedName name="First_payment_no" localSheetId="1">#REF!</definedName>
    <definedName name="First_payment_no">#REF!</definedName>
    <definedName name="FK" localSheetId="4" hidden="1">{"'용역비'!$A$4:$C$8"}</definedName>
    <definedName name="FK" localSheetId="1" hidden="1">{"'용역비'!$A$4:$C$8"}</definedName>
    <definedName name="FK" hidden="1">{"'용역비'!$A$4:$C$8"}</definedName>
    <definedName name="FRAR">#REF!</definedName>
    <definedName name="FRTTREE" localSheetId="4">#REF!</definedName>
    <definedName name="FRTTREE">#REF!</definedName>
    <definedName name="fv" localSheetId="4" hidden="1">{#N/A,#N/A,FALSE,"전력간선"}</definedName>
    <definedName name="fv" localSheetId="1" hidden="1">{#N/A,#N/A,FALSE,"전력간선"}</definedName>
    <definedName name="fv" hidden="1">{#N/A,#N/A,FALSE,"전력간선"}</definedName>
    <definedName name="G" localSheetId="4">#REF!</definedName>
    <definedName name="G" localSheetId="1">#REF!</definedName>
    <definedName name="G">#REF!</definedName>
    <definedName name="gbc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bc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bc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EW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EW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EW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f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fg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gf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FSD" hidden="1">'[31]도체종-상수표'!$Q$48:$AT$48</definedName>
    <definedName name="g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g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G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GG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G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GH" localSheetId="4">[0]!BlankMacro1</definedName>
    <definedName name="GH" localSheetId="1">[0]!BlankMacro1</definedName>
    <definedName name="GH">[0]!BlankMacro1</definedName>
    <definedName name="GREAT" localSheetId="4">#REF!</definedName>
    <definedName name="GREAT" localSheetId="1">#REF!</definedName>
    <definedName name="GREAT">#REF!</definedName>
    <definedName name="GS" localSheetId="4">#REF!</definedName>
    <definedName name="GS" localSheetId="1">#REF!</definedName>
    <definedName name="GS">#REF!</definedName>
    <definedName name="gu" localSheetId="4">#REF!,#REF!</definedName>
    <definedName name="gu" localSheetId="1">#REF!,#REF!</definedName>
    <definedName name="gu">#REF!,#REF!</definedName>
    <definedName name="G견적" localSheetId="4" hidden="1">{#N/A,#N/A,TRUE,"손익보고"}</definedName>
    <definedName name="G견적" localSheetId="1" hidden="1">{#N/A,#N/A,TRUE,"손익보고"}</definedName>
    <definedName name="G견적" hidden="1">{#N/A,#N/A,TRUE,"손익보고"}</definedName>
    <definedName name="H" localSheetId="4">#REF!</definedName>
    <definedName name="H" localSheetId="1">#REF!</definedName>
    <definedName name="H">#REF!</definedName>
    <definedName name="h_water" localSheetId="1">'[42]3BL공동구 수량'!#REF!</definedName>
    <definedName name="h_water">'[42]3BL공동구 수량'!#REF!</definedName>
    <definedName name="HAF" localSheetId="4">#REF!</definedName>
    <definedName name="HAF" localSheetId="1">#REF!</definedName>
    <definedName name="HAF">#REF!</definedName>
    <definedName name="hat" localSheetId="4">#REF!</definedName>
    <definedName name="hat">#REF!</definedName>
    <definedName name="HBV" localSheetId="4">#REF!</definedName>
    <definedName name="HBV">#REF!</definedName>
    <definedName name="HCR" localSheetId="4">#REF!</definedName>
    <definedName name="HCR">#REF!</definedName>
    <definedName name="HDGBGD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DGBGD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DGBGD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DSVP" localSheetId="4">#REF!</definedName>
    <definedName name="HDSVP" localSheetId="1">#REF!</definedName>
    <definedName name="HDSVP">#REF!</definedName>
    <definedName name="HERE" localSheetId="4" hidden="1">{#N/A,#N/A,TRUE,"손익보고"}</definedName>
    <definedName name="HERE" localSheetId="1" hidden="1">{#N/A,#N/A,TRUE,"손익보고"}</definedName>
    <definedName name="HERE" hidden="1">{#N/A,#N/A,TRUE,"손익보고"}</definedName>
    <definedName name="HH" localSheetId="4">BlankMacro1</definedName>
    <definedName name="HH" localSheetId="1">BlankMacro1</definedName>
    <definedName name="HH">BlankMacro1</definedName>
    <definedName name="HHAF" localSheetId="4">#REF!</definedName>
    <definedName name="HHAF" localSheetId="1">#REF!</definedName>
    <definedName name="HHAF">#REF!</definedName>
    <definedName name="hhh">[24]!Macro6</definedName>
    <definedName name="HHHH" localSheetId="2" hidden="1">#REF!</definedName>
    <definedName name="HHHH" localSheetId="4" hidden="1">#REF!</definedName>
    <definedName name="HHHH" localSheetId="1" hidden="1">#REF!</definedName>
    <definedName name="HHHH" hidden="1">#REF!</definedName>
    <definedName name="HHMF" localSheetId="4">#REF!</definedName>
    <definedName name="HHMF" localSheetId="1">#REF!</definedName>
    <definedName name="HHMF">#REF!</definedName>
    <definedName name="HIT">'[43]2F 회의실견적(5_14 일대)'!$J$31</definedName>
    <definedName name="HMF" localSheetId="4">#REF!</definedName>
    <definedName name="HMF" localSheetId="1">#REF!</definedName>
    <definedName name="HMF">#REF!</definedName>
    <definedName name="HMHM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MHM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MHM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MOTOR" localSheetId="4">#REF!</definedName>
    <definedName name="HMOTOR" localSheetId="1">#REF!</definedName>
    <definedName name="HMOTOR">#REF!</definedName>
    <definedName name="HPUMP" localSheetId="4">#REF!</definedName>
    <definedName name="HPUMP" localSheetId="1">#REF!</definedName>
    <definedName name="HPUMP">#REF!</definedName>
    <definedName name="HSR" localSheetId="4" hidden="1">{"'용역비'!$A$4:$C$8"}</definedName>
    <definedName name="HSR" localSheetId="1" hidden="1">{"'용역비'!$A$4:$C$8"}</definedName>
    <definedName name="HSR" hidden="1">{"'용역비'!$A$4:$C$8"}</definedName>
    <definedName name="HSV">#REF!</definedName>
    <definedName name="HTHT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THT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TH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HTML_CodePage" hidden="1">949</definedName>
    <definedName name="HTML_Control" localSheetId="4" hidden="1">{"'Firr(선)'!$AS$1:$AY$62","'Firr(사)'!$AS$1:$AY$62","'Firr(회)'!$AS$1:$AY$62","'Firr(선)'!$L$1:$V$62","'Firr(사)'!$L$1:$V$62","'Firr(회)'!$L$1:$V$62"}</definedName>
    <definedName name="HTML_Control" localSheetId="1" hidden="1">{"'Firr(선)'!$AS$1:$AY$62","'Firr(사)'!$AS$1:$AY$62","'Firr(회)'!$AS$1:$AY$62","'Firr(선)'!$L$1:$V$62","'Firr(사)'!$L$1:$V$62","'Firr(회)'!$L$1:$V$62"}</definedName>
    <definedName name="HTML_Control" hidden="1">{"'Firr(선)'!$AS$1:$AY$62","'Firr(사)'!$AS$1:$AY$62","'Firr(회)'!$AS$1:$AY$62","'Firr(선)'!$L$1:$V$62","'Firr(사)'!$L$1:$V$62","'Firr(회)'!$L$1:$V$62"}</definedName>
    <definedName name="HTML_Description" hidden="1">""</definedName>
    <definedName name="HTML_Email" hidden="1">""</definedName>
    <definedName name="HTML_Header" hidden="1">"8%"</definedName>
    <definedName name="HTML_LastUpdate" hidden="1">"2000-11-08"</definedName>
    <definedName name="HTML_LineAfter" hidden="1">FALSE</definedName>
    <definedName name="HTML_LineBefore" hidden="1">FALSE</definedName>
    <definedName name="HTML_Name" hidden="1">"이제찬"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"Firrsrwd"</definedName>
    <definedName name="HVAFP" localSheetId="4">#REF!</definedName>
    <definedName name="HVAFP" localSheetId="1">#REF!</definedName>
    <definedName name="HVAFP">#REF!</definedName>
    <definedName name="HVMF" localSheetId="4">#REF!</definedName>
    <definedName name="HVMF" localSheetId="1">#REF!</definedName>
    <definedName name="HVMF">#REF!</definedName>
    <definedName name="HWEI" localSheetId="4">#REF!</definedName>
    <definedName name="HWEI">#REF!</definedName>
    <definedName name="hw설치기사" localSheetId="4">#REF!</definedName>
    <definedName name="hw설치기사">#REF!</definedName>
    <definedName name="hw시험기사" localSheetId="4">#REF!</definedName>
    <definedName name="hw시험기사">#REF!</definedName>
    <definedName name="H모래180규격" localSheetId="4">[44]SORCE1!$N$18:$Y$32</definedName>
    <definedName name="H모래180규격">[45]SORCE1!$N$18:$Y$32</definedName>
    <definedName name="H모래90규격" localSheetId="4">[44]SORCE1!$A$18:$L$32</definedName>
    <definedName name="H모래90규격">[45]SORCE1!$A$18:$L$32</definedName>
    <definedName name="I" localSheetId="4">#REF!</definedName>
    <definedName name="I" localSheetId="1">#REF!</definedName>
    <definedName name="I">#REF!</definedName>
    <definedName name="IAT" localSheetId="4">#REF!</definedName>
    <definedName name="IAT">#REF!</definedName>
    <definedName name="ID" localSheetId="4">#REF!,#REF!</definedName>
    <definedName name="ID" localSheetId="1">#REF!,#REF!</definedName>
    <definedName name="ID">#REF!,#REF!</definedName>
    <definedName name="III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" localSheetId="4" hidden="1">{"'용역비'!$A$4:$C$8"}</definedName>
    <definedName name="IIII" localSheetId="1" hidden="1">{"'용역비'!$A$4:$C$8"}</definedName>
    <definedName name="IIII" hidden="1">{"'용역비'!$A$4:$C$8"}</definedName>
    <definedName name="iiiii" localSheetId="4" hidden="1">{"'자리배치도'!$AG$1:$CI$28"}</definedName>
    <definedName name="iiiii" localSheetId="1" hidden="1">{"'자리배치도'!$AG$1:$CI$28"}</definedName>
    <definedName name="iiiii" hidden="1">{"'자리배치도'!$AG$1:$CI$28"}</definedName>
    <definedName name="iiiiii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i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i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iiiiii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u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u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iu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L" localSheetId="4">#REF!</definedName>
    <definedName name="IL" localSheetId="1">#REF!</definedName>
    <definedName name="IL">#REF!</definedName>
    <definedName name="INPUT">'[6]YES-T'!$A$22:$BE$381</definedName>
    <definedName name="Interest">#N/A</definedName>
    <definedName name="INV" localSheetId="4">#REF!</definedName>
    <definedName name="INV" localSheetId="1">#REF!</definedName>
    <definedName name="INV">#REF!</definedName>
    <definedName name="IOI" localSheetId="4" hidden="1">{"'용역비'!$A$4:$C$8"}</definedName>
    <definedName name="IOI" localSheetId="1" hidden="1">{"'용역비'!$A$4:$C$8"}</definedName>
    <definedName name="IOI" hidden="1">{"'용역비'!$A$4:$C$8"}</definedName>
    <definedName name="IPT">#N/A</definedName>
    <definedName name="ir_d3" localSheetId="2">#REF!</definedName>
    <definedName name="ir_d3" localSheetId="4">#REF!</definedName>
    <definedName name="ir_d3" localSheetId="1">#REF!</definedName>
    <definedName name="ir_d3">#REF!</definedName>
    <definedName name="ir2rtcfr3c1r4c26rtqu" localSheetId="4">#REF!</definedName>
    <definedName name="ir2rtcfr3c1r4c26rtqu">#REF!</definedName>
    <definedName name="ITEM" localSheetId="4">#REF!</definedName>
    <definedName name="ITEM">#REF!</definedName>
    <definedName name="ITEM_">'[6]YES-T'!$A$22:$IV$400</definedName>
    <definedName name="iu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uu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uu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iuuu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" localSheetId="4">#REF!</definedName>
    <definedName name="J" localSheetId="1">#REF!</definedName>
    <definedName name="J">#REF!</definedName>
    <definedName name="J_D" localSheetId="4">#REF!</definedName>
    <definedName name="J_D" localSheetId="1">#REF!</definedName>
    <definedName name="J_D">#REF!</definedName>
    <definedName name="JACK100TON" localSheetId="4">'[46]가시설(TYPE-A)'!#REF!</definedName>
    <definedName name="JACK100TON" localSheetId="1">'[46]가시설(TYPE-A)'!#REF!</definedName>
    <definedName name="JACK100TON">'[46]가시설(TYPE-A)'!#REF!</definedName>
    <definedName name="JANG" hidden="1">[1]Sheet14!$Q$45:$AT$45</definedName>
    <definedName name="jhewjopf" localSheetId="4" hidden="1">{#N/A,#N/A,TRUE,"토적및재료집계";#N/A,#N/A,TRUE,"토적및재료집계";#N/A,#N/A,TRUE,"단위량"}</definedName>
    <definedName name="jhewjopf" localSheetId="1" hidden="1">{#N/A,#N/A,TRUE,"토적및재료집계";#N/A,#N/A,TRUE,"토적및재료집계";#N/A,#N/A,TRUE,"단위량"}</definedName>
    <definedName name="jhewjopf" hidden="1">{#N/A,#N/A,TRUE,"토적및재료집계";#N/A,#N/A,TRUE,"토적및재료집계";#N/A,#N/A,TRUE,"단위량"}</definedName>
    <definedName name="jihoo" localSheetId="4" hidden="1">{#N/A,#N/A,FALSE,"전력간선"}</definedName>
    <definedName name="jihoo" localSheetId="1" hidden="1">{#N/A,#N/A,FALSE,"전력간선"}</definedName>
    <definedName name="jihoo" hidden="1">{#N/A,#N/A,FALSE,"전력간선"}</definedName>
    <definedName name="JJ" localSheetId="4">BlankMacro1</definedName>
    <definedName name="JJ" localSheetId="1">BlankMacro1</definedName>
    <definedName name="JJ">BlankMacro1</definedName>
    <definedName name="JJJ" localSheetId="2" hidden="1">#REF!</definedName>
    <definedName name="JJJ" localSheetId="4" hidden="1">#REF!</definedName>
    <definedName name="JJJ" localSheetId="1" hidden="1">#REF!</definedName>
    <definedName name="JJJ" hidden="1">#REF!</definedName>
    <definedName name="JJJJ" localSheetId="4">BlankMacro1</definedName>
    <definedName name="JJJJ" localSheetId="1">BlankMacro1</definedName>
    <definedName name="JJJJ">BlankMacro1</definedName>
    <definedName name="JK" hidden="1">'[31]도체종-상수표'!$Q$48:$AT$48</definedName>
    <definedName name="JYJY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YJY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JYJY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">[24]!Macro12</definedName>
    <definedName name="K_D" localSheetId="4">#REF!</definedName>
    <definedName name="K_D" localSheetId="1">#REF!</definedName>
    <definedName name="K_D">#REF!</definedName>
    <definedName name="KA">'[47]조도계산서 (도서)'!$B$61:$E$68</definedName>
    <definedName name="KD" localSheetId="4">#REF!</definedName>
    <definedName name="KD" localSheetId="1">#REF!</definedName>
    <definedName name="KD">#REF!</definedName>
    <definedName name="kdjf" localSheetId="4">#REF!</definedName>
    <definedName name="kdjf">#REF!</definedName>
    <definedName name="k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KK" localSheetId="2" hidden="1">#REF!</definedName>
    <definedName name="KKK" localSheetId="4" hidden="1">#REF!</definedName>
    <definedName name="KKK" localSheetId="1" hidden="1">#REF!</definedName>
    <definedName name="KKK" hidden="1">#REF!</definedName>
    <definedName name="KKKK" localSheetId="4">BlankMacro1</definedName>
    <definedName name="KKKK" localSheetId="1">BlankMacro1</definedName>
    <definedName name="KKKK">BlankMacro1</definedName>
    <definedName name="KO" localSheetId="2">#REF!</definedName>
    <definedName name="KO" localSheetId="4">#REF!</definedName>
    <definedName name="KO" localSheetId="1">#REF!</definedName>
    <definedName name="KO">#REF!</definedName>
    <definedName name="ktf" localSheetId="4" hidden="1">#REF!</definedName>
    <definedName name="ktf" hidden="1">#REF!</definedName>
    <definedName name="kty" localSheetId="4" hidden="1">#REF!</definedName>
    <definedName name="kty" hidden="1">#REF!</definedName>
    <definedName name="KUK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UK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KUK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" localSheetId="2">#REF!</definedName>
    <definedName name="L" localSheetId="4">#REF!</definedName>
    <definedName name="L" localSheetId="1">#REF!</definedName>
    <definedName name="L">#REF!</definedName>
    <definedName name="lan" localSheetId="4" hidden="1">{#N/A,#N/A,FALSE,"전력간선"}</definedName>
    <definedName name="lan" localSheetId="1" hidden="1">{#N/A,#N/A,FALSE,"전력간선"}</definedName>
    <definedName name="lan" hidden="1">{#N/A,#N/A,FALSE,"전력간선"}</definedName>
    <definedName name="LB">[30]말뚝지지력산정!$L$22</definedName>
    <definedName name="lf" localSheetId="2">#REF!</definedName>
    <definedName name="lf" localSheetId="4">#REF!</definedName>
    <definedName name="lf" localSheetId="1">#REF!</definedName>
    <definedName name="lf">#REF!</definedName>
    <definedName name="LINEA" localSheetId="4">#REF!</definedName>
    <definedName name="LINEA">#REF!</definedName>
    <definedName name="LIST_PRICE" localSheetId="4">#REF!</definedName>
    <definedName name="LIST_PRICE">#REF!</definedName>
    <definedName name="lj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j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LK" localSheetId="4">#REF!,#REF!</definedName>
    <definedName name="LK" localSheetId="1">#REF!,#REF!</definedName>
    <definedName name="LK">#REF!,#REF!</definedName>
    <definedName name="lll" localSheetId="2" hidden="1">#REF!</definedName>
    <definedName name="lll" localSheetId="4" hidden="1">#REF!</definedName>
    <definedName name="lll" localSheetId="1" hidden="1">#REF!</definedName>
    <definedName name="lll" hidden="1">#REF!</definedName>
    <definedName name="llll">'[48]남양시작동자105노65기1.3화1.2'!$A$2:$G$882</definedName>
    <definedName name="Loan_amount" localSheetId="4">#REF!</definedName>
    <definedName name="Loan_amount" localSheetId="1">#REF!</definedName>
    <definedName name="Loan_amount">#REF!</definedName>
    <definedName name="LP___4" localSheetId="4">#REF!</definedName>
    <definedName name="LP___4" localSheetId="1">#REF!</definedName>
    <definedName name="LP___4">#REF!</definedName>
    <definedName name="LP1A" localSheetId="4">'[14]부하(성남)'!#REF!</definedName>
    <definedName name="LP1A">'[14]부하(성남)'!#REF!</definedName>
    <definedName name="LP1B" localSheetId="4">[13]부하계산서!#REF!</definedName>
    <definedName name="LP1B">[13]부하계산서!#REF!</definedName>
    <definedName name="LP2A" localSheetId="4">#REF!</definedName>
    <definedName name="LP2A" localSheetId="1">#REF!</definedName>
    <definedName name="LP2A">#REF!</definedName>
    <definedName name="LP2B" localSheetId="4">#REF!</definedName>
    <definedName name="LP2B">#REF!</definedName>
    <definedName name="LP3A" localSheetId="4">'[14]부하(성남)'!#REF!</definedName>
    <definedName name="LP3A">'[14]부하(성남)'!#REF!</definedName>
    <definedName name="LP3B" localSheetId="4">#REF!</definedName>
    <definedName name="LP3B" localSheetId="1">#REF!</definedName>
    <definedName name="LP3B">#REF!</definedName>
    <definedName name="LPB" localSheetId="4">'[14]부하(성남)'!#REF!</definedName>
    <definedName name="LPB" localSheetId="1">'[14]부하(성남)'!#REF!</definedName>
    <definedName name="LPB">'[14]부하(성남)'!#REF!</definedName>
    <definedName name="LPBA" localSheetId="4">[13]부하계산서!#REF!</definedName>
    <definedName name="LPBA" localSheetId="1">[13]부하계산서!#REF!</definedName>
    <definedName name="LPBA">[13]부하계산서!#REF!</definedName>
    <definedName name="LPBB" localSheetId="4">#REF!</definedName>
    <definedName name="LPBB" localSheetId="1">#REF!</definedName>
    <definedName name="LPBB">#REF!</definedName>
    <definedName name="LPKA" localSheetId="4">[13]부하계산서!#REF!</definedName>
    <definedName name="LPKA" localSheetId="1">[13]부하계산서!#REF!</definedName>
    <definedName name="LPKA">[13]부하계산서!#REF!</definedName>
    <definedName name="LPKB" localSheetId="4">[13]부하계산서!#REF!</definedName>
    <definedName name="LPKB" localSheetId="1">[13]부하계산서!#REF!</definedName>
    <definedName name="LPKB">[13]부하계산서!#REF!</definedName>
    <definedName name="LPM" localSheetId="1">[13]부하계산서!#REF!</definedName>
    <definedName name="LPM">[13]부하계산서!#REF!</definedName>
    <definedName name="LPMA">[13]부하계산서!#REF!</definedName>
    <definedName name="LPO">[13]부하계산서!#REF!</definedName>
    <definedName name="LPOA">[13]부하계산서!#REF!</definedName>
    <definedName name="LV02A">[13]부하계산서!#REF!</definedName>
    <definedName name="LV02B">[13]부하계산서!#REF!</definedName>
    <definedName name="LV04A">[13]부하계산서!#REF!</definedName>
    <definedName name="LV04B">[13]부하계산서!#REF!</definedName>
    <definedName name="LV04Q" localSheetId="4">[49]Sheet1!#REF!</definedName>
    <definedName name="LV04Q">[50]Sheet1!#REF!</definedName>
    <definedName name="LV04W" localSheetId="4">[49]Sheet1!#REF!</definedName>
    <definedName name="LV04W">[50]Sheet1!#REF!</definedName>
    <definedName name="m" localSheetId="2" hidden="1">#REF!</definedName>
    <definedName name="m" localSheetId="4" hidden="1">#REF!</definedName>
    <definedName name="m" localSheetId="1" hidden="1">#REF!</definedName>
    <definedName name="m" hidden="1">#REF!</definedName>
    <definedName name="M0" localSheetId="4">[7]Sheet1!#REF!</definedName>
    <definedName name="M0">[7]Sheet1!#REF!</definedName>
    <definedName name="Macro10">[51]!Macro10</definedName>
    <definedName name="Macro11">[52]!Macro11</definedName>
    <definedName name="Macro12">[51]!Macro12</definedName>
    <definedName name="Macro13">[51]!Macro13</definedName>
    <definedName name="Macro14">[51]!Macro14</definedName>
    <definedName name="Macro2">[51]!Macro2</definedName>
    <definedName name="MACRO20">[53]!Macro2</definedName>
    <definedName name="Macro5">[51]!Macro5</definedName>
    <definedName name="Macro6">[51]!Macro6</definedName>
    <definedName name="Macro7">[51]!Macro7</definedName>
    <definedName name="Macro8">[51]!Macro8</definedName>
    <definedName name="Macro9">[51]!Macro9</definedName>
    <definedName name="Main일위대가" localSheetId="4">BlankMacro1</definedName>
    <definedName name="Main일위대가" localSheetId="1">BlankMacro1</definedName>
    <definedName name="Main일위대가">BlankMacro1</definedName>
    <definedName name="MCCE" localSheetId="2">#REF!</definedName>
    <definedName name="MCCE" localSheetId="4">#REF!</definedName>
    <definedName name="MCCE" localSheetId="1">#REF!</definedName>
    <definedName name="MCCE">#REF!</definedName>
    <definedName name="MCCEA" localSheetId="4">[13]부하계산서!#REF!</definedName>
    <definedName name="MCCEA" localSheetId="1">[13]부하계산서!#REF!</definedName>
    <definedName name="MCCEA">[13]부하계산서!#REF!</definedName>
    <definedName name="MCCEB" localSheetId="4">[13]부하계산서!#REF!</definedName>
    <definedName name="MCCEB" localSheetId="1">[13]부하계산서!#REF!</definedName>
    <definedName name="MCCEB">[13]부하계산서!#REF!</definedName>
    <definedName name="MCCEQ" localSheetId="4">[49]Sheet1!#REF!</definedName>
    <definedName name="MCCEQ" localSheetId="1">[50]Sheet1!#REF!</definedName>
    <definedName name="MCCEQ">[50]Sheet1!#REF!</definedName>
    <definedName name="MCCF" localSheetId="1">[13]부하계산서!#REF!</definedName>
    <definedName name="MCCF">[13]부하계산서!#REF!</definedName>
    <definedName name="MCCN" localSheetId="1">'[14]부하(성남)'!#REF!</definedName>
    <definedName name="MCCN">'[14]부하(성남)'!#REF!</definedName>
    <definedName name="MCCP">[13]부하계산서!#REF!</definedName>
    <definedName name="MCCS">[13]부하계산서!#REF!</definedName>
    <definedName name="MD" localSheetId="4">#REF!</definedName>
    <definedName name="MD" localSheetId="1">#REF!</definedName>
    <definedName name="MD">#REF!</definedName>
    <definedName name="mm" localSheetId="4" hidden="1">{#N/A,#N/A,TRUE,"토적및재료집계";#N/A,#N/A,TRUE,"토적및재료집계";#N/A,#N/A,TRUE,"단위량"}</definedName>
    <definedName name="mm" localSheetId="1" hidden="1">{#N/A,#N/A,TRUE,"토적및재료집계";#N/A,#N/A,TRUE,"토적및재료집계";#N/A,#N/A,TRUE,"단위량"}</definedName>
    <definedName name="mm" hidden="1">{#N/A,#N/A,TRUE,"토적및재료집계";#N/A,#N/A,TRUE,"토적및재료집계";#N/A,#N/A,TRUE,"단위량"}</definedName>
    <definedName name="MMHH" localSheetId="4">BlankMacro1</definedName>
    <definedName name="MMHH" localSheetId="1">BlankMacro1</definedName>
    <definedName name="MMHH">BlankMacro1</definedName>
    <definedName name="MMMM" localSheetId="4">BlankMacro1</definedName>
    <definedName name="MMMM" localSheetId="1">BlankMacro1</definedName>
    <definedName name="MMMM">BlankMacro1</definedName>
    <definedName name="MNHL">[52]Sheet1!$A$4:$H$5</definedName>
    <definedName name="Module3.원가계산창" localSheetId="1">표지!Module3.원가계산창</definedName>
    <definedName name="Module3.원가계산창">#N/A</definedName>
    <definedName name="MONEY" localSheetId="4">#REF!,#REF!</definedName>
    <definedName name="MONEY" localSheetId="1">#REF!,#REF!</definedName>
    <definedName name="MONEY">#REF!,#REF!</definedName>
    <definedName name="MOTOR" localSheetId="4">#REF!</definedName>
    <definedName name="MOTOR" localSheetId="1">#REF!</definedName>
    <definedName name="MOTOR">#REF!</definedName>
    <definedName name="MOTOR__농형_전폐" localSheetId="4">#REF!</definedName>
    <definedName name="MOTOR__농형_전폐" localSheetId="1">#REF!</definedName>
    <definedName name="MOTOR__농형_전폐">#REF!</definedName>
    <definedName name="Mq" localSheetId="4">'[54]소상 "1"'!#REF!</definedName>
    <definedName name="Mq" localSheetId="1">'[54]소상 "1"'!#REF!</definedName>
    <definedName name="Mq">'[54]소상 "1"'!#REF!</definedName>
    <definedName name="M당무게">[55]DATE!$E$24:$E$85</definedName>
    <definedName name="M행" localSheetId="4">#REF!</definedName>
    <definedName name="M행" localSheetId="1">#REF!</definedName>
    <definedName name="M행">#REF!</definedName>
    <definedName name="N_D" localSheetId="4">#REF!</definedName>
    <definedName name="N_D">#REF!</definedName>
    <definedName name="name">[25]Inputs!$C$4</definedName>
    <definedName name="NEWNAME" localSheetId="4" hidden="1">{#N/A,#N/A,FALSE,"CCTV"}</definedName>
    <definedName name="NEWNAME" localSheetId="1" hidden="1">{#N/A,#N/A,FALSE,"CCTV"}</definedName>
    <definedName name="NEWNAME" hidden="1">{#N/A,#N/A,FALSE,"CCTV"}</definedName>
    <definedName name="NFB" localSheetId="4">#REF!</definedName>
    <definedName name="NFB" localSheetId="1">#REF!</definedName>
    <definedName name="NFB">#REF!</definedName>
    <definedName name="ngf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ngf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ngf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NI" localSheetId="4">#REF!</definedName>
    <definedName name="NI" localSheetId="1">#REF!</definedName>
    <definedName name="NI">#REF!</definedName>
    <definedName name="NMB" localSheetId="4">#REF!</definedName>
    <definedName name="NMB" localSheetId="1">#REF!</definedName>
    <definedName name="NMB">#REF!</definedName>
    <definedName name="NNNN" localSheetId="4">BlankMacro1</definedName>
    <definedName name="NNNN" localSheetId="1">BlankMacro1</definedName>
    <definedName name="NNNN">BlankMacro1</definedName>
    <definedName name="NO" localSheetId="4">#REF!</definedName>
    <definedName name="NO" localSheetId="1">#REF!</definedName>
    <definedName name="NO">#REF!</definedName>
    <definedName name="NOIM" localSheetId="4">#REF!</definedName>
    <definedName name="NOIM" localSheetId="1">#REF!</definedName>
    <definedName name="NOIM">#REF!</definedName>
    <definedName name="NOMU">[56]NOMUBI!$B$3:$H$45</definedName>
    <definedName name="NOMUBY" localSheetId="4">#REF!</definedName>
    <definedName name="NOMUBY" localSheetId="1">#REF!</definedName>
    <definedName name="NOMUBY">#REF!</definedName>
    <definedName name="N행" localSheetId="4">#REF!</definedName>
    <definedName name="N행">#REF!</definedName>
    <definedName name="OI" hidden="1">'[31]도체종-상수표'!$O$202:$O$271</definedName>
    <definedName name="OIL" localSheetId="4" hidden="1">{"'용역비'!$A$4:$C$8"}</definedName>
    <definedName name="OIL" localSheetId="1" hidden="1">{"'용역비'!$A$4:$C$8"}</definedName>
    <definedName name="OIL" hidden="1">{"'용역비'!$A$4:$C$8"}</definedName>
    <definedName name="old예산" localSheetId="4" hidden="1">{#N/A,#N/A,TRUE,"손익보고"}</definedName>
    <definedName name="old예산" localSheetId="1" hidden="1">{#N/A,#N/A,TRUE,"손익보고"}</definedName>
    <definedName name="old예산" hidden="1">{#N/A,#N/A,TRUE,"손익보고"}</definedName>
    <definedName name="OOO" localSheetId="2" hidden="1">#REF!</definedName>
    <definedName name="OOO" localSheetId="4" hidden="1">#REF!</definedName>
    <definedName name="OOO" localSheetId="1" hidden="1">#REF!</definedName>
    <definedName name="OOO" hidden="1">#REF!</definedName>
    <definedName name="oooooo" localSheetId="4" hidden="1">{"'자리배치도'!$AG$1:$CI$28"}</definedName>
    <definedName name="oooooo" localSheetId="1" hidden="1">{"'자리배치도'!$AG$1:$CI$28"}</definedName>
    <definedName name="oooooo" hidden="1">{"'자리배치도'!$AG$1:$CI$28"}</definedName>
    <definedName name="OPP" localSheetId="2" hidden="1">#REF!</definedName>
    <definedName name="OPP" localSheetId="4" hidden="1">#REF!</definedName>
    <definedName name="OPP" hidden="1">#REF!</definedName>
    <definedName name="O행" localSheetId="4">#REF!</definedName>
    <definedName name="O행">#REF!</definedName>
    <definedName name="p" localSheetId="4">#REF!</definedName>
    <definedName name="p">#REF!</definedName>
    <definedName name="PA" localSheetId="4">#REF!</definedName>
    <definedName name="PA">#REF!</definedName>
    <definedName name="PASS" localSheetId="4">#REF!</definedName>
    <definedName name="PASS">#REF!</definedName>
    <definedName name="payment.Num">#N/A</definedName>
    <definedName name="Payments_per_year" localSheetId="4">#REF!</definedName>
    <definedName name="Payments_per_year" localSheetId="1">#REF!</definedName>
    <definedName name="Payments_per_year">#REF!</definedName>
    <definedName name="PB" localSheetId="4">#REF!</definedName>
    <definedName name="PB" localSheetId="1">#REF!</definedName>
    <definedName name="PB">#REF!</definedName>
    <definedName name="PC" localSheetId="4">#REF!</definedName>
    <definedName name="PC" localSheetId="1">#REF!</definedName>
    <definedName name="PC">#REF!</definedName>
    <definedName name="PD" localSheetId="4">#REF!</definedName>
    <definedName name="PD">#REF!</definedName>
    <definedName name="PE100C" localSheetId="4">[27]단가!#REF!</definedName>
    <definedName name="PE100C">[27]단가!#REF!</definedName>
    <definedName name="PE16C" localSheetId="4">[27]단가!#REF!</definedName>
    <definedName name="PE16C">[27]단가!#REF!</definedName>
    <definedName name="PE22C" localSheetId="4">[27]단가!#REF!</definedName>
    <definedName name="PE22C">[27]단가!#REF!</definedName>
    <definedName name="PE28C" localSheetId="4">[27]단가!#REF!</definedName>
    <definedName name="PE28C">[27]단가!#REF!</definedName>
    <definedName name="PE36C">[27]단가!#REF!</definedName>
    <definedName name="PE42C">[27]단가!#REF!</definedName>
    <definedName name="PE54C">[27]단가!#REF!</definedName>
    <definedName name="Periodic_rate" localSheetId="4">일위대가표!Annual_interest_rate/일위대가표!Payments_per_year</definedName>
    <definedName name="Periodic_rate" localSheetId="1">표지!Annual_interest_rate/표지!Payments_per_year</definedName>
    <definedName name="Periodic_rate">Annual_interest_rate/Payments_per_year</definedName>
    <definedName name="pile_s">[30]말뚝지지력산정!$F$116</definedName>
    <definedName name="pipe" localSheetId="4">#REF!</definedName>
    <definedName name="pipe" localSheetId="1">#REF!</definedName>
    <definedName name="pipe">#REF!</definedName>
    <definedName name="PIPE40" localSheetId="4">#REF!</definedName>
    <definedName name="PIPE40">#REF!</definedName>
    <definedName name="piph" localSheetId="4">#REF!</definedName>
    <definedName name="piph">#REF!</definedName>
    <definedName name="pjt" localSheetId="4">#REF!</definedName>
    <definedName name="pjt">#REF!</definedName>
    <definedName name="PL_storage" localSheetId="4">[2]Supplement2!#REF!</definedName>
    <definedName name="PL_storage">[2]Supplement2!#REF!</definedName>
    <definedName name="PMS" localSheetId="4">#REF!</definedName>
    <definedName name="PMS" localSheetId="1">#REF!</definedName>
    <definedName name="PMS">#REF!</definedName>
    <definedName name="Pmt_to_use" localSheetId="4">#REF!</definedName>
    <definedName name="Pmt_to_use" localSheetId="1">#REF!</definedName>
    <definedName name="Pmt_to_use">#REF!</definedName>
    <definedName name="PN" localSheetId="4">'[57]Upgrades pricing'!#REF!</definedName>
    <definedName name="PN" localSheetId="1">'[57]Upgrades pricing'!#REF!</definedName>
    <definedName name="PN">'[57]Upgrades pricing'!#REF!</definedName>
    <definedName name="PNLW10" localSheetId="4">[13]부하계산서!#REF!</definedName>
    <definedName name="PNLW10" localSheetId="1">[13]부하계산서!#REF!</definedName>
    <definedName name="PNLW10">[13]부하계산서!#REF!</definedName>
    <definedName name="PNLW8" localSheetId="1">[13]부하계산서!#REF!</definedName>
    <definedName name="PNLW8">[13]부하계산서!#REF!</definedName>
    <definedName name="POOM" localSheetId="4">#REF!</definedName>
    <definedName name="POOM" localSheetId="1">#REF!</definedName>
    <definedName name="POOM">#REF!</definedName>
    <definedName name="POR121175C2054RTSKS15C6LRTHDLRT" localSheetId="4">#REF!</definedName>
    <definedName name="POR121175C2054RTSKS15C6LRTHDLRT">#REF!</definedName>
    <definedName name="POR3C37R54C40RTSQLBP2PRTHDLTBDL" localSheetId="4">[58]조건!#REF!</definedName>
    <definedName name="POR3C37R54C40RTSQLBP2PRTHDLTBDL">[58]조건!#REF!</definedName>
    <definedName name="POR3C41R52C44RTSKS13C5LRTHDLTBD" localSheetId="4">#REF!</definedName>
    <definedName name="POR3C41R52C44RTSKS13C5LRTHDLTBD" localSheetId="1">#REF!</definedName>
    <definedName name="POR3C41R52C44RTSKS13C5LRTHDLTBD">#REF!</definedName>
    <definedName name="POR3C56R44C76RTSKS15C5LRTHDLTBD" localSheetId="4">#REF!</definedName>
    <definedName name="POR3C56R44C76RTSKS15C5LRTHDLTBD" localSheetId="1">#REF!</definedName>
    <definedName name="POR3C56R44C76RTSKS15C5LRTHDLTBD">#REF!</definedName>
    <definedName name="POR3C77R61C83RTSKS15C5LRTHDLTBD" localSheetId="4">[58]조건!#REF!</definedName>
    <definedName name="POR3C77R61C83RTSKS15C5LRTHDLTBD" localSheetId="1">[58]조건!#REF!</definedName>
    <definedName name="POR3C77R61C83RTSKS15C5LRTHDLTBD">[58]조건!#REF!</definedName>
    <definedName name="POR458C2054RTSKS15C6LRTHDLRTM4T" localSheetId="4">#REF!</definedName>
    <definedName name="POR458C2054RTSKS15C6LRTHDLRTM4T" localSheetId="1">#REF!</definedName>
    <definedName name="POR458C2054RTSKS15C6LRTHDLRTM4T">#REF!</definedName>
    <definedName name="POR6C20R55C38RTSKS13C5LRTHDLTBD" localSheetId="4">#REF!</definedName>
    <definedName name="POR6C20R55C38RTSKS13C5LRTHDLTBD" localSheetId="1">#REF!</definedName>
    <definedName name="POR6C20R55C38RTSKS13C5LRTHDLTBD">#REF!</definedName>
    <definedName name="POR7280C116RTSKS15C6LRTHR26C116" localSheetId="4">#REF!</definedName>
    <definedName name="POR7280C116RTSKS15C6LRTHR26C116">#REF!</definedName>
    <definedName name="POR7C2R55C18RTSKS13C5LRTHDLTBDL" localSheetId="4">#REF!</definedName>
    <definedName name="POR7C2R55C18RTSKS13C5LRTHDLTBDL">#REF!</definedName>
    <definedName name="POR7C2R58C18RTSKS13C5LRTHDLTBDL" localSheetId="4">[58]조건!#REF!</definedName>
    <definedName name="POR7C2R58C18RTSKS13C5LRTHDLTBDL">[58]조건!#REF!</definedName>
    <definedName name="POR7C77R72C83RTSKS13C5LRTHDLTBD" localSheetId="4">#REF!</definedName>
    <definedName name="POR7C77R72C83RTSKS13C5LRTHDLTBD" localSheetId="1">#REF!</definedName>
    <definedName name="POR7C77R72C83RTSKS13C5LRTHDLTBD">#REF!</definedName>
    <definedName name="por840c3542RTsks12c4lRTm1TB0TB5" localSheetId="4">#REF!</definedName>
    <definedName name="por840c3542RTsks12c4lRTm1TB0TB5" localSheetId="1">#REF!</definedName>
    <definedName name="por840c3542RTsks12c4lRTm1TB0TB5">#REF!</definedName>
    <definedName name="POR8C46R200C54RTSKS13C6LRTHR3C4" localSheetId="4">#REF!</definedName>
    <definedName name="POR8C46R200C54RTSKS13C6LRTHR3C4">#REF!</definedName>
    <definedName name="PP" localSheetId="4">'[14]부하(성남)'!#REF!</definedName>
    <definedName name="PP" localSheetId="1">'[14]부하(성남)'!#REF!</definedName>
    <definedName name="PP">'[14]부하(성남)'!#REF!</definedName>
    <definedName name="PPA" localSheetId="4">#REF!</definedName>
    <definedName name="PPA" localSheetId="1">#REF!</definedName>
    <definedName name="PPA">#REF!</definedName>
    <definedName name="PPC" localSheetId="4">#REF!</definedName>
    <definedName name="PPC" localSheetId="1">#REF!</definedName>
    <definedName name="PPC">#REF!</definedName>
    <definedName name="PPP" localSheetId="2" hidden="1">#REF!</definedName>
    <definedName name="PPP" localSheetId="4" hidden="1">#REF!</definedName>
    <definedName name="PPP" localSheetId="1" hidden="1">#REF!</definedName>
    <definedName name="PPP" hidden="1">#REF!</definedName>
    <definedName name="ppppp" localSheetId="4" hidden="1">{"'자리배치도'!$AG$1:$CI$28"}</definedName>
    <definedName name="ppppp" localSheetId="1" hidden="1">{"'자리배치도'!$AG$1:$CI$28"}</definedName>
    <definedName name="ppppp" hidden="1">{"'자리배치도'!$AG$1:$CI$28"}</definedName>
    <definedName name="pppppp" localSheetId="1">'[59]98지급계획'!#REF!</definedName>
    <definedName name="pppppp">'[59]98지급계획'!#REF!</definedName>
    <definedName name="Principal" localSheetId="4">IF(#REF!&lt;&gt;"",MIN(#REF!,일위대가표!Pmt_to_use-#REF!),"")</definedName>
    <definedName name="Principal" localSheetId="1">IF(#REF!&lt;&gt;"",MIN(#REF!,표지!Pmt_to_use-#REF!),"")</definedName>
    <definedName name="Principal">IF(#REF!&lt;&gt;"",MIN(#REF!,Pmt_to_use-#REF!),"")</definedName>
    <definedName name="print" localSheetId="1">[60]시험장S자로가로등공사!#REF!</definedName>
    <definedName name="print">[60]시험장S자로가로등공사!#REF!</definedName>
    <definedName name="_xlnm.Print_Area" localSheetId="8">물량내역서!$A$1:$R$11</definedName>
    <definedName name="_xlnm.Print_Area" localSheetId="7">산출집계표!$A$1:$F$19</definedName>
    <definedName name="_xlnm.Print_Area" localSheetId="3">설계내역서!$A$1:$M$22</definedName>
    <definedName name="_xlnm.Print_Area" localSheetId="0">설계예산서!$A$1:$L$23</definedName>
    <definedName name="_xlnm.Print_Area" localSheetId="4">일위대가표!$A$1:$J$65</definedName>
    <definedName name="_xlnm.Print_Area" localSheetId="5">자재단가표!$A$1:$H$20</definedName>
    <definedName name="_xlnm.Print_Area" localSheetId="1">표지!$A$1:$AF$15</definedName>
    <definedName name="_xlnm.Print_Area">#REF!</definedName>
    <definedName name="PRINT_AREA_MI">#N/A</definedName>
    <definedName name="PRINT_STYLE">[61]대공종!#REF!</definedName>
    <definedName name="print_styles" localSheetId="4">#REF!</definedName>
    <definedName name="print_styles" localSheetId="1">#REF!</definedName>
    <definedName name="print_styles">#REF!</definedName>
    <definedName name="PRINT_TILIES" localSheetId="4">#REF!,#REF!,#REF!,#REF!,#REF!</definedName>
    <definedName name="PRINT_TILIES" localSheetId="1">#REF!,#REF!,#REF!,#REF!,#REF!</definedName>
    <definedName name="PRINT_TILIES">#REF!,#REF!,#REF!,#REF!,#REF!</definedName>
    <definedName name="PRINT_TILLES">[62]우수!$A$1:$IV$3,[62]우수!$A$1:$D$65536</definedName>
    <definedName name="PRINT_TILTES" localSheetId="4">#REF!</definedName>
    <definedName name="PRINT_TILTES" localSheetId="1">#REF!</definedName>
    <definedName name="PRINT_TILTES">#REF!</definedName>
    <definedName name="print_Titels" localSheetId="4">#REF!</definedName>
    <definedName name="print_Titels">#REF!</definedName>
    <definedName name="print_Title" localSheetId="4">#REF!</definedName>
    <definedName name="print_Title">#REF!</definedName>
    <definedName name="_xlnm.Print_Titles" localSheetId="7">산출집계표!$B:$E,산출집계표!$1:$3</definedName>
    <definedName name="_xlnm.Print_Titles" localSheetId="3">설계내역서!$3:$4</definedName>
    <definedName name="_xlnm.Print_Titles" localSheetId="4">일위대가표!$3:$4</definedName>
    <definedName name="_xlnm.Print_Titles">#REF!</definedName>
    <definedName name="PRINT_TITLES_MI">#N/A</definedName>
    <definedName name="print_titls" localSheetId="4">#REF!</definedName>
    <definedName name="print_titls" localSheetId="1">#REF!</definedName>
    <definedName name="print_titls">#REF!</definedName>
    <definedName name="PRINT_TNFFJ" localSheetId="4">#REF!</definedName>
    <definedName name="PRINT_TNFFJ" localSheetId="1">#REF!</definedName>
    <definedName name="PRINT_TNFFJ">#REF!</definedName>
    <definedName name="printer" localSheetId="4">#REF!</definedName>
    <definedName name="printer" localSheetId="1">#REF!</definedName>
    <definedName name="printer">#REF!</definedName>
    <definedName name="PRINTER_AREA" localSheetId="4">#REF!</definedName>
    <definedName name="PRINTER_AREA" localSheetId="1">#REF!</definedName>
    <definedName name="PRINTER_AREA">#REF!</definedName>
    <definedName name="printer_Titles" localSheetId="4">#REF!</definedName>
    <definedName name="printer_Titles" localSheetId="1">#REF!</definedName>
    <definedName name="printer_Titles">#REF!</definedName>
    <definedName name="printer_ttitle" localSheetId="4">#REF!</definedName>
    <definedName name="printer_ttitle">#REF!</definedName>
    <definedName name="prnit_titles" localSheetId="4">#REF!</definedName>
    <definedName name="prnit_titles">#REF!</definedName>
    <definedName name="PS" localSheetId="4">#REF!</definedName>
    <definedName name="PS">#REF!</definedName>
    <definedName name="PS15C4LRTOR5C1R1000C10RTHR3C1R4" localSheetId="4">#REF!</definedName>
    <definedName name="PS15C4LRTOR5C1R1000C10RTHR3C1R4">#REF!</definedName>
    <definedName name="PSKS12C4LRTOR6C73R45C74RTHDLRTM" localSheetId="4">#REF!</definedName>
    <definedName name="PSKS12C4LRTOR6C73R45C74RTHDLRTM">#REF!</definedName>
    <definedName name="PSKS12C4LRTOR9C1R47C10RTHDLRTM3" localSheetId="4">#REF!</definedName>
    <definedName name="PSKS12C4LRTOR9C1R47C10RTHDLRTM3">#REF!</definedName>
    <definedName name="PSKS15C6LRTOR3C76R62C88RTM1TB0T" localSheetId="4">#REF!</definedName>
    <definedName name="PSKS15C6LRTOR3C76R62C88RTM1TB0T">#REF!</definedName>
    <definedName name="Psqlbp4lRTOR6C15R45C16RTHDLRTM0" localSheetId="4">#REF!</definedName>
    <definedName name="Psqlbp4lRTOR6C15R45C16RTHDLRTM0">#REF!</definedName>
    <definedName name="Psqlbp4lRTOR6C15R45C16RTHDLRTM7" localSheetId="4">#REF!</definedName>
    <definedName name="Psqlbp4lRTOR6C15R45C16RTHDLRTM7">#REF!</definedName>
    <definedName name="PUM" localSheetId="4">#REF!</definedName>
    <definedName name="PUM">#REF!</definedName>
    <definedName name="PUMP" localSheetId="4">#REF!</definedName>
    <definedName name="PUMP">#REF!</definedName>
    <definedName name="P행" localSheetId="4">#REF!</definedName>
    <definedName name="P행">#REF!</definedName>
    <definedName name="q" localSheetId="4">[0]!BlankMacro1</definedName>
    <definedName name="q" localSheetId="1">[0]!BlankMacro1</definedName>
    <definedName name="q">[0]!BlankMacro1</definedName>
    <definedName name="q234562456" localSheetId="4" hidden="1">{"'용역비'!$A$4:$C$8"}</definedName>
    <definedName name="q234562456" localSheetId="1" hidden="1">{"'용역비'!$A$4:$C$8"}</definedName>
    <definedName name="q234562456" hidden="1">{"'용역비'!$A$4:$C$8"}</definedName>
    <definedName name="Qc">#REF!</definedName>
    <definedName name="qe" localSheetId="4">#REF!</definedName>
    <definedName name="qe">#REF!</definedName>
    <definedName name="QER" localSheetId="4">#REF!</definedName>
    <definedName name="QER">#REF!</definedName>
    <definedName name="qk" localSheetId="4" hidden="1">{"'자리배치도'!$AG$1:$CI$28"}</definedName>
    <definedName name="qk" localSheetId="1" hidden="1">{"'자리배치도'!$AG$1:$CI$28"}</definedName>
    <definedName name="qk" hidden="1">{"'자리배치도'!$AG$1:$CI$28"}</definedName>
    <definedName name="qq" localSheetId="4" hidden="1">{#N/A,#N/A,FALSE,"단가표지"}</definedName>
    <definedName name="QQ" localSheetId="1">BlankMacro1</definedName>
    <definedName name="qq" hidden="1">{#N/A,#N/A,FALSE,"단가표지"}</definedName>
    <definedName name="QQQQ" localSheetId="4">BlankMacro1</definedName>
    <definedName name="QQQQ" localSheetId="1">BlankMacro1</definedName>
    <definedName name="QQQQ">BlankMacro1</definedName>
    <definedName name="Qr" localSheetId="4">#REF!</definedName>
    <definedName name="Qr" localSheetId="1">#REF!</definedName>
    <definedName name="Qr">#REF!</definedName>
    <definedName name="QW" localSheetId="4" hidden="1">{#N/A,#N/A,TRUE,"토적및재료집계";#N/A,#N/A,TRUE,"토적및재료집계";#N/A,#N/A,TRUE,"단위량"}</definedName>
    <definedName name="QW" localSheetId="1" hidden="1">{#N/A,#N/A,TRUE,"토적및재료집계";#N/A,#N/A,TRUE,"토적및재료집계";#N/A,#N/A,TRUE,"단위량"}</definedName>
    <definedName name="QW" hidden="1">{#N/A,#N/A,TRUE,"토적및재료집계";#N/A,#N/A,TRUE,"토적및재료집계";#N/A,#N/A,TRUE,"단위량"}</definedName>
    <definedName name="QWER" localSheetId="2">#REF!</definedName>
    <definedName name="QWER" localSheetId="4">#REF!</definedName>
    <definedName name="QWER" localSheetId="1">#REF!</definedName>
    <definedName name="QWER">#REF!</definedName>
    <definedName name="QWS" localSheetId="2" hidden="1">#REF!</definedName>
    <definedName name="QWS" localSheetId="4" hidden="1">#REF!</definedName>
    <definedName name="QWS" hidden="1">#REF!</definedName>
    <definedName name="qyk" localSheetId="4" hidden="1">{"'용역비'!$A$4:$C$8"}</definedName>
    <definedName name="qyk" localSheetId="1" hidden="1">{"'용역비'!$A$4:$C$8"}</definedName>
    <definedName name="qyk" hidden="1">{"'용역비'!$A$4:$C$8"}</definedName>
    <definedName name="Q행">#REF!</definedName>
    <definedName name="_xlnm.Recorder" localSheetId="4">#REF!</definedName>
    <definedName name="_xlnm.Recorder">#REF!</definedName>
    <definedName name="REG" hidden="1">'[31]도체종-상수표'!$S$51:$AV$51</definedName>
    <definedName name="RFYIFIOYGOPIO" localSheetId="4" hidden="1">#REF!</definedName>
    <definedName name="RFYIFIOYGOPIO" localSheetId="1" hidden="1">#REF!</definedName>
    <definedName name="RFYIFIOYGOPIO" hidden="1">#REF!</definedName>
    <definedName name="R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R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RG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GR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H" localSheetId="4" hidden="1">{"'용역비'!$A$4:$C$8"}</definedName>
    <definedName name="RH" localSheetId="1" hidden="1">{"'용역비'!$A$4:$C$8"}</definedName>
    <definedName name="RH" hidden="1">{"'용역비'!$A$4:$C$8"}</definedName>
    <definedName name="RHDDNJS">#N/A</definedName>
    <definedName name="rhkstp" localSheetId="4" hidden="1">{#N/A,#N/A,FALSE,"DAOCM 2차 검토"}</definedName>
    <definedName name="rhkstp" localSheetId="1" hidden="1">{#N/A,#N/A,FALSE,"DAOCM 2차 검토"}</definedName>
    <definedName name="rhkstp" hidden="1">{#N/A,#N/A,FALSE,"DAOCM 2차 검토"}</definedName>
    <definedName name="RK" hidden="1">[41]수량산출!#REF!</definedName>
    <definedName name="RM_D" localSheetId="4">#REF!</definedName>
    <definedName name="RM_D" localSheetId="1">#REF!</definedName>
    <definedName name="RM_D">#REF!</definedName>
    <definedName name="RMS" localSheetId="1">표지!RMS</definedName>
    <definedName name="RMS">#N/A</definedName>
    <definedName name="RRR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RR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RR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RRRR" localSheetId="4">BlankMacro1</definedName>
    <definedName name="RRRR" localSheetId="1">BlankMacro1</definedName>
    <definedName name="RRRR">BlankMacro1</definedName>
    <definedName name="rrrrrr" localSheetId="4" hidden="1">{"'자리배치도'!$AG$1:$CI$28"}</definedName>
    <definedName name="rrrrrr" localSheetId="1" hidden="1">{"'자리배치도'!$AG$1:$CI$28"}</definedName>
    <definedName name="rrrrrr" hidden="1">{"'자리배치도'!$AG$1:$CI$28"}</definedName>
    <definedName name="RT" localSheetId="4">#REF!,#REF!,#REF!</definedName>
    <definedName name="RT" localSheetId="1">#REF!,#REF!,#REF!</definedName>
    <definedName name="RT">#REF!,#REF!,#REF!</definedName>
    <definedName name="RTGH" localSheetId="4" hidden="1">{"'용역비'!$A$4:$C$8"}</definedName>
    <definedName name="RTGH" localSheetId="1" hidden="1">{"'용역비'!$A$4:$C$8"}</definedName>
    <definedName name="RTGH" hidden="1">{"'용역비'!$A$4:$C$8"}</definedName>
    <definedName name="rth" localSheetId="2" hidden="1">#REF!</definedName>
    <definedName name="rth" localSheetId="4" hidden="1">#REF!</definedName>
    <definedName name="rth" hidden="1">#REF!</definedName>
    <definedName name="rty" localSheetId="4">#REF!,#REF!</definedName>
    <definedName name="rty" localSheetId="1">#REF!,#REF!</definedName>
    <definedName name="rty">#REF!,#REF!</definedName>
    <definedName name="RYUIRYU" localSheetId="4" hidden="1">{"'용역비'!$A$4:$C$8"}</definedName>
    <definedName name="RYUIRYU" localSheetId="1" hidden="1">{"'용역비'!$A$4:$C$8"}</definedName>
    <definedName name="RYUIRYU" hidden="1">{"'용역비'!$A$4:$C$8"}</definedName>
    <definedName name="ryuk" localSheetId="4" hidden="1">{"'용역비'!$A$4:$C$8"}</definedName>
    <definedName name="ryuk" localSheetId="1" hidden="1">{"'용역비'!$A$4:$C$8"}</definedName>
    <definedName name="ryuk" hidden="1">{"'용역비'!$A$4:$C$8"}</definedName>
    <definedName name="R행">#REF!</definedName>
    <definedName name="S" localSheetId="4">#REF!</definedName>
    <definedName name="S">#REF!</definedName>
    <definedName name="S_W개발제외노무비" localSheetId="4">#REF!</definedName>
    <definedName name="S_W개발제외노무비">#REF!</definedName>
    <definedName name="sample" localSheetId="4">#REF!</definedName>
    <definedName name="sample" localSheetId="1">#REF!</definedName>
    <definedName name="sample">#REF!</definedName>
    <definedName name="Scorpion_M2_processor" localSheetId="4">[2]Supplement2!#REF!</definedName>
    <definedName name="Scorpion_M2_processor">[2]Supplement2!#REF!</definedName>
    <definedName name="scs변견서식" localSheetId="4">BlankMacro1</definedName>
    <definedName name="scs변견서식" localSheetId="1">BlankMacro1</definedName>
    <definedName name="scs변견서식">BlankMacro1</definedName>
    <definedName name="scs변경서식" localSheetId="4">BlankMacro1</definedName>
    <definedName name="scs변경서식" localSheetId="1">BlankMacro1</definedName>
    <definedName name="scs변경서식">BlankMacro1</definedName>
    <definedName name="sd" localSheetId="4">[29]견적990322!#REF!</definedName>
    <definedName name="sd" localSheetId="1">[29]견적990322!#REF!</definedName>
    <definedName name="sd">[29]견적990322!#REF!</definedName>
    <definedName name="SDAS" localSheetId="4" hidden="1">{"'Firr(선)'!$AS$1:$AY$62","'Firr(사)'!$AS$1:$AY$62","'Firr(회)'!$AS$1:$AY$62","'Firr(선)'!$L$1:$V$62","'Firr(사)'!$L$1:$V$62","'Firr(회)'!$L$1:$V$62"}</definedName>
    <definedName name="SDAS" localSheetId="1" hidden="1">{"'Firr(선)'!$AS$1:$AY$62","'Firr(사)'!$AS$1:$AY$62","'Firr(회)'!$AS$1:$AY$62","'Firr(선)'!$L$1:$V$62","'Firr(사)'!$L$1:$V$62","'Firr(회)'!$L$1:$V$62"}</definedName>
    <definedName name="SDAS" hidden="1">{"'Firr(선)'!$AS$1:$AY$62","'Firr(사)'!$AS$1:$AY$62","'Firr(회)'!$AS$1:$AY$62","'Firr(선)'!$L$1:$V$62","'Firr(사)'!$L$1:$V$62","'Firr(회)'!$L$1:$V$62"}</definedName>
    <definedName name="sdd" localSheetId="4" hidden="1">{#N/A,#N/A,FALSE,"전력간선"}</definedName>
    <definedName name="sdd" localSheetId="1" hidden="1">{#N/A,#N/A,FALSE,"전력간선"}</definedName>
    <definedName name="sdd" hidden="1">{#N/A,#N/A,FALSE,"전력간선"}</definedName>
    <definedName name="SDF" localSheetId="4" hidden="1">#REF!</definedName>
    <definedName name="SDF" localSheetId="1" hidden="1">#REF!</definedName>
    <definedName name="SDF" hidden="1">#REF!</definedName>
    <definedName name="sdryhj" localSheetId="4" hidden="1">{"'용역비'!$A$4:$C$8"}</definedName>
    <definedName name="sdryhj" localSheetId="1" hidden="1">{"'용역비'!$A$4:$C$8"}</definedName>
    <definedName name="sdryhj" hidden="1">{"'용역비'!$A$4:$C$8"}</definedName>
    <definedName name="sdsdsdsd" localSheetId="4" hidden="1">{"'용역비'!$A$4:$C$8"}</definedName>
    <definedName name="sdsdsdsd" localSheetId="1" hidden="1">{"'용역비'!$A$4:$C$8"}</definedName>
    <definedName name="sdsdsdsd" hidden="1">{"'용역비'!$A$4:$C$8"}</definedName>
    <definedName name="SE" localSheetId="4" hidden="1">{"'용역비'!$A$4:$C$8"}</definedName>
    <definedName name="SE" localSheetId="1" hidden="1">{"'용역비'!$A$4:$C$8"}</definedName>
    <definedName name="SE" hidden="1">{"'용역비'!$A$4:$C$8"}</definedName>
    <definedName name="Seawolf_M2_processor" localSheetId="1">[2]Supplement2!#REF!</definedName>
    <definedName name="Seawolf_M2_processor">[2]Supplement2!#REF!</definedName>
    <definedName name="seawolf_TRadder" localSheetId="4">#REF!</definedName>
    <definedName name="seawolf_TRadder" localSheetId="1">#REF!</definedName>
    <definedName name="seawolf_TRadder">#REF!</definedName>
    <definedName name="SET" localSheetId="4">#REF!</definedName>
    <definedName name="SET" localSheetId="1">#REF!</definedName>
    <definedName name="SET">#REF!</definedName>
    <definedName name="sfdbd">[24]!Macro9</definedName>
    <definedName name="SG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G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G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HEET56" localSheetId="4">#REF!</definedName>
    <definedName name="SHEET56" localSheetId="1">#REF!</definedName>
    <definedName name="SHEET56">#REF!</definedName>
    <definedName name="Show.Date" localSheetId="4">IF(#REF!&lt;&gt;"",DATE(YEAR(일위대가표!First_payment_due),MONTH(일위대가표!First_payment_due)+(#REF!-1)*12/일위대가표!Payments_per_year,DAY(일위대가표!First_payment_due)),"")</definedName>
    <definedName name="Show.Date" localSheetId="1">IF(#REF!&lt;&gt;"",DATE(YEAR(표지!First_payment_due),MONTH(표지!First_payment_due)+(#REF!-1)*12/표지!Payments_per_year,DAY(표지!First_payment_due)),"")</definedName>
    <definedName name="Show.Date">IF(#REF!&lt;&gt;"",DATE(YEAR(First_payment_due),MONTH(First_payment_due)+(#REF!-1)*12/Payments_per_year,DAY(First_payment_due)),"")</definedName>
    <definedName name="SISK" localSheetId="4">BlankMacro1</definedName>
    <definedName name="SISK" localSheetId="1">BlankMacro1</definedName>
    <definedName name="SISK">BlankMacro1</definedName>
    <definedName name="size">[25]Inputs!$C$6</definedName>
    <definedName name="SKDJFAKSDFASLDKFJA" localSheetId="4">#REF!</definedName>
    <definedName name="SKDJFAKSDFASLDKFJA" localSheetId="1">#REF!</definedName>
    <definedName name="SKDJFAKSDFASLDKFJA">#REF!</definedName>
    <definedName name="SORT" hidden="1">#N/A</definedName>
    <definedName name="sr" localSheetId="4">#REF!,#REF!</definedName>
    <definedName name="sr" localSheetId="1">#REF!,#REF!</definedName>
    <definedName name="sr">#REF!,#REF!</definedName>
    <definedName name="srth" localSheetId="4" hidden="1">{"'용역비'!$A$4:$C$8"}</definedName>
    <definedName name="srth" localSheetId="1" hidden="1">{"'용역비'!$A$4:$C$8"}</definedName>
    <definedName name="srth" hidden="1">{"'용역비'!$A$4:$C$8"}</definedName>
    <definedName name="ss" localSheetId="4" hidden="1">{#N/A,#N/A,FALSE,"운반시간"}</definedName>
    <definedName name="SS" localSheetId="1">#REF!</definedName>
    <definedName name="ss" hidden="1">{#N/A,#N/A,FALSE,"운반시간"}</definedName>
    <definedName name="sss" localSheetId="4">#REF!</definedName>
    <definedName name="sss" localSheetId="1">#REF!</definedName>
    <definedName name="sss">#REF!</definedName>
    <definedName name="SSSS" localSheetId="4" hidden="1">{#N/A,#N/A,FALSE,"전력간선"}</definedName>
    <definedName name="SSSS" localSheetId="1" hidden="1">{#N/A,#N/A,FALSE,"전력간선"}</definedName>
    <definedName name="SSSS" hidden="1">{#N/A,#N/A,FALSE,"전력간선"}</definedName>
    <definedName name="SSSSDD" localSheetId="4" hidden="1">{"'자리배치도'!$AG$1:$CI$28"}</definedName>
    <definedName name="SSSSDD" localSheetId="1" hidden="1">{"'자리배치도'!$AG$1:$CI$28"}</definedName>
    <definedName name="SSSSDD" hidden="1">{"'자리배치도'!$AG$1:$CI$28"}</definedName>
    <definedName name="SSVSS" hidden="1">[36]Sheet14!$M$201:$M$270</definedName>
    <definedName name="start">[25]Inputs!$C$10</definedName>
    <definedName name="STS" localSheetId="4" hidden="1">{"'용역비'!$A$4:$C$8"}</definedName>
    <definedName name="STS" localSheetId="1" hidden="1">{"'용역비'!$A$4:$C$8"}</definedName>
    <definedName name="STS" hidden="1">{"'용역비'!$A$4:$C$8"}</definedName>
    <definedName name="Sturgeon_M2_processor" localSheetId="1">[2]Supplement2!#REF!</definedName>
    <definedName name="Sturgeon_M2_processor">[2]Supplement2!#REF!</definedName>
    <definedName name="SV" localSheetId="4">#REF!</definedName>
    <definedName name="SV" localSheetId="1">#REF!</definedName>
    <definedName name="SV">#REF!</definedName>
    <definedName name="SVSV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VSV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VSV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SX" localSheetId="4">#REF!</definedName>
    <definedName name="SX" localSheetId="1">#REF!</definedName>
    <definedName name="SX">#REF!</definedName>
    <definedName name="S행" localSheetId="4">#REF!</definedName>
    <definedName name="S행" localSheetId="1">#REF!</definedName>
    <definedName name="S행">#REF!</definedName>
    <definedName name="T" localSheetId="4">#REF!</definedName>
    <definedName name="T" localSheetId="1">#REF!</definedName>
    <definedName name="T">#REF!</definedName>
    <definedName name="T._A._B_____공___사" localSheetId="4">#REF!</definedName>
    <definedName name="T._A._B_____공___사">#REF!</definedName>
    <definedName name="T₁" localSheetId="4">#REF!</definedName>
    <definedName name="T₁">#REF!</definedName>
    <definedName name="T10M" localSheetId="4">#REF!</definedName>
    <definedName name="T10M">#REF!</definedName>
    <definedName name="T10P" localSheetId="4">#REF!</definedName>
    <definedName name="T10P">#REF!</definedName>
    <definedName name="T11M" localSheetId="4">#REF!</definedName>
    <definedName name="T11M">#REF!</definedName>
    <definedName name="T11P" localSheetId="4">#REF!</definedName>
    <definedName name="T11P">#REF!</definedName>
    <definedName name="T12M" localSheetId="4">#REF!</definedName>
    <definedName name="T12M">#REF!</definedName>
    <definedName name="T12P" localSheetId="4">#REF!</definedName>
    <definedName name="T12P">#REF!</definedName>
    <definedName name="T13M" localSheetId="4">#REF!</definedName>
    <definedName name="T13M">#REF!</definedName>
    <definedName name="T13P" localSheetId="4">#REF!</definedName>
    <definedName name="T13P">#REF!</definedName>
    <definedName name="T14M" localSheetId="4">#REF!</definedName>
    <definedName name="T14M">#REF!</definedName>
    <definedName name="T14P" localSheetId="4">#REF!</definedName>
    <definedName name="T14P">#REF!</definedName>
    <definedName name="T15M" localSheetId="4">#REF!</definedName>
    <definedName name="T15M">#REF!</definedName>
    <definedName name="T15P" localSheetId="4">#REF!</definedName>
    <definedName name="T15P">#REF!</definedName>
    <definedName name="T16M" localSheetId="4">#REF!</definedName>
    <definedName name="T16M">#REF!</definedName>
    <definedName name="T16P" localSheetId="4">#REF!</definedName>
    <definedName name="T16P">#REF!</definedName>
    <definedName name="T17M" localSheetId="4">#REF!</definedName>
    <definedName name="T17M">#REF!</definedName>
    <definedName name="T17P" localSheetId="4">#REF!</definedName>
    <definedName name="T17P">#REF!</definedName>
    <definedName name="T18M" localSheetId="4">#REF!</definedName>
    <definedName name="T18M">#REF!</definedName>
    <definedName name="T18P" localSheetId="4">#REF!</definedName>
    <definedName name="T18P">#REF!</definedName>
    <definedName name="T19M" localSheetId="4">#REF!</definedName>
    <definedName name="T19M">#REF!</definedName>
    <definedName name="T19P" localSheetId="4">#REF!</definedName>
    <definedName name="T19P">#REF!</definedName>
    <definedName name="T1E" localSheetId="4">#REF!</definedName>
    <definedName name="T1E">#REF!</definedName>
    <definedName name="T1M" localSheetId="4">#REF!</definedName>
    <definedName name="T1M">#REF!</definedName>
    <definedName name="T1P" localSheetId="4">#REF!</definedName>
    <definedName name="T1P">#REF!</definedName>
    <definedName name="T₂" localSheetId="4">#REF!</definedName>
    <definedName name="T₂">#REF!</definedName>
    <definedName name="T20M" localSheetId="4">#REF!</definedName>
    <definedName name="T20M">#REF!</definedName>
    <definedName name="T20P" localSheetId="4">#REF!</definedName>
    <definedName name="T20P">#REF!</definedName>
    <definedName name="T21M" localSheetId="4">#REF!</definedName>
    <definedName name="T21M">#REF!</definedName>
    <definedName name="T21P" localSheetId="4">#REF!</definedName>
    <definedName name="T21P">#REF!</definedName>
    <definedName name="T22E" localSheetId="4">#REF!</definedName>
    <definedName name="T22E">#REF!</definedName>
    <definedName name="T23M" localSheetId="4">#REF!</definedName>
    <definedName name="T23M">#REF!</definedName>
    <definedName name="T23P" localSheetId="4">#REF!</definedName>
    <definedName name="T23P">#REF!</definedName>
    <definedName name="T24M" localSheetId="4">#REF!</definedName>
    <definedName name="T24M">#REF!</definedName>
    <definedName name="T24P" localSheetId="4">#REF!</definedName>
    <definedName name="T24P">#REF!</definedName>
    <definedName name="T2E" localSheetId="4">#REF!</definedName>
    <definedName name="T2E">#REF!</definedName>
    <definedName name="T2M" localSheetId="4">#REF!</definedName>
    <definedName name="T2M">#REF!</definedName>
    <definedName name="T2P" localSheetId="4">#REF!</definedName>
    <definedName name="T2P">#REF!</definedName>
    <definedName name="T3P" localSheetId="4">#REF!</definedName>
    <definedName name="T3P">#REF!</definedName>
    <definedName name="T4M" localSheetId="4">#REF!</definedName>
    <definedName name="T4M">#REF!</definedName>
    <definedName name="T4P" localSheetId="4">#REF!</definedName>
    <definedName name="T4P">#REF!</definedName>
    <definedName name="T5M" localSheetId="4">#REF!</definedName>
    <definedName name="T5M">#REF!</definedName>
    <definedName name="T5P" localSheetId="4">#REF!</definedName>
    <definedName name="T5P">#REF!</definedName>
    <definedName name="T6M" localSheetId="4">#REF!</definedName>
    <definedName name="T6M">#REF!</definedName>
    <definedName name="T6P" localSheetId="4">#REF!</definedName>
    <definedName name="T6P">#REF!</definedName>
    <definedName name="T7M" localSheetId="4">#REF!</definedName>
    <definedName name="T7M">#REF!</definedName>
    <definedName name="T7P" localSheetId="4">#REF!</definedName>
    <definedName name="T7P">#REF!</definedName>
    <definedName name="T8M" localSheetId="4">#REF!</definedName>
    <definedName name="T8M">#REF!</definedName>
    <definedName name="T8P" localSheetId="4">#REF!</definedName>
    <definedName name="T8P">#REF!</definedName>
    <definedName name="T9M" localSheetId="4">#REF!</definedName>
    <definedName name="T9M">#REF!</definedName>
    <definedName name="T9P" localSheetId="4">#REF!</definedName>
    <definedName name="T9P">#REF!</definedName>
    <definedName name="TABLE" localSheetId="2">#REF!</definedName>
    <definedName name="TABLE" localSheetId="4">#REF!</definedName>
    <definedName name="TABLE" localSheetId="1">#REF!</definedName>
    <definedName name="TABLE">#REF!</definedName>
    <definedName name="TABLE_14" localSheetId="2">#REF!</definedName>
    <definedName name="TABLE_14" localSheetId="4">#REF!</definedName>
    <definedName name="TABLE_14">#REF!</definedName>
    <definedName name="TABLE_15" localSheetId="2">#REF!</definedName>
    <definedName name="TABLE_15" localSheetId="4">#REF!</definedName>
    <definedName name="TABLE_15">#REF!</definedName>
    <definedName name="TABLE_2" localSheetId="2">#REF!</definedName>
    <definedName name="TABLE_2" localSheetId="4">#REF!</definedName>
    <definedName name="TABLE_2">#REF!</definedName>
    <definedName name="TABLE_23" localSheetId="2">#REF!</definedName>
    <definedName name="TABLE_23" localSheetId="4">#REF!</definedName>
    <definedName name="TABLE_23">#REF!</definedName>
    <definedName name="TABLE_24" localSheetId="2">#REF!</definedName>
    <definedName name="TABLE_24" localSheetId="4">#REF!</definedName>
    <definedName name="TABLE_24">#REF!</definedName>
    <definedName name="TABLE_25" localSheetId="2">#REF!</definedName>
    <definedName name="TABLE_25" localSheetId="4">#REF!</definedName>
    <definedName name="TABLE_25">#REF!</definedName>
    <definedName name="TABLE_26" localSheetId="2">#REF!</definedName>
    <definedName name="TABLE_26" localSheetId="4">#REF!</definedName>
    <definedName name="TABLE_26">#REF!</definedName>
    <definedName name="TABLE_27" localSheetId="2">#REF!</definedName>
    <definedName name="TABLE_27" localSheetId="4">#REF!</definedName>
    <definedName name="TABLE_27">#REF!</definedName>
    <definedName name="TABLE_28" localSheetId="2">#REF!</definedName>
    <definedName name="TABLE_28" localSheetId="4">#REF!</definedName>
    <definedName name="TABLE_28">#REF!</definedName>
    <definedName name="TABLE_29" localSheetId="2">#REF!</definedName>
    <definedName name="TABLE_29" localSheetId="4">#REF!</definedName>
    <definedName name="TABLE_29">#REF!</definedName>
    <definedName name="TABLE_30" localSheetId="2">#REF!</definedName>
    <definedName name="TABLE_30" localSheetId="4">#REF!</definedName>
    <definedName name="TABLE_30">#REF!</definedName>
    <definedName name="TABLE_31" localSheetId="2">#REF!</definedName>
    <definedName name="TABLE_31" localSheetId="4">#REF!</definedName>
    <definedName name="TABLE_31">#REF!</definedName>
    <definedName name="TABLE_32" localSheetId="2">#REF!</definedName>
    <definedName name="TABLE_32" localSheetId="4">#REF!</definedName>
    <definedName name="TABLE_32">#REF!</definedName>
    <definedName name="TABLE_33" localSheetId="2">#REF!</definedName>
    <definedName name="TABLE_33" localSheetId="4">#REF!</definedName>
    <definedName name="TABLE_33">#REF!</definedName>
    <definedName name="TABLE_34" localSheetId="2">#REF!</definedName>
    <definedName name="TABLE_34" localSheetId="4">#REF!</definedName>
    <definedName name="TABLE_34">#REF!</definedName>
    <definedName name="TABLE_35" localSheetId="2">#REF!</definedName>
    <definedName name="TABLE_35" localSheetId="4">#REF!</definedName>
    <definedName name="TABLE_35">#REF!</definedName>
    <definedName name="TABLE_36" localSheetId="2">#REF!</definedName>
    <definedName name="TABLE_36" localSheetId="4">#REF!</definedName>
    <definedName name="TABLE_36">#REF!</definedName>
    <definedName name="TABLE_37" localSheetId="2">#REF!</definedName>
    <definedName name="TABLE_37" localSheetId="4">#REF!</definedName>
    <definedName name="TABLE_37">#REF!</definedName>
    <definedName name="TABLE_38" localSheetId="2">#REF!</definedName>
    <definedName name="TABLE_38" localSheetId="4">#REF!</definedName>
    <definedName name="TABLE_38">#REF!</definedName>
    <definedName name="TABLE_39" localSheetId="2">#REF!</definedName>
    <definedName name="TABLE_39" localSheetId="4">#REF!</definedName>
    <definedName name="TABLE_39">#REF!</definedName>
    <definedName name="TABLE_40" localSheetId="2">#REF!</definedName>
    <definedName name="TABLE_40" localSheetId="4">#REF!</definedName>
    <definedName name="TABLE_40">#REF!</definedName>
    <definedName name="TABLE_41" localSheetId="2">#REF!</definedName>
    <definedName name="TABLE_41" localSheetId="4">#REF!</definedName>
    <definedName name="TABLE_41">#REF!</definedName>
    <definedName name="TABLE_42" localSheetId="2">#REF!</definedName>
    <definedName name="TABLE_42" localSheetId="4">#REF!</definedName>
    <definedName name="TABLE_42">#REF!</definedName>
    <definedName name="TABLE_43" localSheetId="2">#REF!</definedName>
    <definedName name="TABLE_43" localSheetId="4">#REF!</definedName>
    <definedName name="TABLE_43">#REF!</definedName>
    <definedName name="TABLE_44" localSheetId="2">#REF!</definedName>
    <definedName name="TABLE_44" localSheetId="4">#REF!</definedName>
    <definedName name="TABLE_44">#REF!</definedName>
    <definedName name="TABLE_45" localSheetId="2">#REF!</definedName>
    <definedName name="TABLE_45" localSheetId="4">#REF!</definedName>
    <definedName name="TABLE_45">#REF!</definedName>
    <definedName name="TABLE_46" localSheetId="2">#REF!</definedName>
    <definedName name="TABLE_46" localSheetId="4">#REF!</definedName>
    <definedName name="TABLE_46">#REF!</definedName>
    <definedName name="TABLE_47" localSheetId="2">#REF!</definedName>
    <definedName name="TABLE_47" localSheetId="4">#REF!</definedName>
    <definedName name="TABLE_47">#REF!</definedName>
    <definedName name="TABLE_48" localSheetId="2">#REF!</definedName>
    <definedName name="TABLE_48" localSheetId="4">#REF!</definedName>
    <definedName name="TABLE_48">#REF!</definedName>
    <definedName name="TABLE_49" localSheetId="2">#REF!</definedName>
    <definedName name="TABLE_49" localSheetId="4">#REF!</definedName>
    <definedName name="TABLE_49">#REF!</definedName>
    <definedName name="TABLE_50" localSheetId="2">#REF!</definedName>
    <definedName name="TABLE_50" localSheetId="4">#REF!</definedName>
    <definedName name="TABLE_50">#REF!</definedName>
    <definedName name="TABLE_51" localSheetId="2">#REF!</definedName>
    <definedName name="TABLE_51" localSheetId="4">#REF!</definedName>
    <definedName name="TABLE_51">#REF!</definedName>
    <definedName name="TABLE_52" localSheetId="2">#REF!</definedName>
    <definedName name="TABLE_52" localSheetId="4">#REF!</definedName>
    <definedName name="TABLE_52">#REF!</definedName>
    <definedName name="TABLE_53" localSheetId="2">#REF!</definedName>
    <definedName name="TABLE_53" localSheetId="4">#REF!</definedName>
    <definedName name="TABLE_53">#REF!</definedName>
    <definedName name="TABLE_54" localSheetId="2">#REF!</definedName>
    <definedName name="TABLE_54" localSheetId="4">#REF!</definedName>
    <definedName name="TABLE_54">#REF!</definedName>
    <definedName name="TABLE_55" localSheetId="2">#REF!</definedName>
    <definedName name="TABLE_55" localSheetId="4">#REF!</definedName>
    <definedName name="TABLE_55">#REF!</definedName>
    <definedName name="TABLE_56" localSheetId="2">#REF!</definedName>
    <definedName name="TABLE_56" localSheetId="4">#REF!</definedName>
    <definedName name="TABLE_56">#REF!</definedName>
    <definedName name="TABLE_57" localSheetId="2">#REF!</definedName>
    <definedName name="TABLE_57" localSheetId="4">#REF!</definedName>
    <definedName name="TABLE_57">#REF!</definedName>
    <definedName name="TABLE_58" localSheetId="2">#REF!</definedName>
    <definedName name="TABLE_58" localSheetId="4">#REF!</definedName>
    <definedName name="TABLE_58">#REF!</definedName>
    <definedName name="TABLE_59" localSheetId="2">#REF!</definedName>
    <definedName name="TABLE_59" localSheetId="4">#REF!</definedName>
    <definedName name="TABLE_59">#REF!</definedName>
    <definedName name="TABLE_60" localSheetId="2">#REF!</definedName>
    <definedName name="TABLE_60" localSheetId="4">#REF!</definedName>
    <definedName name="TABLE_60">#REF!</definedName>
    <definedName name="TABLE_61" localSheetId="2">#REF!</definedName>
    <definedName name="TABLE_61" localSheetId="4">#REF!</definedName>
    <definedName name="TABLE_61">#REF!</definedName>
    <definedName name="TABLE_62" localSheetId="2">#REF!</definedName>
    <definedName name="TABLE_62" localSheetId="4">#REF!</definedName>
    <definedName name="TABLE_62">#REF!</definedName>
    <definedName name="TABLE_63" localSheetId="2">#REF!</definedName>
    <definedName name="TABLE_63" localSheetId="4">#REF!</definedName>
    <definedName name="TABLE_63">#REF!</definedName>
    <definedName name="TABLE_64" localSheetId="2">#REF!</definedName>
    <definedName name="TABLE_64" localSheetId="4">#REF!</definedName>
    <definedName name="TABLE_64">#REF!</definedName>
    <definedName name="TABLE_65" localSheetId="2">#REF!</definedName>
    <definedName name="TABLE_65" localSheetId="4">#REF!</definedName>
    <definedName name="TABLE_65">#REF!</definedName>
    <definedName name="TABLE_66" localSheetId="2">#REF!</definedName>
    <definedName name="TABLE_66" localSheetId="4">#REF!</definedName>
    <definedName name="TABLE_66">#REF!</definedName>
    <definedName name="TABLE_67" localSheetId="2">#REF!</definedName>
    <definedName name="TABLE_67" localSheetId="4">#REF!</definedName>
    <definedName name="TABLE_67">#REF!</definedName>
    <definedName name="TABLE_68" localSheetId="2">#REF!</definedName>
    <definedName name="TABLE_68" localSheetId="4">#REF!</definedName>
    <definedName name="TABLE_68">#REF!</definedName>
    <definedName name="TABLE_69" localSheetId="2">#REF!</definedName>
    <definedName name="TABLE_69" localSheetId="4">#REF!</definedName>
    <definedName name="TABLE_69">#REF!</definedName>
    <definedName name="Table_beg_bal" localSheetId="4">#REF!</definedName>
    <definedName name="Table_beg_bal">#REF!</definedName>
    <definedName name="Table_prior_interest" localSheetId="4">#REF!</definedName>
    <definedName name="Table_prior_interest">#REF!</definedName>
    <definedName name="Table_start_date" localSheetId="4">#REF!</definedName>
    <definedName name="Table_start_date">#REF!</definedName>
    <definedName name="Table_start_pmt" localSheetId="4">#REF!</definedName>
    <definedName name="Table_start_pmt">#REF!</definedName>
    <definedName name="tax" localSheetId="4">#REF!</definedName>
    <definedName name="tax">#REF!</definedName>
    <definedName name="TC" hidden="1">[1]Sheet14!$M$61:$M$130</definedName>
    <definedName name="TEAM">[63]계정!$E$3:$F$102</definedName>
    <definedName name="Term_in_years" localSheetId="4">#REF!</definedName>
    <definedName name="Term_in_years" localSheetId="1">#REF!</definedName>
    <definedName name="Term_in_years">#REF!</definedName>
    <definedName name="TEYJ" localSheetId="4" hidden="1">{"'용역비'!$A$4:$C$8"}</definedName>
    <definedName name="TEYJ" localSheetId="1" hidden="1">{"'용역비'!$A$4:$C$8"}</definedName>
    <definedName name="TEYJ" hidden="1">{"'용역비'!$A$4:$C$8"}</definedName>
    <definedName name="TFUI" localSheetId="4" hidden="1">{"'용역비'!$A$4:$C$8"}</definedName>
    <definedName name="TFUI" localSheetId="1" hidden="1">{"'용역비'!$A$4:$C$8"}</definedName>
    <definedName name="TFUI" hidden="1">{"'용역비'!$A$4:$C$8"}</definedName>
    <definedName name="TITLE_PRINTS" localSheetId="1">'[64]내역(정지)'!#REF!</definedName>
    <definedName name="TITLE_PRINTS">'[64]내역(정지)'!#REF!</definedName>
    <definedName name="tjfcl" localSheetId="4" hidden="1">{#N/A,#N/A,FALSE,"전력간선"}</definedName>
    <definedName name="tjfcl" localSheetId="1" hidden="1">{#N/A,#N/A,FALSE,"전력간선"}</definedName>
    <definedName name="tjfcl" hidden="1">{#N/A,#N/A,FALSE,"전력간선"}</definedName>
    <definedName name="TNSQJS" localSheetId="4">#REF!</definedName>
    <definedName name="TNSQJS" localSheetId="1">#REF!</definedName>
    <definedName name="TNSQJS">#REF!</definedName>
    <definedName name="TOERJ" localSheetId="4" hidden="1">{#N/A,#N/A,FALSE,"전력간선"}</definedName>
    <definedName name="TOERJ" localSheetId="1" hidden="1">{#N/A,#N/A,FALSE,"전력간선"}</definedName>
    <definedName name="TOERJ" hidden="1">{#N/A,#N/A,FALSE,"전력간선"}</definedName>
    <definedName name="Total_payments" localSheetId="4">일위대가표!Payments_per_year*일위대가표!Term_in_years</definedName>
    <definedName name="Total_payments" localSheetId="1">표지!Payments_per_year*표지!Term_in_years</definedName>
    <definedName name="Total_payments">Payments_per_year*Term_in_years</definedName>
    <definedName name="Trans_Func" localSheetId="4">#REF!</definedName>
    <definedName name="Trans_Func" localSheetId="1">#REF!</definedName>
    <definedName name="Trans_Func">#REF!</definedName>
    <definedName name="TStorm_M2_Processor" localSheetId="4">[2]Supplement2!#REF!</definedName>
    <definedName name="TStorm_M2_Processor" localSheetId="1">[2]Supplement2!#REF!</definedName>
    <definedName name="TStorm_M2_Processor">[2]Supplement2!#REF!</definedName>
    <definedName name="tt" localSheetId="4" hidden="1">{#N/A,#N/A,FALSE,"전력간선"}</definedName>
    <definedName name="tt" localSheetId="1" hidden="1">{#N/A,#N/A,FALSE,"전력간선"}</definedName>
    <definedName name="tt" hidden="1">{#N/A,#N/A,FALSE,"전력간선"}</definedName>
    <definedName name="TTTT" localSheetId="2" hidden="1">#REF!</definedName>
    <definedName name="TTTT" localSheetId="4" hidden="1">#REF!</definedName>
    <definedName name="TTTT" localSheetId="1" hidden="1">#REF!</definedName>
    <definedName name="TTTT" hidden="1">#REF!</definedName>
    <definedName name="tttttt" localSheetId="4" hidden="1">{"'자리배치도'!$AG$1:$CI$28"}</definedName>
    <definedName name="tttttt" localSheetId="1" hidden="1">{"'자리배치도'!$AG$1:$CI$28"}</definedName>
    <definedName name="tttttt" hidden="1">{"'자리배치도'!$AG$1:$CI$28"}</definedName>
    <definedName name="tu" localSheetId="4" hidden="1">{"'용역비'!$A$4:$C$8"}</definedName>
    <definedName name="tu" localSheetId="1" hidden="1">{"'용역비'!$A$4:$C$8"}</definedName>
    <definedName name="tu" hidden="1">{"'용역비'!$A$4:$C$8"}</definedName>
    <definedName name="tuilol" localSheetId="4" hidden="1">{"'용역비'!$A$4:$C$8"}</definedName>
    <definedName name="tuilol" localSheetId="1" hidden="1">{"'용역비'!$A$4:$C$8"}</definedName>
    <definedName name="tuilol" hidden="1">{"'용역비'!$A$4:$C$8"}</definedName>
    <definedName name="TUIO" localSheetId="4" hidden="1">{"'용역비'!$A$4:$C$8"}</definedName>
    <definedName name="TUIO" localSheetId="1" hidden="1">{"'용역비'!$A$4:$C$8"}</definedName>
    <definedName name="TUIO" hidden="1">{"'용역비'!$A$4:$C$8"}</definedName>
    <definedName name="TUIO.L" localSheetId="4" hidden="1">{"'용역비'!$A$4:$C$8"}</definedName>
    <definedName name="TUIO.L" localSheetId="1" hidden="1">{"'용역비'!$A$4:$C$8"}</definedName>
    <definedName name="TUIO.L" hidden="1">{"'용역비'!$A$4:$C$8"}</definedName>
    <definedName name="TUIOTUI" localSheetId="4" hidden="1">{"'용역비'!$A$4:$C$8"}</definedName>
    <definedName name="TUIOTUI" localSheetId="1" hidden="1">{"'용역비'!$A$4:$C$8"}</definedName>
    <definedName name="TUIOTUI" hidden="1">{"'용역비'!$A$4:$C$8"}</definedName>
    <definedName name="TUR" hidden="1">'[31]도체종-상수표'!$O$272:$O$341</definedName>
    <definedName name="TV공량" localSheetId="4">#REF!</definedName>
    <definedName name="TV공량" localSheetId="1">#REF!</definedName>
    <definedName name="TV공량">#REF!</definedName>
    <definedName name="TYJ" localSheetId="4" hidden="1">{"'용역비'!$A$4:$C$8"}</definedName>
    <definedName name="TYJ" localSheetId="1" hidden="1">{"'용역비'!$A$4:$C$8"}</definedName>
    <definedName name="TYJ" hidden="1">{"'용역비'!$A$4:$C$8"}</definedName>
    <definedName name="tyje" localSheetId="4" hidden="1">{"'용역비'!$A$4:$C$8"}</definedName>
    <definedName name="tyje" localSheetId="1" hidden="1">{"'용역비'!$A$4:$C$8"}</definedName>
    <definedName name="tyje" hidden="1">{"'용역비'!$A$4:$C$8"}</definedName>
    <definedName name="tyjet" localSheetId="4" hidden="1">{"'용역비'!$A$4:$C$8"}</definedName>
    <definedName name="tyjet" localSheetId="1" hidden="1">{"'용역비'!$A$4:$C$8"}</definedName>
    <definedName name="tyjet" hidden="1">{"'용역비'!$A$4:$C$8"}</definedName>
    <definedName name="tyu" localSheetId="4" hidden="1">{"'용역비'!$A$4:$C$8"}</definedName>
    <definedName name="tyu" localSheetId="1" hidden="1">{"'용역비'!$A$4:$C$8"}</definedName>
    <definedName name="tyu" hidden="1">{"'용역비'!$A$4:$C$8"}</definedName>
    <definedName name="T행">#REF!</definedName>
    <definedName name="U" localSheetId="4">#REF!</definedName>
    <definedName name="U">#REF!</definedName>
    <definedName name="UD" localSheetId="4">#REF!</definedName>
    <definedName name="UD">#REF!</definedName>
    <definedName name="UI" hidden="1">'[31]도체종-상수표'!$O$64:$O$131</definedName>
    <definedName name="UJI">[65]DATE!$I$24:$I$85</definedName>
    <definedName name="ulo" localSheetId="4" hidden="1">{"'용역비'!$A$4:$C$8"}</definedName>
    <definedName name="ulo" localSheetId="1" hidden="1">{"'용역비'!$A$4:$C$8"}</definedName>
    <definedName name="ulo" hidden="1">{"'용역비'!$A$4:$C$8"}</definedName>
    <definedName name="UNITA" localSheetId="1">[13]부하계산서!#REF!</definedName>
    <definedName name="UNITA">[13]부하계산서!#REF!</definedName>
    <definedName name="UNITAA" localSheetId="1">[13]부하계산서!#REF!</definedName>
    <definedName name="UNITAA">[13]부하계산서!#REF!</definedName>
    <definedName name="UNITB" localSheetId="1">[13]부하계산서!#REF!</definedName>
    <definedName name="UNITB">[13]부하계산서!#REF!</definedName>
    <definedName name="UNITBB">[13]부하계산서!#REF!</definedName>
    <definedName name="UNITC">[13]부하계산서!#REF!</definedName>
    <definedName name="UNITC1">[13]부하계산서!#REF!</definedName>
    <definedName name="UNITCA">[13]부하계산서!#REF!</definedName>
    <definedName name="UNITD">[13]부하계산서!#REF!</definedName>
    <definedName name="UNITDA">[13]부하계산서!#REF!</definedName>
    <definedName name="UPSR">[13]부하계산서!#REF!</definedName>
    <definedName name="UTI" localSheetId="4" hidden="1">{"'용역비'!$A$4:$C$8"}</definedName>
    <definedName name="UTI" localSheetId="1" hidden="1">{"'용역비'!$A$4:$C$8"}</definedName>
    <definedName name="UTI" hidden="1">{"'용역비'!$A$4:$C$8"}</definedName>
    <definedName name="UTIOL" localSheetId="4" hidden="1">{"'용역비'!$A$4:$C$8"}</definedName>
    <definedName name="UTIOL" localSheetId="1" hidden="1">{"'용역비'!$A$4:$C$8"}</definedName>
    <definedName name="UTIOL" hidden="1">{"'용역비'!$A$4:$C$8"}</definedName>
    <definedName name="uuu">[66]남양구조시험동!$A$1:$G$614</definedName>
    <definedName name="uuuuu">[66]남양구조시험동!$A$1:$G$614</definedName>
    <definedName name="uuuuuu" localSheetId="4" hidden="1">{"'자리배치도'!$AG$1:$CI$28"}</definedName>
    <definedName name="uuuuuu" localSheetId="1" hidden="1">{"'자리배치도'!$AG$1:$CI$28"}</definedName>
    <definedName name="uuuuuu" hidden="1">{"'자리배치도'!$AG$1:$CI$28"}</definedName>
    <definedName name="U행" localSheetId="4">#REF!</definedName>
    <definedName name="U행" localSheetId="1">#REF!</definedName>
    <definedName name="U행">#REF!</definedName>
    <definedName name="V" localSheetId="4">#REF!</definedName>
    <definedName name="V" localSheetId="1">#REF!</definedName>
    <definedName name="V">#REF!</definedName>
    <definedName name="VAFP" localSheetId="4">#REF!</definedName>
    <definedName name="VAFP">#REF!</definedName>
    <definedName name="Var" localSheetId="4">#REF!</definedName>
    <definedName name="Var">#REF!</definedName>
    <definedName name="VAT" localSheetId="4">#REF!</definedName>
    <definedName name="VAT">#REF!</definedName>
    <definedName name="vbdfgg">[24]!Macro7</definedName>
    <definedName name="VBV" localSheetId="4">#REF!</definedName>
    <definedName name="VBV" localSheetId="1">#REF!</definedName>
    <definedName name="VBV">#REF!</definedName>
    <definedName name="VCR" localSheetId="4">#REF!</definedName>
    <definedName name="VCR" localSheetId="1">#REF!</definedName>
    <definedName name="VCR">#REF!</definedName>
    <definedName name="VDSVP" localSheetId="4">#REF!</definedName>
    <definedName name="VDSVP">#REF!</definedName>
    <definedName name="VHAF" localSheetId="4">#REF!</definedName>
    <definedName name="VHAF">#REF!</definedName>
    <definedName name="VHMF" localSheetId="4">#REF!</definedName>
    <definedName name="VHMF">#REF!</definedName>
    <definedName name="VIP">[67]특별교실!Macro9</definedName>
    <definedName name="VIR">[67]!Macro7</definedName>
    <definedName name="VIS">[67]특별교실!Macro9</definedName>
    <definedName name="VMF" localSheetId="4">#REF!</definedName>
    <definedName name="VMF" localSheetId="1">#REF!</definedName>
    <definedName name="VMF">#REF!</definedName>
    <definedName name="VMOTOR" localSheetId="4">#REF!</definedName>
    <definedName name="VMOTOR" localSheetId="1">#REF!</definedName>
    <definedName name="VMOTOR">#REF!</definedName>
    <definedName name="VPUMP" localSheetId="4">#REF!</definedName>
    <definedName name="VPUMP">#REF!</definedName>
    <definedName name="VSV" localSheetId="4">#REF!</definedName>
    <definedName name="VSV">#REF!</definedName>
    <definedName name="VSVS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VSVS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VSV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VV" localSheetId="4" hidden="1">{"'자리배치도'!$AG$1:$CI$28"}</definedName>
    <definedName name="VV" localSheetId="1" hidden="1">{"'자리배치도'!$AG$1:$CI$28"}</definedName>
    <definedName name="VV" hidden="1">{"'자리배치도'!$AG$1:$CI$28"}</definedName>
    <definedName name="VVAFP">#REF!</definedName>
    <definedName name="VVMF" localSheetId="4">#REF!</definedName>
    <definedName name="VVMF">#REF!</definedName>
    <definedName name="VWEI" localSheetId="4">#REF!</definedName>
    <definedName name="VWEI">#REF!</definedName>
    <definedName name="V행" localSheetId="4">#REF!</definedName>
    <definedName name="V행">#REF!</definedName>
    <definedName name="W" localSheetId="4">#REF!</definedName>
    <definedName name="W">#REF!</definedName>
    <definedName name="WACC">[25]Inputs!$D$18</definedName>
    <definedName name="WD" localSheetId="4">#REF!</definedName>
    <definedName name="WD" localSheetId="1">#REF!</definedName>
    <definedName name="WD">#REF!</definedName>
    <definedName name="WE" localSheetId="2">#REF!</definedName>
    <definedName name="WE" localSheetId="4">#REF!</definedName>
    <definedName name="WE" localSheetId="1">#REF!</definedName>
    <definedName name="WE">#REF!</definedName>
    <definedName name="WEI" localSheetId="4">#REF!</definedName>
    <definedName name="WEI" localSheetId="1">#REF!</definedName>
    <definedName name="WEI">#REF!</definedName>
    <definedName name="wert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rt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s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s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s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ETQWER" localSheetId="4">#REF!</definedName>
    <definedName name="WETQWER" localSheetId="1">#REF!</definedName>
    <definedName name="WETQWER">#REF!</definedName>
    <definedName name="WIRE" localSheetId="4">#REF!</definedName>
    <definedName name="WIRE" localSheetId="1">#REF!</definedName>
    <definedName name="WIRE">#REF!</definedName>
    <definedName name="WIS단가비교" localSheetId="4" hidden="1">{#N/A,#N/A,TRUE,"토적및재료집계";#N/A,#N/A,TRUE,"토적및재료집계";#N/A,#N/A,TRUE,"단위량"}</definedName>
    <definedName name="WIS단가비교" localSheetId="1" hidden="1">{#N/A,#N/A,TRUE,"토적및재료집계";#N/A,#N/A,TRUE,"토적및재료집계";#N/A,#N/A,TRUE,"단위량"}</definedName>
    <definedName name="WIS단가비교" hidden="1">{#N/A,#N/A,TRUE,"토적및재료집계";#N/A,#N/A,TRUE,"토적및재료집계";#N/A,#N/A,TRUE,"단위량"}</definedName>
    <definedName name="WJSDNJ" localSheetId="4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JSDNJ" localSheetId="1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JSDNJ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JSRHKS" localSheetId="4">BlankMacro1</definedName>
    <definedName name="WJSRHKS" localSheetId="1">BlankMacro1</definedName>
    <definedName name="WJSRHKS">BlankMacro1</definedName>
    <definedName name="wm.조골재1" localSheetId="4" hidden="1">{#N/A,#N/A,FALSE,"조골재"}</definedName>
    <definedName name="wm.조골재1" localSheetId="1" hidden="1">{#N/A,#N/A,FALSE,"조골재"}</definedName>
    <definedName name="wm.조골재1" hidden="1">{#N/A,#N/A,FALSE,"조골재"}</definedName>
    <definedName name="woogi" hidden="1">#REF!</definedName>
    <definedName name="woogi2" localSheetId="4" hidden="1">#REF!</definedName>
    <definedName name="woogi2" hidden="1">#REF!</definedName>
    <definedName name="WQW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QW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QW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" localSheetId="2">#REF!</definedName>
    <definedName name="WR" localSheetId="4">#REF!</definedName>
    <definedName name="WR" localSheetId="1">#REF!</definedName>
    <definedName name="WR">#REF!</definedName>
    <definedName name="WRITE" localSheetId="4" hidden="1">{#N/A,#N/A,FALSE,"CCTV"}</definedName>
    <definedName name="WRITE" localSheetId="1" hidden="1">{#N/A,#N/A,FALSE,"CCTV"}</definedName>
    <definedName name="WRITE" hidden="1">{#N/A,#N/A,FALSE,"CCTV"}</definedName>
    <definedName name="wrn.0812ESC." localSheetId="4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0812ESC." localSheetId="1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2번." localSheetId="4" hidden="1">{#N/A,#N/A,FALSE,"2~8번"}</definedName>
    <definedName name="wrn.2번." localSheetId="1" hidden="1">{#N/A,#N/A,FALSE,"2~8번"}</definedName>
    <definedName name="wrn.2번." hidden="1">{#N/A,#N/A,FALSE,"2~8번"}</definedName>
    <definedName name="wrn.34건물기초." localSheetId="4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34건물기초." localSheetId="1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97년._.사업계획._.및._.예산지침." localSheetId="4" hidden="1">{#N/A,#N/A,TRUE,"1";#N/A,#N/A,TRUE,"2";#N/A,#N/A,TRUE,"3";#N/A,#N/A,TRUE,"4";#N/A,#N/A,TRUE,"5";#N/A,#N/A,TRUE,"6";#N/A,#N/A,TRUE,"7"}</definedName>
    <definedName name="wrn.97년._.사업계획._.및._.예산지침." localSheetId="1" hidden="1">{#N/A,#N/A,TRUE,"1";#N/A,#N/A,TRUE,"2";#N/A,#N/A,TRUE,"3";#N/A,#N/A,TRUE,"4";#N/A,#N/A,TRUE,"5";#N/A,#N/A,TRUE,"6";#N/A,#N/A,TRUE,"7"}</definedName>
    <definedName name="wrn.97년._.사업계획._.및._.예산지침." hidden="1">{#N/A,#N/A,TRUE,"1";#N/A,#N/A,TRUE,"2";#N/A,#N/A,TRUE,"3";#N/A,#N/A,TRUE,"4";#N/A,#N/A,TRUE,"5";#N/A,#N/A,TRUE,"6";#N/A,#N/A,TRUE,"7"}</definedName>
    <definedName name="wrn.ac30prn." localSheetId="4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localSheetId="1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BM." localSheetId="4" hidden="1">{#N/A,#N/A,FALSE,"CCTV"}</definedName>
    <definedName name="wrn.BM." localSheetId="1" hidden="1">{#N/A,#N/A,FALSE,"CCTV"}</definedName>
    <definedName name="wrn.BM." hidden="1">{#N/A,#N/A,FALSE,"CCTV"}</definedName>
    <definedName name="wrn.DACOM._.광전송장치._.투찰가._.검토." localSheetId="4" hidden="1">{#N/A,#N/A,FALSE,"DAOCM 2차 검토"}</definedName>
    <definedName name="wrn.DACOM._.광전송장치._.투찰가._.검토." localSheetId="1" hidden="1">{#N/A,#N/A,FALSE,"DAOCM 2차 검토"}</definedName>
    <definedName name="wrn.DACOM._.광전송장치._.투찰가._.검토." hidden="1">{#N/A,#N/A,FALSE,"DAOCM 2차 검토"}</definedName>
    <definedName name="wrn.Print._.All." localSheetId="4" hidden="1">{#N/A,#N/A,TRUE,"SUMMARY";#N/A,#N/A,TRUE,"ECONOMIC";#N/A,#N/A,TRUE,"SUBS";#N/A,#N/A,TRUE,"Projects"}</definedName>
    <definedName name="wrn.Print._.All." localSheetId="1" hidden="1">{#N/A,#N/A,TRUE,"SUMMARY";#N/A,#N/A,TRUE,"ECONOMIC";#N/A,#N/A,TRUE,"SUBS";#N/A,#N/A,TRUE,"Projects"}</definedName>
    <definedName name="wrn.Print._.All." hidden="1">{#N/A,#N/A,TRUE,"SUMMARY";#N/A,#N/A,TRUE,"ECONOMIC";#N/A,#N/A,TRUE,"SUBS";#N/A,#N/A,TRUE,"Projects"}</definedName>
    <definedName name="wrn.test1." localSheetId="4" hidden="1">{#N/A,#N/A,FALSE,"명세표"}</definedName>
    <definedName name="wrn.test1." localSheetId="1" hidden="1">{#N/A,#N/A,FALSE,"명세표"}</definedName>
    <definedName name="wrn.test1." hidden="1">{#N/A,#N/A,FALSE,"명세표"}</definedName>
    <definedName name="wrn.건물기초." localSheetId="4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localSheetId="1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골재소요량." localSheetId="4" hidden="1">{#N/A,#N/A,FALSE,"골재소요량";#N/A,#N/A,FALSE,"골재소요량"}</definedName>
    <definedName name="wrn.골재소요량." localSheetId="1" hidden="1">{#N/A,#N/A,FALSE,"골재소요량";#N/A,#N/A,FALSE,"골재소요량"}</definedName>
    <definedName name="wrn.골재소요량." hidden="1">{#N/A,#N/A,FALSE,"골재소요량";#N/A,#N/A,FALSE,"골재소요량"}</definedName>
    <definedName name="wrn.교대구조계산.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대구조계산.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wrn.교육청." localSheetId="4" hidden="1">{#N/A,#N/A,FALSE,"전력간선"}</definedName>
    <definedName name="wrn.교육청." localSheetId="1" hidden="1">{#N/A,#N/A,FALSE,"전력간선"}</definedName>
    <definedName name="wrn.교육청." hidden="1">{#N/A,#N/A,FALSE,"전력간선"}</definedName>
    <definedName name="wrn.구조2." localSheetId="4" hidden="1">{#N/A,#N/A,FALSE,"구조2"}</definedName>
    <definedName name="wrn.구조2." localSheetId="1" hidden="1">{#N/A,#N/A,FALSE,"구조2"}</definedName>
    <definedName name="wrn.구조2." hidden="1">{#N/A,#N/A,FALSE,"구조2"}</definedName>
    <definedName name="wrn.기성." localSheetId="4" hidden="1">{#N/A,#N/A,FALSE,"신청통보";#N/A,#N/A,FALSE,"기성확인서";#N/A,#N/A,FALSE,"기성내역서"}</definedName>
    <definedName name="wrn.기성." localSheetId="1" hidden="1">{#N/A,#N/A,FALSE,"신청통보";#N/A,#N/A,FALSE,"기성확인서";#N/A,#N/A,FALSE,"기성내역서"}</definedName>
    <definedName name="wrn.기성." hidden="1">{#N/A,#N/A,FALSE,"신청통보";#N/A,#N/A,FALSE,"기성확인서";#N/A,#N/A,FALSE,"기성내역서"}</definedName>
    <definedName name="wrn.기초." localSheetId="4" hidden="1">{#N/A,#N/A,FALSE,"터빈집계";#N/A,#N/A,FALSE,"터빈내역";#N/A,#N/A,FALSE,"보일러집계";#N/A,#N/A,FALSE,"보일러내역"}</definedName>
    <definedName name="wrn.기초." localSheetId="1" hidden="1">{#N/A,#N/A,FALSE,"터빈집계";#N/A,#N/A,FALSE,"터빈내역";#N/A,#N/A,FALSE,"보일러집계";#N/A,#N/A,FALSE,"보일러내역"}</definedName>
    <definedName name="wrn.기초." hidden="1">{#N/A,#N/A,FALSE,"터빈집계";#N/A,#N/A,FALSE,"터빈내역";#N/A,#N/A,FALSE,"보일러집계";#N/A,#N/A,FALSE,"보일러내역"}</definedName>
    <definedName name="wrn.단가표지." localSheetId="4" hidden="1">{#N/A,#N/A,FALSE,"단가표지"}</definedName>
    <definedName name="wrn.단가표지." localSheetId="1" hidden="1">{#N/A,#N/A,FALSE,"단가표지"}</definedName>
    <definedName name="wrn.단가표지." hidden="1">{#N/A,#N/A,FALSE,"단가표지"}</definedName>
    <definedName name="wrn.ㅁㅁ." localSheetId="4" hidden="1">{#N/A,#N/A,FALSE,"단가와품"}</definedName>
    <definedName name="wrn.ㅁㅁ." localSheetId="1" hidden="1">{#N/A,#N/A,FALSE,"단가와품"}</definedName>
    <definedName name="wrn.ㅁㅁ." hidden="1">{#N/A,#N/A,FALSE,"단가와품"}</definedName>
    <definedName name="wrn.배수1." localSheetId="4" hidden="1">{#N/A,#N/A,FALSE,"배수1"}</definedName>
    <definedName name="wrn.배수1." localSheetId="1" hidden="1">{#N/A,#N/A,FALSE,"배수1"}</definedName>
    <definedName name="wrn.배수1." hidden="1">{#N/A,#N/A,FALSE,"배수1"}</definedName>
    <definedName name="wrn.배수2." localSheetId="4" hidden="1">{#N/A,#N/A,FALSE,"배수2"}</definedName>
    <definedName name="wrn.배수2." localSheetId="1" hidden="1">{#N/A,#N/A,FALSE,"배수2"}</definedName>
    <definedName name="wrn.배수2." hidden="1">{#N/A,#N/A,FALSE,"배수2"}</definedName>
    <definedName name="wrn.보일러마감." localSheetId="4" hidden="1">{#N/A,#N/A,FALSE,"물가변동 (2)";#N/A,#N/A,FALSE,"공사비";#N/A,#N/A,FALSE,"사급";#N/A,#N/A,FALSE,"도급집계";#N/A,#N/A,FALSE,"재료비";#N/A,#N/A,FALSE,"노무비";#N/A,#N/A,FALSE,"경비"}</definedName>
    <definedName name="wrn.보일러마감." localSheetId="1" hidden="1">{#N/A,#N/A,FALSE,"물가변동 (2)";#N/A,#N/A,FALSE,"공사비";#N/A,#N/A,FALSE,"사급";#N/A,#N/A,FALSE,"도급집계";#N/A,#N/A,FALSE,"재료비";#N/A,#N/A,FALSE,"노무비";#N/A,#N/A,FALSE,"경비"}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부대1." localSheetId="4" hidden="1">{#N/A,#N/A,FALSE,"부대1"}</definedName>
    <definedName name="wrn.부대1." localSheetId="1" hidden="1">{#N/A,#N/A,FALSE,"부대1"}</definedName>
    <definedName name="wrn.부대1." hidden="1">{#N/A,#N/A,FALSE,"부대1"}</definedName>
    <definedName name="wrn.부대2." localSheetId="4" hidden="1">{#N/A,#N/A,FALSE,"부대2"}</definedName>
    <definedName name="wrn.부대2." localSheetId="1" hidden="1">{#N/A,#N/A,FALSE,"부대2"}</definedName>
    <definedName name="wrn.부대2." hidden="1">{#N/A,#N/A,FALSE,"부대2"}</definedName>
    <definedName name="wrn.속도." localSheetId="4" hidden="1">{#N/A,#N/A,FALSE,"속도"}</definedName>
    <definedName name="wrn.속도." localSheetId="1" hidden="1">{#N/A,#N/A,FALSE,"속도"}</definedName>
    <definedName name="wrn.속도." hidden="1">{#N/A,#N/A,FALSE,"속도"}</definedName>
    <definedName name="wrn.손익._.보고." localSheetId="4" hidden="1">{#N/A,#N/A,TRUE,"손익보고"}</definedName>
    <definedName name="wrn.손익._.보고." localSheetId="1" hidden="1">{#N/A,#N/A,TRUE,"손익보고"}</definedName>
    <definedName name="wrn.손익._.보고." hidden="1">{#N/A,#N/A,TRUE,"손익보고"}</definedName>
    <definedName name="wrn.손익보고.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송변전공종단가." localSheetId="4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송변전공종단가." localSheetId="1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송변전공종단가.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wrn.시행결의." localSheetId="4" hidden="1">{#N/A,#N/A,FALSE,"도급대비시행율";#N/A,#N/A,FALSE,"결의서";#N/A,#N/A,FALSE,"내역서";#N/A,#N/A,FALSE,"도급예상"}</definedName>
    <definedName name="wrn.시행결의." localSheetId="1" hidden="1">{#N/A,#N/A,FALSE,"도급대비시행율";#N/A,#N/A,FALSE,"결의서";#N/A,#N/A,FALSE,"내역서";#N/A,#N/A,FALSE,"도급예상"}</definedName>
    <definedName name="wrn.시행결의." hidden="1">{#N/A,#N/A,FALSE,"도급대비시행율";#N/A,#N/A,FALSE,"결의서";#N/A,#N/A,FALSE,"내역서";#N/A,#N/A,FALSE,"도급예상"}</definedName>
    <definedName name="wrn.신용찬." localSheetId="4" hidden="1">{#N/A,#N/A,TRUE,"토적및재료집계";#N/A,#N/A,TRUE,"토적및재료집계";#N/A,#N/A,TRUE,"단위량"}</definedName>
    <definedName name="wrn.신용찬." localSheetId="1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외주기성." localSheetId="4" hidden="1">{#N/A,#N/A,FALSE,"신청통보";#N/A,#N/A,FALSE,"기성확인서";#N/A,#N/A,FALSE,"기성내역서"}</definedName>
    <definedName name="wrn.외주기성." localSheetId="1" hidden="1">{#N/A,#N/A,FALSE,"신청통보";#N/A,#N/A,FALSE,"기성확인서";#N/A,#N/A,FALSE,"기성내역서"}</definedName>
    <definedName name="wrn.외주기성." hidden="1">{#N/A,#N/A,FALSE,"신청통보";#N/A,#N/A,FALSE,"기성확인서";#N/A,#N/A,FALSE,"기성내역서"}</definedName>
    <definedName name="wrn.운반시간." localSheetId="4" hidden="1">{#N/A,#N/A,FALSE,"운반시간"}</definedName>
    <definedName name="wrn.운반시간." localSheetId="1" hidden="1">{#N/A,#N/A,FALSE,"운반시간"}</definedName>
    <definedName name="wrn.운반시간." hidden="1">{#N/A,#N/A,FALSE,"운반시간"}</definedName>
    <definedName name="wrn.이정표." localSheetId="4" hidden="1">{#N/A,#N/A,FALSE,"이정표"}</definedName>
    <definedName name="wrn.이정표." localSheetId="1" hidden="1">{#N/A,#N/A,FALSE,"이정표"}</definedName>
    <definedName name="wrn.이정표." hidden="1">{#N/A,#N/A,FALSE,"이정표"}</definedName>
    <definedName name="wrn.조골재." localSheetId="4" hidden="1">{#N/A,#N/A,FALSE,"조골재"}</definedName>
    <definedName name="wrn.조골재." localSheetId="1" hidden="1">{#N/A,#N/A,FALSE,"조골재"}</definedName>
    <definedName name="wrn.조골재." hidden="1">{#N/A,#N/A,FALSE,"조골재"}</definedName>
    <definedName name="wrn.토공1." localSheetId="4" hidden="1">{#N/A,#N/A,FALSE,"구조1"}</definedName>
    <definedName name="wrn.토공1." localSheetId="1" hidden="1">{#N/A,#N/A,FALSE,"구조1"}</definedName>
    <definedName name="wrn.토공1." hidden="1">{#N/A,#N/A,FALSE,"구조1"}</definedName>
    <definedName name="wrn.토공2." localSheetId="4" hidden="1">{#N/A,#N/A,FALSE,"토공2"}</definedName>
    <definedName name="wrn.토공2." localSheetId="1" hidden="1">{#N/A,#N/A,FALSE,"토공2"}</definedName>
    <definedName name="wrn.토공2." hidden="1">{#N/A,#N/A,FALSE,"토공2"}</definedName>
    <definedName name="wrn.포장1." localSheetId="4" hidden="1">{#N/A,#N/A,FALSE,"포장1";#N/A,#N/A,FALSE,"포장1"}</definedName>
    <definedName name="wrn.포장1." localSheetId="1" hidden="1">{#N/A,#N/A,FALSE,"포장1";#N/A,#N/A,FALSE,"포장1"}</definedName>
    <definedName name="wrn.포장1." hidden="1">{#N/A,#N/A,FALSE,"포장1";#N/A,#N/A,FALSE,"포장1"}</definedName>
    <definedName name="wrn.포장2." localSheetId="4" hidden="1">{#N/A,#N/A,FALSE,"포장2"}</definedName>
    <definedName name="wrn.포장2." localSheetId="1" hidden="1">{#N/A,#N/A,FALSE,"포장2"}</definedName>
    <definedName name="wrn.포장2." hidden="1">{#N/A,#N/A,FALSE,"포장2"}</definedName>
    <definedName name="wrn.표준공종단가." localSheetId="4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localSheetId="1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." localSheetId="4" hidden="1">{#N/A,#N/A,FALSE,"표지"}</definedName>
    <definedName name="wrn.표지." localSheetId="1" hidden="1">{#N/A,#N/A,FALSE,"표지"}</definedName>
    <definedName name="wrn.표지." hidden="1">{#N/A,#N/A,FALSE,"표지"}</definedName>
    <definedName name="wrn.표지목차." localSheetId="4" hidden="1">{#N/A,#N/A,FALSE,"표지목차"}</definedName>
    <definedName name="wrn.표지목차." localSheetId="1" hidden="1">{#N/A,#N/A,FALSE,"표지목차"}</definedName>
    <definedName name="wrn.표지목차." hidden="1">{#N/A,#N/A,FALSE,"표지목차"}</definedName>
    <definedName name="wrn.혼합골재." localSheetId="4" hidden="1">{#N/A,#N/A,FALSE,"혼합골재"}</definedName>
    <definedName name="wrn.혼합골재." localSheetId="1" hidden="1">{#N/A,#N/A,FALSE,"혼합골재"}</definedName>
    <definedName name="wrn.혼합골재." hidden="1">{#N/A,#N/A,FALSE,"혼합골재"}</definedName>
    <definedName name="wrty" localSheetId="4" hidden="1">{"'용역비'!$A$4:$C$8"}</definedName>
    <definedName name="wrty" localSheetId="1" hidden="1">{"'용역비'!$A$4:$C$8"}</definedName>
    <definedName name="wrty" hidden="1">{"'용역비'!$A$4:$C$8"}</definedName>
    <definedName name="wrtyrtyrt" localSheetId="4" hidden="1">{"'용역비'!$A$4:$C$8"}</definedName>
    <definedName name="wrtyrtyrt" localSheetId="1" hidden="1">{"'용역비'!$A$4:$C$8"}</definedName>
    <definedName name="wrtyrtyrt" hidden="1">{"'용역비'!$A$4:$C$8"}</definedName>
    <definedName name="wrtywrtywr" localSheetId="4" hidden="1">{"'용역비'!$A$4:$C$8"}</definedName>
    <definedName name="wrtywrtywr" localSheetId="1" hidden="1">{"'용역비'!$A$4:$C$8"}</definedName>
    <definedName name="wrtywrtywr" hidden="1">{"'용역비'!$A$4:$C$8"}</definedName>
    <definedName name="wuy" localSheetId="4" hidden="1">{"'용역비'!$A$4:$C$8"}</definedName>
    <definedName name="wuy" localSheetId="1" hidden="1">{"'용역비'!$A$4:$C$8"}</definedName>
    <definedName name="wuy" hidden="1">{"'용역비'!$A$4:$C$8"}</definedName>
    <definedName name="WW" localSheetId="4" hidden="1">{#N/A,#N/A,FALSE,"전력간선"}</definedName>
    <definedName name="WW" localSheetId="1" hidden="1">{#N/A,#N/A,FALSE,"전력간선"}</definedName>
    <definedName name="WW" hidden="1">{#N/A,#N/A,FALSE,"전력간선"}</definedName>
    <definedName name="WWWW" localSheetId="4">BlankMacro1</definedName>
    <definedName name="WWWW" localSheetId="1">BlankMacro1</definedName>
    <definedName name="WWWW">BlankMacro1</definedName>
    <definedName name="wwwwww" localSheetId="4" hidden="1">{"'자리배치도'!$AG$1:$CI$28"}</definedName>
    <definedName name="wwwwww" localSheetId="1" hidden="1">{"'자리배치도'!$AG$1:$CI$28"}</definedName>
    <definedName name="wwwwww" hidden="1">{"'자리배치도'!$AG$1:$CI$28"}</definedName>
    <definedName name="W행">'[68]2.대외공문'!#REF!</definedName>
    <definedName name="X9701D_일위대가_List" localSheetId="4">#REF!</definedName>
    <definedName name="X9701D_일위대가_List" localSheetId="1">#REF!</definedName>
    <definedName name="X9701D_일위대가_List">#REF!</definedName>
    <definedName name="XCVBGSDFGSER" localSheetId="4" hidden="1">#REF!</definedName>
    <definedName name="XCVBGSDFGSER" hidden="1">#REF!</definedName>
    <definedName name="xlcdfsdhodfs" localSheetId="4">#REF!</definedName>
    <definedName name="xlcdfsdhodfs">#REF!</definedName>
    <definedName name="xpa7" localSheetId="4">BlankMacro1</definedName>
    <definedName name="xpa7" localSheetId="1">BlankMacro1</definedName>
    <definedName name="xpa7">BlankMacro1</definedName>
    <definedName name="XXXX" localSheetId="4">BlankMacro1</definedName>
    <definedName name="XXXX" localSheetId="1">BlankMacro1</definedName>
    <definedName name="XXXX">BlankMacro1</definedName>
    <definedName name="XXXXXX" localSheetId="4" hidden="1">{"'공사부문'!$A$6:$A$32"}</definedName>
    <definedName name="XXXXXX" localSheetId="1" hidden="1">{"'공사부문'!$A$6:$A$32"}</definedName>
    <definedName name="XXXXXX" hidden="1">{"'공사부문'!$A$6:$A$32"}</definedName>
    <definedName name="X행">#REF!</definedName>
    <definedName name="Y" localSheetId="4">#REF!</definedName>
    <definedName name="Y">#REF!</definedName>
    <definedName name="YBG견적서통" localSheetId="4" hidden="1">{#N/A,#N/A,TRUE,"손익보고"}</definedName>
    <definedName name="YBG견적서통" localSheetId="1" hidden="1">{#N/A,#N/A,TRUE,"손익보고"}</definedName>
    <definedName name="YBG견적서통" hidden="1">{#N/A,#N/A,TRUE,"손익보고"}</definedName>
    <definedName name="YD" localSheetId="4">#REF!</definedName>
    <definedName name="YD" localSheetId="1">#REF!</definedName>
    <definedName name="YD">#REF!</definedName>
    <definedName name="YFU" localSheetId="4" hidden="1">{"'용역비'!$A$4:$C$8"}</definedName>
    <definedName name="YFU" localSheetId="1" hidden="1">{"'용역비'!$A$4:$C$8"}</definedName>
    <definedName name="YFU" hidden="1">{"'용역비'!$A$4:$C$8"}</definedName>
    <definedName name="yu" localSheetId="4" hidden="1">{"'용역비'!$A$4:$C$8"}</definedName>
    <definedName name="yu" localSheetId="1" hidden="1">{"'용역비'!$A$4:$C$8"}</definedName>
    <definedName name="yu" hidden="1">{"'용역비'!$A$4:$C$8"}</definedName>
    <definedName name="YUK" localSheetId="4" hidden="1">{"'용역비'!$A$4:$C$8"}</definedName>
    <definedName name="YUK" localSheetId="1" hidden="1">{"'용역비'!$A$4:$C$8"}</definedName>
    <definedName name="YUK" hidden="1">{"'용역비'!$A$4:$C$8"}</definedName>
    <definedName name="YUKOI" localSheetId="4" hidden="1">{"'용역비'!$A$4:$C$8"}</definedName>
    <definedName name="YUKOI" localSheetId="1" hidden="1">{"'용역비'!$A$4:$C$8"}</definedName>
    <definedName name="YUKOI" hidden="1">{"'용역비'!$A$4:$C$8"}</definedName>
    <definedName name="yyy" hidden="1">[69]수량산출!$A$1:$A$8561</definedName>
    <definedName name="yyyy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yyyy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yyyy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yyyyyy" localSheetId="4" hidden="1">{"'자리배치도'!$AG$1:$CI$28"}</definedName>
    <definedName name="yyyyyy" localSheetId="1" hidden="1">{"'자리배치도'!$AG$1:$CI$28"}</definedName>
    <definedName name="yyyyyy" hidden="1">{"'자리배치도'!$AG$1:$CI$28"}</definedName>
    <definedName name="ZDVFSADF">#REF!</definedName>
    <definedName name="ZK" localSheetId="4">[0]!BlankMacro1</definedName>
    <definedName name="ZK" localSheetId="1">[0]!BlankMacro1</definedName>
    <definedName name="ZK">[0]!BlankMacro1</definedName>
    <definedName name="ZM" localSheetId="4">[0]!BlankMacro1</definedName>
    <definedName name="ZM" localSheetId="1">[0]!BlankMacro1</definedName>
    <definedName name="ZM">[0]!BlankMacro1</definedName>
    <definedName name="ZP" localSheetId="4">#REF!</definedName>
    <definedName name="ZP" localSheetId="1">#REF!</definedName>
    <definedName name="ZP">#REF!</definedName>
    <definedName name="ZXDFASDF" localSheetId="4">#REF!</definedName>
    <definedName name="ZXDFASDF" localSheetId="1">#REF!</definedName>
    <definedName name="ZXDFASDF">#REF!</definedName>
    <definedName name="ZZZZ" localSheetId="4">BlankMacro1</definedName>
    <definedName name="ZZZZ" localSheetId="1">BlankMacro1</definedName>
    <definedName name="ZZZZ">BlankMacro1</definedName>
    <definedName name="ㄱ" localSheetId="4" hidden="1">{#N/A,#N/A,TRUE,"토적및재료집계";#N/A,#N/A,TRUE,"토적및재료집계";#N/A,#N/A,TRUE,"단위량"}</definedName>
    <definedName name="ㄱ" localSheetId="1" hidden="1">{#N/A,#N/A,TRUE,"토적및재료집계";#N/A,#N/A,TRUE,"토적및재료집계";#N/A,#N/A,TRUE,"단위량"}</definedName>
    <definedName name="ㄱ" hidden="1">{#N/A,#N/A,TRUE,"토적및재료집계";#N/A,#N/A,TRUE,"토적및재료집계";#N/A,#N/A,TRUE,"단위량"}</definedName>
    <definedName name="ㄱ노ㅛㄱ서" localSheetId="4">BlankMacro1</definedName>
    <definedName name="ㄱ노ㅛㄱ서" localSheetId="1">BlankMacro1</definedName>
    <definedName name="ㄱ노ㅛㄱ서">BlankMacro1</definedName>
    <definedName name="가">#N/A</definedName>
    <definedName name="가S_O" localSheetId="4" hidden="1">{#N/A,#N/A,FALSE,"DAOCM 2차 검토"}</definedName>
    <definedName name="가S_O" localSheetId="1" hidden="1">{#N/A,#N/A,FALSE,"DAOCM 2차 검토"}</definedName>
    <definedName name="가S_O" hidden="1">{#N/A,#N/A,FALSE,"DAOCM 2차 검토"}</definedName>
    <definedName name="가건물" localSheetId="4">#REF!</definedName>
    <definedName name="가건물" localSheetId="1">#REF!</definedName>
    <definedName name="가건물">#REF!</definedName>
    <definedName name="가관지수링">[26]가감수량!$W$9</definedName>
    <definedName name="가나다" localSheetId="2" hidden="1">#REF!</definedName>
    <definedName name="가나다" localSheetId="4" hidden="1">#REF!</definedName>
    <definedName name="가나다" localSheetId="1" hidden="1">#REF!</definedName>
    <definedName name="가나다" hidden="1">#REF!</definedName>
    <definedName name="가라" localSheetId="4">#REF!</definedName>
    <definedName name="가라" localSheetId="1">#REF!</definedName>
    <definedName name="가라">#REF!</definedName>
    <definedName name="가로등" localSheetId="4">#N/A</definedName>
    <definedName name="가로등" localSheetId="1">표지!가로등</definedName>
    <definedName name="가로등">[0]!가로등</definedName>
    <definedName name="가로등1" localSheetId="4">#N/A</definedName>
    <definedName name="가로등1" localSheetId="1">표지!가로등1</definedName>
    <definedName name="가로등1">[0]!가로등1</definedName>
    <definedName name="가로등입력" localSheetId="4">#N/A</definedName>
    <definedName name="가로등입력" localSheetId="1">표지!가로등입력</definedName>
    <definedName name="가로등입력">[0]!가로등입력</definedName>
    <definedName name="가로등입력이다" localSheetId="4">#N/A</definedName>
    <definedName name="가로등입력이다" localSheetId="1">표지!가로등입력이다</definedName>
    <definedName name="가로등입력이다">[0]!가로등입력이다</definedName>
    <definedName name="가로등입력입니다" localSheetId="4">#N/A</definedName>
    <definedName name="가로등입력입니다" localSheetId="1">표지!가로등입력입니다</definedName>
    <definedName name="가로등입력입니다">[0]!가로등입력입니다</definedName>
    <definedName name="가로등주" localSheetId="4">#REF!</definedName>
    <definedName name="가로등주" localSheetId="1">#REF!</definedName>
    <definedName name="가로등주">#REF!</definedName>
    <definedName name="가몰탈">[26]가감수량!$W$10</definedName>
    <definedName name="가설공사비" localSheetId="4">#REF!</definedName>
    <definedName name="가설공사비" localSheetId="1">#REF!</definedName>
    <definedName name="가설공사비">#REF!</definedName>
    <definedName name="가설비" localSheetId="4">#REF!</definedName>
    <definedName name="가설비" localSheetId="1">#REF!</definedName>
    <definedName name="가설비">#REF!</definedName>
    <definedName name="가스" localSheetId="4" hidden="1">{#N/A,#N/A,FALSE,"CCTV"}</definedName>
    <definedName name="가스" localSheetId="1" hidden="1">{#N/A,#N/A,FALSE,"CCTV"}</definedName>
    <definedName name="가스" hidden="1">{#N/A,#N/A,FALSE,"CCTV"}</definedName>
    <definedName name="가아" hidden="1">[70]수량산출!#REF!</definedName>
    <definedName name="가원형4회">[26]가감수량!$W$8</definedName>
    <definedName name="가철근">[26]가감수량!$W$12</definedName>
    <definedName name="가콘25">[26]가감수량!$W$7</definedName>
    <definedName name="가콘40">[26]가감수량!$W$6</definedName>
    <definedName name="각재" localSheetId="4">#REF!</definedName>
    <definedName name="각재" localSheetId="1">#REF!</definedName>
    <definedName name="각재">#REF!</definedName>
    <definedName name="각종함" localSheetId="2">#REF!</definedName>
    <definedName name="각종함" localSheetId="4">#REF!</definedName>
    <definedName name="각종함" localSheetId="1">#REF!</definedName>
    <definedName name="각종함">#REF!</definedName>
    <definedName name="간성" localSheetId="4" hidden="1">{#N/A,#N/A,FALSE,"전력간선"}</definedName>
    <definedName name="간성" localSheetId="1" hidden="1">{#N/A,#N/A,FALSE,"전력간선"}</definedName>
    <definedName name="간성" hidden="1">{#N/A,#N/A,FALSE,"전력간선"}</definedName>
    <definedName name="간접노무비" localSheetId="4">#REF!</definedName>
    <definedName name="간접노무비" localSheetId="1">#REF!</definedName>
    <definedName name="간접노무비">#REF!</definedName>
    <definedName name="간접노무비2" localSheetId="4">#REF!</definedName>
    <definedName name="간접노무비2">#REF!</definedName>
    <definedName name="간접노무비4" localSheetId="4">#REF!</definedName>
    <definedName name="간접노무비4">#REF!</definedName>
    <definedName name="간접인건비__입력" localSheetId="4">[71]갑지!#REF!</definedName>
    <definedName name="간접인건비__입력">[71]갑지!#REF!</definedName>
    <definedName name="간접인건비요율" localSheetId="4">[71]갑지!#REF!</definedName>
    <definedName name="간접인건비요율">[71]갑지!#REF!</definedName>
    <definedName name="간접재료비" localSheetId="4">#REF!</definedName>
    <definedName name="간접재료비" localSheetId="1">#REF!</definedName>
    <definedName name="간접재료비">#REF!</definedName>
    <definedName name="갈빌1호" localSheetId="4">#REF!</definedName>
    <definedName name="갈빌1호">#REF!</definedName>
    <definedName name="갈빌2호" localSheetId="4">#REF!</definedName>
    <definedName name="갈빌2호">#REF!</definedName>
    <definedName name="갈빌3호" localSheetId="4">#REF!</definedName>
    <definedName name="갈빌3호">#REF!</definedName>
    <definedName name="감가상각비" localSheetId="4">#REF!</definedName>
    <definedName name="감가상각비">#REF!</definedName>
    <definedName name="감철근" localSheetId="4">'[46]1호맨홀가감수량'!#REF!</definedName>
    <definedName name="감철근">'[46]1호맨홀가감수량'!#REF!</definedName>
    <definedName name="갑지" localSheetId="4">BlankMacro1</definedName>
    <definedName name="갑지" localSheetId="1">BlankMacro1</definedName>
    <definedName name="갑지">BlankMacro1</definedName>
    <definedName name="갑지8" localSheetId="4" hidden="1">{#N/A,#N/A,FALSE,"전력간선"}</definedName>
    <definedName name="갑지8" localSheetId="1" hidden="1">{#N/A,#N/A,FALSE,"전력간선"}</definedName>
    <definedName name="갑지8" hidden="1">{#N/A,#N/A,FALSE,"전력간선"}</definedName>
    <definedName name="갑지변경" localSheetId="4" hidden="1">{#N/A,#N/A,FALSE,"전력간선"}</definedName>
    <definedName name="갑지변경" localSheetId="1" hidden="1">{#N/A,#N/A,FALSE,"전력간선"}</definedName>
    <definedName name="갑지변경" hidden="1">{#N/A,#N/A,FALSE,"전력간선"}</definedName>
    <definedName name="갑지변경1" localSheetId="4" hidden="1">{#N/A,#N/A,FALSE,"전력간선"}</definedName>
    <definedName name="갑지변경1" localSheetId="1" hidden="1">{#N/A,#N/A,FALSE,"전력간선"}</definedName>
    <definedName name="갑지변경1" hidden="1">{#N/A,#N/A,FALSE,"전력간선"}</definedName>
    <definedName name="갑지변경2" localSheetId="4" hidden="1">{#N/A,#N/A,FALSE,"전력간선"}</definedName>
    <definedName name="갑지변경2" localSheetId="1" hidden="1">{#N/A,#N/A,FALSE,"전력간선"}</definedName>
    <definedName name="갑지변경2" hidden="1">{#N/A,#N/A,FALSE,"전력간선"}</definedName>
    <definedName name="갑지변경3" localSheetId="4" hidden="1">{#N/A,#N/A,FALSE,"전력간선"}</definedName>
    <definedName name="갑지변경3" localSheetId="1" hidden="1">{#N/A,#N/A,FALSE,"전력간선"}</definedName>
    <definedName name="갑지변경3" hidden="1">{#N/A,#N/A,FALSE,"전력간선"}</definedName>
    <definedName name="갑지변경4" localSheetId="4" hidden="1">{#N/A,#N/A,FALSE,"전력간선"}</definedName>
    <definedName name="갑지변경4" localSheetId="1" hidden="1">{#N/A,#N/A,FALSE,"전력간선"}</definedName>
    <definedName name="갑지변경4" hidden="1">{#N/A,#N/A,FALSE,"전력간선"}</definedName>
    <definedName name="갑지변경5" localSheetId="4" hidden="1">{#N/A,#N/A,FALSE,"전력간선"}</definedName>
    <definedName name="갑지변경5" localSheetId="1" hidden="1">{#N/A,#N/A,FALSE,"전력간선"}</definedName>
    <definedName name="갑지변경5" hidden="1">{#N/A,#N/A,FALSE,"전력간선"}</definedName>
    <definedName name="갑지변경6" localSheetId="4" hidden="1">{#N/A,#N/A,FALSE,"전력간선"}</definedName>
    <definedName name="갑지변경6" localSheetId="1" hidden="1">{#N/A,#N/A,FALSE,"전력간선"}</definedName>
    <definedName name="갑지변경6" hidden="1">{#N/A,#N/A,FALSE,"전력간선"}</definedName>
    <definedName name="갑지변경7" localSheetId="4" hidden="1">{#N/A,#N/A,FALSE,"전력간선"}</definedName>
    <definedName name="갑지변경7" localSheetId="1" hidden="1">{#N/A,#N/A,FALSE,"전력간선"}</definedName>
    <definedName name="갑지변경7" hidden="1">{#N/A,#N/A,FALSE,"전력간선"}</definedName>
    <definedName name="갑지변경8" localSheetId="4" hidden="1">{#N/A,#N/A,FALSE,"전력간선"}</definedName>
    <definedName name="갑지변경8" localSheetId="1" hidden="1">{#N/A,#N/A,FALSE,"전력간선"}</definedName>
    <definedName name="갑지변경8" hidden="1">{#N/A,#N/A,FALSE,"전력간선"}</definedName>
    <definedName name="갑지변경9" localSheetId="4" hidden="1">{#N/A,#N/A,FALSE,"전력간선"}</definedName>
    <definedName name="갑지변경9" localSheetId="1" hidden="1">{#N/A,#N/A,FALSE,"전력간선"}</definedName>
    <definedName name="갑지변경9" hidden="1">{#N/A,#N/A,FALSE,"전력간선"}</definedName>
    <definedName name="강">#N/A</definedName>
    <definedName name="강관" localSheetId="4">#REF!</definedName>
    <definedName name="강관" localSheetId="1">#REF!</definedName>
    <definedName name="강관">#REF!</definedName>
    <definedName name="강관받침철물" localSheetId="4">#REF!</definedName>
    <definedName name="강관받침철물" localSheetId="1">#REF!</definedName>
    <definedName name="강관받침철물">#REF!</definedName>
    <definedName name="강관이음철물" localSheetId="4">#REF!</definedName>
    <definedName name="강관이음철물">#REF!</definedName>
    <definedName name="강관조임철물" localSheetId="4">#REF!</definedName>
    <definedName name="강관조임철물">#REF!</definedName>
    <definedName name="강동바리노" localSheetId="4">#REF!</definedName>
    <definedName name="강동바리노">#REF!</definedName>
    <definedName name="강동바리재" localSheetId="4">#REF!</definedName>
    <definedName name="강동바리재">#REF!</definedName>
    <definedName name="강비계3경" localSheetId="4">#REF!</definedName>
    <definedName name="강비계3경">#REF!</definedName>
    <definedName name="강비계3노" localSheetId="4">#REF!</definedName>
    <definedName name="강비계3노">#REF!</definedName>
    <definedName name="강비계3재" localSheetId="4">#REF!</definedName>
    <definedName name="강비계3재">#REF!</definedName>
    <definedName name="강아지" localSheetId="2" hidden="1">#REF!</definedName>
    <definedName name="강아지" localSheetId="4" hidden="1">#REF!</definedName>
    <definedName name="강아지" localSheetId="1" hidden="1">#REF!</definedName>
    <definedName name="강아지" hidden="1">#REF!</definedName>
    <definedName name="강재DATA" localSheetId="4">[44]가시설단위수량!$A$4:$Z$7</definedName>
    <definedName name="강재DATA">[45]가시설단위수량!$A$4:$Z$7</definedName>
    <definedName name="강재규격" localSheetId="4">[44]가시설단위수량!$B$4:$B$7</definedName>
    <definedName name="강재규격">[45]가시설단위수량!$B$4:$B$7</definedName>
    <definedName name="강호" localSheetId="4" hidden="1">{#N/A,#N/A,TRUE,"토적및재료집계";#N/A,#N/A,TRUE,"토적및재료집계";#N/A,#N/A,TRUE,"단위량"}</definedName>
    <definedName name="강호" localSheetId="1" hidden="1">{#N/A,#N/A,TRUE,"토적및재료집계";#N/A,#N/A,TRUE,"토적및재료집계";#N/A,#N/A,TRUE,"단위량"}</definedName>
    <definedName name="강호" hidden="1">{#N/A,#N/A,TRUE,"토적및재료집계";#N/A,#N/A,TRUE,"토적및재료집계";#N/A,#N/A,TRUE,"단위량"}</definedName>
    <definedName name="개_보_수_증_축_공_사_비" localSheetId="1">[72]정공공사!#REF!</definedName>
    <definedName name="개_보_수_증_축_공_사_비">[72]정공공사!#REF!</definedName>
    <definedName name="개거" localSheetId="4" hidden="1">#REF!</definedName>
    <definedName name="개거" localSheetId="1" hidden="1">#REF!</definedName>
    <definedName name="개거" hidden="1">#REF!</definedName>
    <definedName name="개소" localSheetId="4">#REF!</definedName>
    <definedName name="개소">#REF!</definedName>
    <definedName name="개요">[73]노임단가!$F$7</definedName>
    <definedName name="개요2" localSheetId="1">[74]정공공사!#REF!</definedName>
    <definedName name="개요2">[74]정공공사!#REF!</definedName>
    <definedName name="개정번호" localSheetId="4">#REF!</definedName>
    <definedName name="개정번호" localSheetId="1">#REF!</definedName>
    <definedName name="개정번호">#REF!</definedName>
    <definedName name="개정일자" localSheetId="4">#REF!</definedName>
    <definedName name="개정일자">#REF!</definedName>
    <definedName name="개조" localSheetId="4">'[75]2.대외공문'!#REF!</definedName>
    <definedName name="개조">'[75]2.대외공문'!#REF!</definedName>
    <definedName name="갸">#N/A</definedName>
    <definedName name="거ㅏ" hidden="1">[76]수량산출!$A$3:$H$8539</definedName>
    <definedName name="건설기계운전기사" localSheetId="4">#REF!</definedName>
    <definedName name="건설기계운전기사" localSheetId="1">#REF!</definedName>
    <definedName name="건설기계운전기사">#REF!</definedName>
    <definedName name="건설기계조장" localSheetId="4">#REF!</definedName>
    <definedName name="건설기계조장" localSheetId="1">#REF!</definedName>
    <definedName name="건설기계조장">#REF!</definedName>
    <definedName name="건접노무비4" localSheetId="4">#REF!</definedName>
    <definedName name="건접노무비4">#REF!</definedName>
    <definedName name="건축목공" localSheetId="4">#REF!</definedName>
    <definedName name="건축목공">#REF!</definedName>
    <definedName name="건축목공1" localSheetId="4">#REF!</definedName>
    <definedName name="건축목공1">#REF!</definedName>
    <definedName name="건축원가" hidden="1">[77]전기!$B$4:$B$163</definedName>
    <definedName name="건축자재">[78]건축명!$O$160</definedName>
    <definedName name="게" localSheetId="4" hidden="1">{#N/A,#N/A,TRUE,"토적및재료집계";#N/A,#N/A,TRUE,"토적및재료집계";#N/A,#N/A,TRUE,"단위량"}</definedName>
    <definedName name="게" localSheetId="1" hidden="1">{#N/A,#N/A,TRUE,"토적및재료집계";#N/A,#N/A,TRUE,"토적및재료집계";#N/A,#N/A,TRUE,"단위량"}</definedName>
    <definedName name="게" hidden="1">{#N/A,#N/A,TRUE,"토적및재료집계";#N/A,#N/A,TRUE,"토적및재료집계";#N/A,#N/A,TRUE,"단위량"}</definedName>
    <definedName name="겨">#N/A</definedName>
    <definedName name="견" localSheetId="4">#REF!,#REF!</definedName>
    <definedName name="견" localSheetId="1">#REF!,#REF!</definedName>
    <definedName name="견">#REF!,#REF!</definedName>
    <definedName name="견적" hidden="1">'[79]내역서1999.8최종'!$A$1:$A$2438</definedName>
    <definedName name="견적10" localSheetId="4">#REF!</definedName>
    <definedName name="견적10" localSheetId="1">#REF!</definedName>
    <definedName name="견적10">#REF!</definedName>
    <definedName name="견적15" localSheetId="4">#REF!</definedName>
    <definedName name="견적15" localSheetId="1">#REF!</definedName>
    <definedName name="견적15">#REF!</definedName>
    <definedName name="견적20" localSheetId="4">#REF!</definedName>
    <definedName name="견적20">#REF!</definedName>
    <definedName name="견적30" localSheetId="4">#REF!</definedName>
    <definedName name="견적30">#REF!</definedName>
    <definedName name="견적5" localSheetId="4">#REF!</definedName>
    <definedName name="견적5">#REF!</definedName>
    <definedName name="견적단가비교표" localSheetId="4">[80]일위대가목차!#REF!</definedName>
    <definedName name="견적단가비교표">[80]일위대가목차!#REF!</definedName>
    <definedName name="견적비" localSheetId="4">#REF!</definedName>
    <definedName name="견적비" localSheetId="1">#REF!</definedName>
    <definedName name="견적비">#REF!</definedName>
    <definedName name="견적서" localSheetId="4">#REF!</definedName>
    <definedName name="견적서" localSheetId="1">#REF!</definedName>
    <definedName name="견적서">#REF!</definedName>
    <definedName name="견적서레코드" localSheetId="4">#REF!</definedName>
    <definedName name="견적서레코드" localSheetId="1">#REF!</definedName>
    <definedName name="견적서레코드">#REF!</definedName>
    <definedName name="견적조건" localSheetId="4" hidden="1">{#N/A,#N/A,FALSE,"CCTV"}</definedName>
    <definedName name="견적조건" localSheetId="1" hidden="1">{#N/A,#N/A,FALSE,"CCTV"}</definedName>
    <definedName name="견적조건" hidden="1">{#N/A,#N/A,FALSE,"CCTV"}</definedName>
    <definedName name="견적조건8" localSheetId="4" hidden="1">{#N/A,#N/A,FALSE,"CCTV"}</definedName>
    <definedName name="견적조건8" localSheetId="1" hidden="1">{#N/A,#N/A,FALSE,"CCTV"}</definedName>
    <definedName name="견적조건8" hidden="1">{#N/A,#N/A,FALSE,"CCTV"}</definedName>
    <definedName name="결속선" localSheetId="4">#REF!</definedName>
    <definedName name="결속선" localSheetId="1">#REF!</definedName>
    <definedName name="결속선">#REF!</definedName>
    <definedName name="결속선1" localSheetId="4">#REF!</definedName>
    <definedName name="결속선1" localSheetId="1">#REF!</definedName>
    <definedName name="결속선1">#REF!</definedName>
    <definedName name="경" localSheetId="4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" localSheetId="1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단경" localSheetId="4">#REF!</definedName>
    <definedName name="경단경" localSheetId="1">#REF!</definedName>
    <definedName name="경단경">#REF!</definedName>
    <definedName name="경단노" localSheetId="4">#REF!</definedName>
    <definedName name="경단노" localSheetId="1">#REF!</definedName>
    <definedName name="경단노">#REF!</definedName>
    <definedName name="경단재" localSheetId="4">#REF!</definedName>
    <definedName name="경단재">#REF!</definedName>
    <definedName name="경비" localSheetId="4">#REF!</definedName>
    <definedName name="경비" localSheetId="1">#REF!</definedName>
    <definedName name="경비">#REF!</definedName>
    <definedName name="경비2" localSheetId="4">#REF!</definedName>
    <definedName name="경비2">#REF!</definedName>
    <definedName name="경비3" localSheetId="4">#REF!</definedName>
    <definedName name="경비3">#REF!</definedName>
    <definedName name="경비4" localSheetId="4">#REF!</definedName>
    <definedName name="경비4">#REF!</definedName>
    <definedName name="경비율" localSheetId="4">#REF!</definedName>
    <definedName name="경비율" localSheetId="1">#REF!</definedName>
    <definedName name="경비율">#REF!</definedName>
    <definedName name="경수" localSheetId="4" hidden="1">{#N/A,#N/A,FALSE,"도급대비시행율";#N/A,#N/A,FALSE,"결의서";#N/A,#N/A,FALSE,"내역서";#N/A,#N/A,FALSE,"도급예상"}</definedName>
    <definedName name="경수" localSheetId="1" hidden="1">{#N/A,#N/A,FALSE,"도급대비시행율";#N/A,#N/A,FALSE,"결의서";#N/A,#N/A,FALSE,"내역서";#N/A,#N/A,FALSE,"도급예상"}</definedName>
    <definedName name="경수" hidden="1">{#N/A,#N/A,FALSE,"도급대비시행율";#N/A,#N/A,FALSE,"결의서";#N/A,#N/A,FALSE,"내역서";#N/A,#N/A,FALSE,"도급예상"}</definedName>
    <definedName name="경수을지" localSheetId="4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수을지" localSheetId="1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운기경" localSheetId="4">#REF!</definedName>
    <definedName name="경운기경" localSheetId="1">#REF!</definedName>
    <definedName name="경운기경">#REF!</definedName>
    <definedName name="경운기노" localSheetId="4">#REF!</definedName>
    <definedName name="경운기노" localSheetId="1">#REF!</definedName>
    <definedName name="경운기노">#REF!</definedName>
    <definedName name="경운기재" localSheetId="4">#REF!</definedName>
    <definedName name="경운기재">#REF!</definedName>
    <definedName name="경유" localSheetId="4">#REF!</definedName>
    <definedName name="경유">#REF!</definedName>
    <definedName name="경유1" localSheetId="4">#REF!</definedName>
    <definedName name="경유1">#REF!</definedName>
    <definedName name="경풍" localSheetId="4">#REF!</definedName>
    <definedName name="경풍" localSheetId="1">#REF!</definedName>
    <definedName name="경풍">#REF!</definedName>
    <definedName name="계" localSheetId="2">#REF!</definedName>
    <definedName name="계" localSheetId="4">#REF!</definedName>
    <definedName name="계" localSheetId="1">#REF!</definedName>
    <definedName name="계">#REF!</definedName>
    <definedName name="계약금액" localSheetId="4">#REF!</definedName>
    <definedName name="계약금액">#REF!</definedName>
    <definedName name="계약년월일" localSheetId="4">#REF!</definedName>
    <definedName name="계약년월일">#REF!</definedName>
    <definedName name="계약보증금납부서" localSheetId="4">#REF!</definedName>
    <definedName name="계약보증금납부서">#REF!</definedName>
    <definedName name="계약서" localSheetId="4">#REF!</definedName>
    <definedName name="계약서">#REF!</definedName>
    <definedName name="계정">[81]계정!$A$3:$C$119</definedName>
    <definedName name="고">#N/A</definedName>
    <definedName name="고급선원" localSheetId="4">#REF!</definedName>
    <definedName name="고급선원" localSheetId="1">#REF!</definedName>
    <definedName name="고급선원">#REF!</definedName>
    <definedName name="고급선원1" localSheetId="4">#REF!</definedName>
    <definedName name="고급선원1" localSheetId="1">#REF!</definedName>
    <definedName name="고급선원1">#REF!</definedName>
    <definedName name="고급선원노무비" localSheetId="4">#REF!</definedName>
    <definedName name="고급선원노무비">#REF!</definedName>
    <definedName name="고용보험료2" localSheetId="4">#REF!</definedName>
    <definedName name="고용보험료2">#REF!</definedName>
    <definedName name="고정경비" localSheetId="4">#REF!</definedName>
    <definedName name="고정경비">#REF!</definedName>
    <definedName name="고철" localSheetId="4">#REF!</definedName>
    <definedName name="고철">#REF!</definedName>
    <definedName name="고철1" localSheetId="4">#REF!</definedName>
    <definedName name="고철1">#REF!</definedName>
    <definedName name="고케" localSheetId="4">#REF!</definedName>
    <definedName name="고케">#REF!</definedName>
    <definedName name="곡동" localSheetId="4" hidden="1">{"'Firr(선)'!$AS$1:$AY$62","'Firr(사)'!$AS$1:$AY$62","'Firr(회)'!$AS$1:$AY$62","'Firr(선)'!$L$1:$V$62","'Firr(사)'!$L$1:$V$62","'Firr(회)'!$L$1:$V$62"}</definedName>
    <definedName name="곡동" localSheetId="1" hidden="1">{"'Firr(선)'!$AS$1:$AY$62","'Firr(사)'!$AS$1:$AY$62","'Firr(회)'!$AS$1:$AY$62","'Firr(선)'!$L$1:$V$62","'Firr(사)'!$L$1:$V$62","'Firr(회)'!$L$1:$V$62"}</definedName>
    <definedName name="곡동" hidden="1">{"'Firr(선)'!$AS$1:$AY$62","'Firr(사)'!$AS$1:$AY$62","'Firr(회)'!$AS$1:$AY$62","'Firr(선)'!$L$1:$V$62","'Firr(사)'!$L$1:$V$62","'Firr(회)'!$L$1:$V$62"}</definedName>
    <definedName name="곱">[55]DATE!$I$24:$I$85</definedName>
    <definedName name="곱곱">[82]DATE!$I$24:$I$85</definedName>
    <definedName name="공" localSheetId="4">#N/A</definedName>
    <definedName name="공" localSheetId="1">표지!공</definedName>
    <definedName name="공">[0]!공</definedName>
    <definedName name="공______사______명" localSheetId="4">#REF!</definedName>
    <definedName name="공______사______명" localSheetId="1">#REF!</definedName>
    <definedName name="공______사______명">#REF!</definedName>
    <definedName name="공___사____원____가" localSheetId="4">#REF!</definedName>
    <definedName name="공___사____원____가" localSheetId="1">#REF!</definedName>
    <definedName name="공___사____원____가">#REF!</definedName>
    <definedName name="공가원가VMS\" localSheetId="4" hidden="1">{#N/A,#N/A,TRUE,"토적및재료집계";#N/A,#N/A,TRUE,"토적및재료집계";#N/A,#N/A,TRUE,"단위량"}</definedName>
    <definedName name="공가원가VMS\" localSheetId="1" hidden="1">{#N/A,#N/A,TRUE,"토적및재료집계";#N/A,#N/A,TRUE,"토적및재료집계";#N/A,#N/A,TRUE,"단위량"}</definedName>
    <definedName name="공가원가VMS\" hidden="1">{#N/A,#N/A,TRUE,"토적및재료집계";#N/A,#N/A,TRUE,"토적및재료집계";#N/A,#N/A,TRUE,"단위량"}</definedName>
    <definedName name="공공" localSheetId="4">#N/A</definedName>
    <definedName name="공공" localSheetId="1">표지!공공</definedName>
    <definedName name="공공">[0]!공공</definedName>
    <definedName name="공공입력" localSheetId="4">#N/A</definedName>
    <definedName name="공공입력" localSheetId="1">표지!공공입력</definedName>
    <definedName name="공공입력">[0]!공공입력</definedName>
    <definedName name="공구" localSheetId="4">#N/A</definedName>
    <definedName name="공구" localSheetId="1">표지!공구</definedName>
    <definedName name="공구">[0]!공구</definedName>
    <definedName name="공구손료" localSheetId="4">#REF!</definedName>
    <definedName name="공구손료" localSheetId="1">#REF!</definedName>
    <definedName name="공구손료">#REF!</definedName>
    <definedName name="공급가액" localSheetId="4">#REF!</definedName>
    <definedName name="공급가액">#REF!</definedName>
    <definedName name="공급가액2" localSheetId="4">#REF!</definedName>
    <definedName name="공급가액2">#REF!</definedName>
    <definedName name="공급가액4" localSheetId="4">#REF!</definedName>
    <definedName name="공급가액4">#REF!</definedName>
    <definedName name="공기" localSheetId="4">[83]요율!$C$11</definedName>
    <definedName name="공기" localSheetId="1">[84]요율!$C$11</definedName>
    <definedName name="공기">[84]요율!$C$11</definedName>
    <definedName name="공동구" localSheetId="4">#REF!</definedName>
    <definedName name="공동구" localSheetId="1">#REF!</definedName>
    <definedName name="공동구">#REF!</definedName>
    <definedName name="공명">[85]도급예산내역서봉투!$C$5</definedName>
    <definedName name="공무팀" localSheetId="4">#REF!</definedName>
    <definedName name="공무팀" localSheetId="1">#REF!</definedName>
    <definedName name="공무팀">#REF!</definedName>
    <definedName name="공비" localSheetId="4">#REF!</definedName>
    <definedName name="공비" localSheetId="1">#REF!</definedName>
    <definedName name="공비">#REF!</definedName>
    <definedName name="공사감독자" localSheetId="4">#REF!</definedName>
    <definedName name="공사감독자" localSheetId="1">#REF!</definedName>
    <definedName name="공사감독자">#REF!</definedName>
    <definedName name="공사명" localSheetId="4">#REF!</definedName>
    <definedName name="공사명">#REF!</definedName>
    <definedName name="공사비" localSheetId="4">#REF!</definedName>
    <definedName name="공사비">#REF!</definedName>
    <definedName name="공사비내역" localSheetId="4">#REF!</definedName>
    <definedName name="공사비내역">#REF!</definedName>
    <definedName name="공사비명세서" localSheetId="4">#REF!</definedName>
    <definedName name="공사비명세서">#REF!</definedName>
    <definedName name="공사원2003">'[86]Y-WORK'!$D$19:$D$19,'[86]Y-WORK'!$F$19:$BD$19</definedName>
    <definedName name="공사원가" localSheetId="4">#REF!</definedName>
    <definedName name="공사원가" localSheetId="1">#REF!</definedName>
    <definedName name="공사원가">#REF!</definedName>
    <definedName name="공사원가계산서경비소계">[85]공사원가계산서!$C$22</definedName>
    <definedName name="공사원가계산서노무비">[85]공사원가계산서!$C$9</definedName>
    <definedName name="공사원가계산서재료비">[85]공사원가계산서!$C$6</definedName>
    <definedName name="공사위치" localSheetId="4">#REF!</definedName>
    <definedName name="공사위치" localSheetId="1">#REF!</definedName>
    <definedName name="공사위치">#REF!</definedName>
    <definedName name="공압축3.5간재">'[87]기계경비(시간당)'!$H$248</definedName>
    <definedName name="공압축3.5노무">'[87]기계경비(시간당)'!$H$244</definedName>
    <definedName name="공압축3.5노무야간">'[87]기계경비(시간당)'!$H$245</definedName>
    <definedName name="공압축3.5손료">'[87]기계경비(시간당)'!$H$243</definedName>
    <definedName name="공압축7.1간재">'[87]기계경비(시간당)'!$H$256</definedName>
    <definedName name="공압축7.1노무">'[87]기계경비(시간당)'!$H$252</definedName>
    <definedName name="공압축7.1노무야간">'[87]기계경비(시간당)'!$H$253</definedName>
    <definedName name="공압축7.1손료">'[87]기계경비(시간당)'!$H$251</definedName>
    <definedName name="공용" localSheetId="4">#REF!</definedName>
    <definedName name="공용" localSheetId="1">#REF!</definedName>
    <definedName name="공용">#REF!</definedName>
    <definedName name="공장동" hidden="1">#N/A</definedName>
    <definedName name="공정" localSheetId="4">#N/A</definedName>
    <definedName name="공정" localSheetId="1">표지!공정</definedName>
    <definedName name="공정">[0]!공정</definedName>
    <definedName name="공정집계표1" localSheetId="2" hidden="1">#REF!</definedName>
    <definedName name="공정집계표1" localSheetId="4" hidden="1">#REF!</definedName>
    <definedName name="공정집계표1" localSheetId="1" hidden="1">#REF!</definedName>
    <definedName name="공정집계표1" hidden="1">#REF!</definedName>
    <definedName name="공정집계표1111" localSheetId="2" hidden="1">#REF!</definedName>
    <definedName name="공정집계표1111" localSheetId="4" hidden="1">#REF!</definedName>
    <definedName name="공정집계표1111" hidden="1">#REF!</definedName>
    <definedName name="공정표" localSheetId="4">#REF!</definedName>
    <definedName name="공정표">#REF!</definedName>
    <definedName name="공정표공정표" localSheetId="4">#N/A</definedName>
    <definedName name="공정표공정표" localSheetId="1">표지!공정표공정표</definedName>
    <definedName name="공정표공정표">[0]!공정표공정표</definedName>
    <definedName name="공종" localSheetId="4">'[88]효성CB 1P기초'!#REF!</definedName>
    <definedName name="공종" localSheetId="1">'[88]효성CB 1P기초'!#REF!</definedName>
    <definedName name="공종">'[88]효성CB 1P기초'!#REF!</definedName>
    <definedName name="공종별집계표">#N/A</definedName>
    <definedName name="공종별집계표_토공">#N/A</definedName>
    <definedName name="공호표">[89]일위목록!$B$2:$J$138</definedName>
    <definedName name="곽동준" localSheetId="4" hidden="1">{"'Firr(선)'!$AS$1:$AY$62","'Firr(사)'!$AS$1:$AY$62","'Firr(회)'!$AS$1:$AY$62","'Firr(선)'!$L$1:$V$62","'Firr(사)'!$L$1:$V$62","'Firr(회)'!$L$1:$V$62"}</definedName>
    <definedName name="곽동준" localSheetId="1" hidden="1">{"'Firr(선)'!$AS$1:$AY$62","'Firr(사)'!$AS$1:$AY$62","'Firr(회)'!$AS$1:$AY$62","'Firr(선)'!$L$1:$V$62","'Firr(사)'!$L$1:$V$62","'Firr(회)'!$L$1:$V$62"}</definedName>
    <definedName name="곽동준" hidden="1">{"'Firr(선)'!$AS$1:$AY$62","'Firr(사)'!$AS$1:$AY$62","'Firr(회)'!$AS$1:$AY$62","'Firr(선)'!$L$1:$V$62","'Firr(사)'!$L$1:$V$62","'Firr(회)'!$L$1:$V$62"}</definedName>
    <definedName name="곽동중" localSheetId="4" hidden="1">{"'Firr(선)'!$AS$1:$AY$62","'Firr(사)'!$AS$1:$AY$62","'Firr(회)'!$AS$1:$AY$62","'Firr(선)'!$L$1:$V$62","'Firr(사)'!$L$1:$V$62","'Firr(회)'!$L$1:$V$62"}</definedName>
    <definedName name="곽동중" localSheetId="1" hidden="1">{"'Firr(선)'!$AS$1:$AY$62","'Firr(사)'!$AS$1:$AY$62","'Firr(회)'!$AS$1:$AY$62","'Firr(선)'!$L$1:$V$62","'Firr(사)'!$L$1:$V$62","'Firr(회)'!$L$1:$V$62"}</definedName>
    <definedName name="곽동중" hidden="1">{"'Firr(선)'!$AS$1:$AY$62","'Firr(사)'!$AS$1:$AY$62","'Firr(회)'!$AS$1:$AY$62","'Firr(선)'!$L$1:$V$62","'Firr(사)'!$L$1:$V$62","'Firr(회)'!$L$1:$V$62"}</definedName>
    <definedName name="관갉" localSheetId="4">#REF!,#REF!,#REF!</definedName>
    <definedName name="관갉" localSheetId="1">#REF!,#REF!,#REF!</definedName>
    <definedName name="관갉">#REF!,#REF!,#REF!</definedName>
    <definedName name="관경" localSheetId="4">'[90]토사(PE)'!#REF!</definedName>
    <definedName name="관경" localSheetId="1">'[90]토사(PE)'!#REF!</definedName>
    <definedName name="관경">'[90]토사(PE)'!#REF!</definedName>
    <definedName name="관경1" localSheetId="4">'[91]토사(PE)'!#REF!</definedName>
    <definedName name="관경1" localSheetId="1">'[91]토사(PE)'!#REF!</definedName>
    <definedName name="관경1">'[91]토사(PE)'!#REF!</definedName>
    <definedName name="관급" localSheetId="2">#REF!,#REF!,#REF!</definedName>
    <definedName name="관급" localSheetId="4">#REF!,#REF!,#REF!</definedName>
    <definedName name="관급" localSheetId="1">#REF!,#REF!,#REF!</definedName>
    <definedName name="관급">#REF!,#REF!,#REF!</definedName>
    <definedName name="관급1" localSheetId="4">#REF!,#REF!,#REF!</definedName>
    <definedName name="관급1">#REF!,#REF!,#REF!</definedName>
    <definedName name="관급비" localSheetId="4">#REF!</definedName>
    <definedName name="관급비" localSheetId="1">#REF!</definedName>
    <definedName name="관급비">#REF!</definedName>
    <definedName name="관급자재" localSheetId="2">#REF!,#REF!,#REF!</definedName>
    <definedName name="관급자재" localSheetId="4">#REF!,#REF!,#REF!</definedName>
    <definedName name="관급자재" localSheetId="1">#REF!,#REF!,#REF!</definedName>
    <definedName name="관급자재">#REF!,#REF!,#REF!</definedName>
    <definedName name="관급자재비" localSheetId="4">#REF!</definedName>
    <definedName name="관급자재비" localSheetId="1">#REF!</definedName>
    <definedName name="관급자재비">#REF!</definedName>
    <definedName name="관기초DATA" localSheetId="4">[44]가시설단위수량!#REF!</definedName>
    <definedName name="관기초DATA" localSheetId="1">[45]가시설단위수량!#REF!</definedName>
    <definedName name="관기초DATA">[45]가시설단위수량!#REF!</definedName>
    <definedName name="관두께" localSheetId="4">'[90]토사(PE)'!#REF!</definedName>
    <definedName name="관두께" localSheetId="1">'[90]토사(PE)'!#REF!</definedName>
    <definedName name="관두께">'[90]토사(PE)'!#REF!</definedName>
    <definedName name="관로공내부" localSheetId="4">#REF!</definedName>
    <definedName name="관로공내부" localSheetId="1">#REF!</definedName>
    <definedName name="관로공내부">#REF!</definedName>
    <definedName name="관로연장거리" localSheetId="4">#REF!</definedName>
    <definedName name="관로연장거리">#REF!</definedName>
    <definedName name="관로터파기">[92]!돌아가기</definedName>
    <definedName name="관세1" localSheetId="4">#REF!</definedName>
    <definedName name="관세1" localSheetId="1">#REF!</definedName>
    <definedName name="관세1">#REF!</definedName>
    <definedName name="관저주공원가" localSheetId="4">BlankMacro1</definedName>
    <definedName name="관저주공원가" localSheetId="1">BlankMacro1</definedName>
    <definedName name="관저주공원가">BlankMacro1</definedName>
    <definedName name="관정지반고" localSheetId="4">#REF!</definedName>
    <definedName name="관정지반고" localSheetId="1">#REF!</definedName>
    <definedName name="관정지반고">#REF!</definedName>
    <definedName name="관지수링">[26]맨홀수량산출!$AE$30</definedName>
    <definedName name="관토피" localSheetId="1">'[90]토사(PE)'!#REF!</definedName>
    <definedName name="관토피">'[90]토사(PE)'!#REF!</definedName>
    <definedName name="괄" localSheetId="4">#REF!</definedName>
    <definedName name="괄" localSheetId="1">#REF!</definedName>
    <definedName name="괄">#REF!</definedName>
    <definedName name="광" localSheetId="4" hidden="1">{#N/A,#N/A,TRUE,"토적및재료집계";#N/A,#N/A,TRUE,"토적및재료집계";#N/A,#N/A,TRUE,"단위량"}</definedName>
    <definedName name="광" localSheetId="1" hidden="1">{#N/A,#N/A,TRUE,"토적및재료집계";#N/A,#N/A,TRUE,"토적및재료집계";#N/A,#N/A,TRUE,"단위량"}</definedName>
    <definedName name="광" hidden="1">{#N/A,#N/A,TRUE,"토적및재료집계";#N/A,#N/A,TRUE,"토적및재료집계";#N/A,#N/A,TRUE,"단위량"}</definedName>
    <definedName name="광_전기" localSheetId="4">#REF!</definedName>
    <definedName name="광_전기" localSheetId="1">#REF!</definedName>
    <definedName name="광_전기">#REF!</definedName>
    <definedName name="광명" localSheetId="4">#REF!</definedName>
    <definedName name="광명" localSheetId="1">#REF!</definedName>
    <definedName name="광명">#REF!</definedName>
    <definedName name="광케">'[93]인건비 '!$B$28</definedName>
    <definedName name="광케입블" localSheetId="4">#REF!</definedName>
    <definedName name="광케입블" localSheetId="1">#REF!</definedName>
    <definedName name="광케입블">#REF!</definedName>
    <definedName name="교정" localSheetId="4" hidden="1">{#N/A,#N/A,FALSE,"전력간선"}</definedName>
    <definedName name="교정" localSheetId="1" hidden="1">{#N/A,#N/A,FALSE,"전력간선"}</definedName>
    <definedName name="교정" hidden="1">{#N/A,#N/A,FALSE,"전력간선"}</definedName>
    <definedName name="구" localSheetId="4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" localSheetId="1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매" localSheetId="4">#REF!</definedName>
    <definedName name="구매" localSheetId="1">#REF!</definedName>
    <definedName name="구매">#REF!</definedName>
    <definedName name="구역10K8t" localSheetId="4">#REF!</definedName>
    <definedName name="구역10K8t" localSheetId="1">#REF!</definedName>
    <definedName name="구역10K8t">#REF!</definedName>
    <definedName name="구역120k8t" localSheetId="4">#REF!</definedName>
    <definedName name="구역120k8t">#REF!</definedName>
    <definedName name="구역20k105t" localSheetId="4">#REF!</definedName>
    <definedName name="구역20k105t">#REF!</definedName>
    <definedName name="구역30k105t" localSheetId="4">#REF!</definedName>
    <definedName name="구역30k105t">#REF!</definedName>
    <definedName name="구역30k8t" localSheetId="4">#REF!</definedName>
    <definedName name="구역30k8t">#REF!</definedName>
    <definedName name="구역40k105t" localSheetId="4">#REF!</definedName>
    <definedName name="구역40k105t">#REF!</definedName>
    <definedName name="구역40k8t" localSheetId="4">#REF!</definedName>
    <definedName name="구역40k8t">#REF!</definedName>
    <definedName name="구역50k105t" localSheetId="4">#REF!</definedName>
    <definedName name="구역50k105t">#REF!</definedName>
    <definedName name="구역50k8t" localSheetId="4">#REF!</definedName>
    <definedName name="구역50k8t">#REF!</definedName>
    <definedName name="구역60k105t" localSheetId="4">#REF!</definedName>
    <definedName name="구역60k105t">#REF!</definedName>
    <definedName name="구역60k8t" localSheetId="4">#REF!</definedName>
    <definedName name="구역60k8t">#REF!</definedName>
    <definedName name="구자관" localSheetId="4" hidden="1">{#N/A,#N/A,FALSE,"신청통보";#N/A,#N/A,FALSE,"기성확인서";#N/A,#N/A,FALSE,"기성내역서"}</definedName>
    <definedName name="구자관" localSheetId="1" hidden="1">{#N/A,#N/A,FALSE,"신청통보";#N/A,#N/A,FALSE,"기성확인서";#N/A,#N/A,FALSE,"기성내역서"}</definedName>
    <definedName name="구자관" hidden="1">{#N/A,#N/A,FALSE,"신청통보";#N/A,#N/A,FALSE,"기성확인서";#N/A,#N/A,FALSE,"기성내역서"}</definedName>
    <definedName name="구조물공사" localSheetId="4" hidden="1">{#N/A,#N/A,TRUE,"토적및재료집계";#N/A,#N/A,TRUE,"토적및재료집계";#N/A,#N/A,TRUE,"단위량"}</definedName>
    <definedName name="구조물공사" localSheetId="1" hidden="1">{#N/A,#N/A,TRUE,"토적및재료집계";#N/A,#N/A,TRUE,"토적및재료집계";#N/A,#N/A,TRUE,"단위량"}</definedName>
    <definedName name="구조물공사" hidden="1">{#N/A,#N/A,TRUE,"토적및재료집계";#N/A,#N/A,TRUE,"토적및재료집계";#N/A,#N/A,TRUE,"단위량"}</definedName>
    <definedName name="군유1" localSheetId="4">#REF!</definedName>
    <definedName name="군유1" localSheetId="1">#REF!</definedName>
    <definedName name="군유1">#REF!</definedName>
    <definedName name="군유2" localSheetId="4">#REF!</definedName>
    <definedName name="군유2" localSheetId="1">#REF!</definedName>
    <definedName name="군유2">#REF!</definedName>
    <definedName name="군유3" localSheetId="4">#REF!</definedName>
    <definedName name="군유3">#REF!</definedName>
    <definedName name="군유4" localSheetId="4">#REF!</definedName>
    <definedName name="군유4">#REF!</definedName>
    <definedName name="군유5" localSheetId="4">#REF!</definedName>
    <definedName name="군유5">#REF!</definedName>
    <definedName name="군유6" localSheetId="4">#REF!</definedName>
    <definedName name="군유6">#REF!</definedName>
    <definedName name="군유7" localSheetId="4">#REF!</definedName>
    <definedName name="군유7">#REF!</definedName>
    <definedName name="군인정신" localSheetId="4">BlankMacro1</definedName>
    <definedName name="군인정신" localSheetId="1">BlankMacro1</definedName>
    <definedName name="군인정신">BlankMacro1</definedName>
    <definedName name="굵기">[92]!굵기</definedName>
    <definedName name="권">[94]DATE!$I$24:$I$85</definedName>
    <definedName name="권권">[95]DATE!$I$24:$I$85</definedName>
    <definedName name="규격" localSheetId="4">#REF!</definedName>
    <definedName name="규격" localSheetId="1">#REF!</definedName>
    <definedName name="규격">#REF!</definedName>
    <definedName name="그">#N/A</definedName>
    <definedName name="그림" localSheetId="4" hidden="1">{#N/A,#N/A,FALSE,"전력간선"}</definedName>
    <definedName name="그림" localSheetId="1" hidden="1">{#N/A,#N/A,FALSE,"전력간선"}</definedName>
    <definedName name="그림" hidden="1">{#N/A,#N/A,FALSE,"전력간선"}</definedName>
    <definedName name="금액" localSheetId="4">#REF!</definedName>
    <definedName name="금액" localSheetId="1">#REF!</definedName>
    <definedName name="금액">#REF!</definedName>
    <definedName name="금영자재원가" localSheetId="4">BlankMacro1</definedName>
    <definedName name="금영자재원가" localSheetId="1">BlankMacro1</definedName>
    <definedName name="금영자재원가">BlankMacro1</definedName>
    <definedName name="기">#N/A</definedName>
    <definedName name="기계" localSheetId="4">#REF!</definedName>
    <definedName name="기계" localSheetId="1">#REF!</definedName>
    <definedName name="기계">#REF!</definedName>
    <definedName name="기계경비" localSheetId="4">#REF!</definedName>
    <definedName name="기계경비" localSheetId="1">#REF!</definedName>
    <definedName name="기계경비">#REF!</definedName>
    <definedName name="기계경비산출" localSheetId="4">#REF!</definedName>
    <definedName name="기계경비산출" localSheetId="1">#REF!</definedName>
    <definedName name="기계경비산출">#REF!</definedName>
    <definedName name="기계공">[96]노임단가!$C$15</definedName>
    <definedName name="기계높이" localSheetId="1">'[90]토사(PE)'!#REF!</definedName>
    <definedName name="기계높이">'[90]토사(PE)'!#REF!</definedName>
    <definedName name="기계설치" localSheetId="4">#REF!</definedName>
    <definedName name="기계설치" localSheetId="1">#REF!</definedName>
    <definedName name="기계설치">#REF!</definedName>
    <definedName name="기계운전사">[96]노임단가!$F$7</definedName>
    <definedName name="기계자재">[78]기계명!$O$243</definedName>
    <definedName name="기기신설" localSheetId="4">#REF!</definedName>
    <definedName name="기기신설" localSheetId="1">#REF!</definedName>
    <definedName name="기기신설">#REF!</definedName>
    <definedName name="기기철거" localSheetId="4">#REF!</definedName>
    <definedName name="기기철거">#REF!</definedName>
    <definedName name="기성3" localSheetId="4" hidden="1">{#N/A,#N/A,FALSE,"CCTV"}</definedName>
    <definedName name="기성3" localSheetId="1" hidden="1">{#N/A,#N/A,FALSE,"CCTV"}</definedName>
    <definedName name="기성3" hidden="1">{#N/A,#N/A,FALSE,"CCTV"}</definedName>
    <definedName name="기술3" localSheetId="4" hidden="1">{#N/A,#N/A,TRUE,"손익보고"}</definedName>
    <definedName name="기술3" localSheetId="1" hidden="1">{#N/A,#N/A,TRUE,"손익보고"}</definedName>
    <definedName name="기술3" hidden="1">{#N/A,#N/A,TRUE,"손익보고"}</definedName>
    <definedName name="기안갑">'[68]2.대외공문'!#REF!</definedName>
    <definedName name="기안을">'[68]2.대외공문'!#REF!</definedName>
    <definedName name="기자재수량" localSheetId="4">#REF!</definedName>
    <definedName name="기자재수량" localSheetId="1">#REF!</definedName>
    <definedName name="기자재수량">#REF!</definedName>
    <definedName name="기초" localSheetId="4">#REF!</definedName>
    <definedName name="기초" localSheetId="1">#REF!</definedName>
    <definedName name="기초">#REF!</definedName>
    <definedName name="기초규격">[97]SORCE1!$AQ$2:$BE$14</definedName>
    <definedName name="기초데이타" localSheetId="4">#REF!</definedName>
    <definedName name="기초데이타" localSheetId="1">#REF!</definedName>
    <definedName name="기초데이타">#REF!</definedName>
    <definedName name="기초잡석경" localSheetId="4">#REF!</definedName>
    <definedName name="기초잡석경">#REF!</definedName>
    <definedName name="기초잡석노" localSheetId="4">#REF!</definedName>
    <definedName name="기초잡석노">#REF!</definedName>
    <definedName name="기초잡석재" localSheetId="4">#REF!</definedName>
    <definedName name="기초잡석재">#REF!</definedName>
    <definedName name="기초폭300" localSheetId="4">[9]대로근거!#REF!</definedName>
    <definedName name="기초폭300">[9]대로근거!#REF!</definedName>
    <definedName name="기초폭350" localSheetId="4">[9]대로근거!#REF!</definedName>
    <definedName name="기초폭350">[9]대로근거!#REF!</definedName>
    <definedName name="기타" localSheetId="4">#REF!</definedName>
    <definedName name="기타" localSheetId="1">#REF!</definedName>
    <definedName name="기타">#REF!</definedName>
    <definedName name="기타경비" localSheetId="4" hidden="1">{#N/A,#N/A,TRUE,"토적및재료집계";#N/A,#N/A,TRUE,"토적및재료집계";#N/A,#N/A,TRUE,"단위량"}</definedName>
    <definedName name="기타경비" localSheetId="1">#REF!</definedName>
    <definedName name="기타경비" hidden="1">{#N/A,#N/A,TRUE,"토적및재료집계";#N/A,#N/A,TRUE,"토적및재료집계";#N/A,#N/A,TRUE,"단위량"}</definedName>
    <definedName name="기타경비.입력">[98]갑지!#REF!</definedName>
    <definedName name="기타경비__입력">[71]갑지!#REF!</definedName>
    <definedName name="기타경비_1" localSheetId="4" hidden="1">{#N/A,#N/A,TRUE,"토적및재료집계";#N/A,#N/A,TRUE,"토적및재료집계";#N/A,#N/A,TRUE,"단위량"}</definedName>
    <definedName name="기타경비_1" localSheetId="1" hidden="1">{#N/A,#N/A,TRUE,"토적및재료집계";#N/A,#N/A,TRUE,"토적및재료집계";#N/A,#N/A,TRUE,"단위량"}</definedName>
    <definedName name="기타경비_1" hidden="1">{#N/A,#N/A,TRUE,"토적및재료집계";#N/A,#N/A,TRUE,"토적및재료집계";#N/A,#N/A,TRUE,"단위량"}</definedName>
    <definedName name="기타경비2" localSheetId="4">#REF!</definedName>
    <definedName name="기타경비2" localSheetId="1">#REF!</definedName>
    <definedName name="기타경비2">#REF!</definedName>
    <definedName name="기타경비4" localSheetId="4">#REF!</definedName>
    <definedName name="기타경비4" localSheetId="1">#REF!</definedName>
    <definedName name="기타경비4">#REF!</definedName>
    <definedName name="기타경비요율" localSheetId="4">[71]갑지!#REF!</definedName>
    <definedName name="기타경비요율" localSheetId="1">[71]갑지!#REF!</definedName>
    <definedName name="기타경비요율">[71]갑지!#REF!</definedName>
    <definedName name="기타경비요율." localSheetId="4">[98]갑지!#REF!</definedName>
    <definedName name="기타경비요율." localSheetId="1">[98]갑지!#REF!</definedName>
    <definedName name="기타경비요율.">[98]갑지!#REF!</definedName>
    <definedName name="기타자재" localSheetId="4">#N/A</definedName>
    <definedName name="기타자재" localSheetId="1">표지!기타자재</definedName>
    <definedName name="기타자재">[0]!기타자재</definedName>
    <definedName name="기터경비2" localSheetId="4">#REF!</definedName>
    <definedName name="기터경비2" localSheetId="1">#REF!</definedName>
    <definedName name="기터경비2">#REF!</definedName>
    <definedName name="긴급전화" localSheetId="4" hidden="1">{#N/A,#N/A,TRUE,"토적및재료집계";#N/A,#N/A,TRUE,"토적및재료집계";#N/A,#N/A,TRUE,"단위량"}</definedName>
    <definedName name="긴급전화" localSheetId="1" hidden="1">{#N/A,#N/A,TRUE,"토적및재료집계";#N/A,#N/A,TRUE,"토적및재료집계";#N/A,#N/A,TRUE,"단위량"}</definedName>
    <definedName name="긴급전화" hidden="1">{#N/A,#N/A,TRUE,"토적및재료집계";#N/A,#N/A,TRUE,"토적및재료집계";#N/A,#N/A,TRUE,"단위량"}</definedName>
    <definedName name="길화" localSheetId="4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" localSheetId="1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localSheetId="4" hidden="1">{#N/A,#N/A,FALSE,"도급대비시행율";#N/A,#N/A,FALSE,"결의서";#N/A,#N/A,FALSE,"내역서";#N/A,#N/A,FALSE,"도급예상"}</definedName>
    <definedName name="길화건" localSheetId="1" hidden="1">{#N/A,#N/A,FALSE,"도급대비시행율";#N/A,#N/A,FALSE,"결의서";#N/A,#N/A,FALSE,"내역서";#N/A,#N/A,FALSE,"도급예상"}</definedName>
    <definedName name="길화건" hidden="1">{#N/A,#N/A,FALSE,"도급대비시행율";#N/A,#N/A,FALSE,"결의서";#N/A,#N/A,FALSE,"내역서";#N/A,#N/A,FALSE,"도급예상"}</definedName>
    <definedName name="길화건업" localSheetId="4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길화건업" localSheetId="1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">'[99]9811'!$A$3:$AD$1530</definedName>
    <definedName name="김1" localSheetId="4" hidden="1">{"'Firr(선)'!$AS$1:$AY$62","'Firr(사)'!$AS$1:$AY$62","'Firr(회)'!$AS$1:$AY$62","'Firr(선)'!$L$1:$V$62","'Firr(사)'!$L$1:$V$62","'Firr(회)'!$L$1:$V$62"}</definedName>
    <definedName name="김1" localSheetId="1" hidden="1">{"'Firr(선)'!$AS$1:$AY$62","'Firr(사)'!$AS$1:$AY$62","'Firr(회)'!$AS$1:$AY$62","'Firr(선)'!$L$1:$V$62","'Firr(사)'!$L$1:$V$62","'Firr(회)'!$L$1:$V$62"}</definedName>
    <definedName name="김1" hidden="1">{"'Firr(선)'!$AS$1:$AY$62","'Firr(사)'!$AS$1:$AY$62","'Firr(회)'!$AS$1:$AY$62","'Firr(선)'!$L$1:$V$62","'Firr(사)'!$L$1:$V$62","'Firr(회)'!$L$1:$V$62"}</definedName>
    <definedName name="김길" localSheetId="4">#REF!</definedName>
    <definedName name="김길" localSheetId="1">#REF!</definedName>
    <definedName name="김길">#REF!</definedName>
    <definedName name="김동" localSheetId="4" hidden="1">{"'Firr(선)'!$AS$1:$AY$62","'Firr(사)'!$AS$1:$AY$62","'Firr(회)'!$AS$1:$AY$62","'Firr(선)'!$L$1:$V$62","'Firr(사)'!$L$1:$V$62","'Firr(회)'!$L$1:$V$62"}</definedName>
    <definedName name="김동" localSheetId="1" hidden="1">{"'Firr(선)'!$AS$1:$AY$62","'Firr(사)'!$AS$1:$AY$62","'Firr(회)'!$AS$1:$AY$62","'Firr(선)'!$L$1:$V$62","'Firr(사)'!$L$1:$V$62","'Firr(회)'!$L$1:$V$62"}</definedName>
    <definedName name="김동" hidden="1">{"'Firr(선)'!$AS$1:$AY$62","'Firr(사)'!$AS$1:$AY$62","'Firr(회)'!$AS$1:$AY$62","'Firr(선)'!$L$1:$V$62","'Firr(사)'!$L$1:$V$62","'Firr(회)'!$L$1:$V$62"}</definedName>
    <definedName name="김동준" localSheetId="4" hidden="1">{"'Firr(선)'!$AS$1:$AY$62","'Firr(사)'!$AS$1:$AY$62","'Firr(회)'!$AS$1:$AY$62","'Firr(선)'!$L$1:$V$62","'Firr(사)'!$L$1:$V$62","'Firr(회)'!$L$1:$V$62"}</definedName>
    <definedName name="김동준" localSheetId="1" hidden="1">{"'Firr(선)'!$AS$1:$AY$62","'Firr(사)'!$AS$1:$AY$62","'Firr(회)'!$AS$1:$AY$62","'Firr(선)'!$L$1:$V$62","'Firr(사)'!$L$1:$V$62","'Firr(회)'!$L$1:$V$62"}</definedName>
    <definedName name="김동준" hidden="1">{"'Firr(선)'!$AS$1:$AY$62","'Firr(사)'!$AS$1:$AY$62","'Firr(회)'!$AS$1:$AY$62","'Firr(선)'!$L$1:$V$62","'Firr(사)'!$L$1:$V$62","'Firr(회)'!$L$1:$V$62"}</definedName>
    <definedName name="김종현" localSheetId="4">#REF!</definedName>
    <definedName name="김종현" localSheetId="1">#REF!</definedName>
    <definedName name="김종현">#REF!</definedName>
    <definedName name="김창근" localSheetId="4" hidden="1">{#N/A,#N/A,FALSE,"전력간선"}</definedName>
    <definedName name="김창근" localSheetId="1" hidden="1">{#N/A,#N/A,FALSE,"전력간선"}</definedName>
    <definedName name="김창근" hidden="1">{#N/A,#N/A,FALSE,"전력간선"}</definedName>
    <definedName name="김철균" localSheetId="4">BlankMacro1</definedName>
    <definedName name="김철균" localSheetId="1">BlankMacro1</definedName>
    <definedName name="김철균">BlankMacro1</definedName>
    <definedName name="김혜원" localSheetId="4" hidden="1">{#N/A,#N/A,FALSE,"전력간선"}</definedName>
    <definedName name="김혜원" localSheetId="1" hidden="1">{#N/A,#N/A,FALSE,"전력간선"}</definedName>
    <definedName name="김혜원" hidden="1">{#N/A,#N/A,FALSE,"전력간선"}</definedName>
    <definedName name="끝" localSheetId="4">#REF!</definedName>
    <definedName name="끝" localSheetId="1">#REF!</definedName>
    <definedName name="끝">#REF!</definedName>
    <definedName name="ㄴ" localSheetId="4">[0]!BlankMacro1</definedName>
    <definedName name="ㄴ" localSheetId="1">[0]!BlankMacro1</definedName>
    <definedName name="ㄴ">[0]!BlankMacro1</definedName>
    <definedName name="ㄴㄴ" localSheetId="4">[0]!BlankMacro1</definedName>
    <definedName name="ㄴㄴ" localSheetId="1">[0]!BlankMacro1</definedName>
    <definedName name="ㄴㄴ">[0]!BlankMacro1</definedName>
    <definedName name="ㄴㄴㄴ" localSheetId="2" hidden="1">#REF!</definedName>
    <definedName name="ㄴㄴㄴ" localSheetId="4" hidden="1">#REF!</definedName>
    <definedName name="ㄴㄴㄴ" localSheetId="1" hidden="1">#REF!</definedName>
    <definedName name="ㄴㄴㄴ" hidden="1">#REF!</definedName>
    <definedName name="ㄴㄴㄴㄴ" localSheetId="2" hidden="1">#REF!</definedName>
    <definedName name="ㄴㄴㄴㄴ" localSheetId="4" hidden="1">#REF!</definedName>
    <definedName name="ㄴㄴㄴㄴ" localSheetId="1" hidden="1">#REF!</definedName>
    <definedName name="ㄴㄴㄴㄴ" hidden="1">#REF!</definedName>
    <definedName name="ㄴㄴㄴㄴㄴ" localSheetId="2" hidden="1">#REF!</definedName>
    <definedName name="ㄴㄴㄴㄴㄴ" localSheetId="4" hidden="1">#REF!</definedName>
    <definedName name="ㄴㄴㄴㄴㄴ" hidden="1">#REF!</definedName>
    <definedName name="ㄴㄴㅇ" localSheetId="4">#REF!</definedName>
    <definedName name="ㄴㄴㅇ">#REF!</definedName>
    <definedName name="ㄴㄹㄴㄹ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ㄴㄹㄴㄹ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ㄴㄹㄴ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ㄴㅁ" localSheetId="4" hidden="1">#REF!</definedName>
    <definedName name="ㄴㅁ" localSheetId="1" hidden="1">#REF!</definedName>
    <definedName name="ㄴㅁ" hidden="1">#REF!</definedName>
    <definedName name="ㄴㅁㄴㅇㄹ" localSheetId="4" hidden="1">#REF!</definedName>
    <definedName name="ㄴㅁㄴㅇㄹ" localSheetId="1" hidden="1">#REF!</definedName>
    <definedName name="ㄴㅁㄴㅇㄹ" hidden="1">#REF!</definedName>
    <definedName name="ㄴㅁㄹㅈㄹ" localSheetId="4" hidden="1">#REF!</definedName>
    <definedName name="ㄴㅁㄹㅈㄹ" localSheetId="1" hidden="1">#REF!</definedName>
    <definedName name="ㄴㅁㄹㅈㄹ" hidden="1">#REF!</definedName>
    <definedName name="ㄴㅅㅅㄴㄴㅅㄴ" localSheetId="4">BlankMacro1</definedName>
    <definedName name="ㄴㅅㅅㄴㄴㅅㄴ" localSheetId="1">BlankMacro1</definedName>
    <definedName name="ㄴㅅㅅㄴㄴㅅㄴ">BlankMacro1</definedName>
    <definedName name="ㄴㅇㄴㄴ" localSheetId="4">[0]!BlankMacro1</definedName>
    <definedName name="ㄴㅇㄴㄴ" localSheetId="1">[0]!BlankMacro1</definedName>
    <definedName name="ㄴㅇㄴㄴ">[0]!BlankMacro1</definedName>
    <definedName name="ㄴㅇㄹ" localSheetId="4">#REF!</definedName>
    <definedName name="ㄴㅇㄹ" localSheetId="1">#REF!</definedName>
    <definedName name="ㄴㅇㄹ">#REF!</definedName>
    <definedName name="ㄴㅇㄹㄴㅁㅇㄹ" localSheetId="4">[100]부안일위!#REF!</definedName>
    <definedName name="ㄴㅇㄹㄴㅁㅇㄹ" localSheetId="1">[100]부안일위!#REF!</definedName>
    <definedName name="ㄴㅇㄹㄴㅁㅇㄹ">[100]부안일위!#REF!</definedName>
    <definedName name="ㄴㅇㄹㄷ" localSheetId="4" hidden="1">#REF!</definedName>
    <definedName name="ㄴㅇㄹㄷ" localSheetId="1" hidden="1">#REF!</definedName>
    <definedName name="ㄴㅇㄹㄷ" hidden="1">#REF!</definedName>
    <definedName name="ㄴㅇㄹㄹㄹㄹㄹ" localSheetId="4" hidden="1">{#N/A,#N/A,FALSE,"전력간선"}</definedName>
    <definedName name="ㄴㅇㄹㄹㄹㄹㄹ" localSheetId="1" hidden="1">{#N/A,#N/A,FALSE,"전력간선"}</definedName>
    <definedName name="ㄴㅇㄹㄹㄹㄹㄹ" hidden="1">{#N/A,#N/A,FALSE,"전력간선"}</definedName>
    <definedName name="ㄴㅇㄹㅈㄷ" localSheetId="4">#REF!</definedName>
    <definedName name="ㄴㅇㄹㅈㄷ" localSheetId="1">#REF!</definedName>
    <definedName name="ㄴㅇㄹㅈㄷ">#REF!</definedName>
    <definedName name="ㄴㅇㄻ" localSheetId="4" hidden="1">#REF!</definedName>
    <definedName name="ㄴㅇㄻ" localSheetId="1" hidden="1">#REF!</definedName>
    <definedName name="ㄴㅇㄻ" hidden="1">#REF!</definedName>
    <definedName name="ㄴㅇㄻㄴㅇㄻㄴㅇㄹ" localSheetId="4">#REF!</definedName>
    <definedName name="ㄴㅇㄻㄴㅇㄻㄴㅇㄹ">#REF!</definedName>
    <definedName name="ㄴㅇㄼㅈㄷㄹ" localSheetId="1" hidden="1">'[21]98수문일위'!$A$1:$P$2004</definedName>
    <definedName name="ㄴㅇㄼㅈㄷㄹ" hidden="1">'[22]98수문일위'!$A$1:$P$2004</definedName>
    <definedName name="ㄴㅇㅁ로혀ㅓ교" localSheetId="4">BlankMacro1</definedName>
    <definedName name="ㄴㅇㅁ로혀ㅓ교" localSheetId="1">BlankMacro1</definedName>
    <definedName name="ㄴㅇㅁ로혀ㅓ교">BlankMacro1</definedName>
    <definedName name="ㄴㅇㅇ" localSheetId="4" hidden="1">#REF!</definedName>
    <definedName name="ㄴㅇㅇ" localSheetId="1" hidden="1">#REF!</definedName>
    <definedName name="ㄴㅇㅇ" hidden="1">#REF!</definedName>
    <definedName name="ㄴㅇㅍ" localSheetId="4">#REF!</definedName>
    <definedName name="ㄴㅇㅍ">#REF!</definedName>
    <definedName name="ㄴㅇㅍㅁㄴㅇㄹ" localSheetId="1" hidden="1">'[19]98수문일위'!$A$1:$P$2004</definedName>
    <definedName name="ㄴㅇㅍㅁㄴㅇㄹ" hidden="1">'[20]98수문일위'!$A$1:$P$2004</definedName>
    <definedName name="ㄴ윺ㅇㄹ" localSheetId="4">#REF!</definedName>
    <definedName name="ㄴ윺ㅇㄹ" localSheetId="1">#REF!</definedName>
    <definedName name="ㄴ윺ㅇㄹ">#REF!</definedName>
    <definedName name="ㄴㅊㅍㅌㅊㅍㅌㅊ" localSheetId="4">#REF!</definedName>
    <definedName name="ㄴㅊㅍㅌㅊㅍㅌㅊ">#REF!</definedName>
    <definedName name="나" localSheetId="4" hidden="1">{"'자리배치도'!$AG$1:$CI$28"}</definedName>
    <definedName name="나" localSheetId="1" hidden="1">{"'자리배치도'!$AG$1:$CI$28"}</definedName>
    <definedName name="나" hidden="1">{"'자리배치도'!$AG$1:$CI$28"}</definedName>
    <definedName name="나나">#N/A</definedName>
    <definedName name="나야">#N/A</definedName>
    <definedName name="낙찰률" localSheetId="4">#REF!</definedName>
    <definedName name="낙찰률" localSheetId="1">#REF!</definedName>
    <definedName name="낙찰률">#REF!</definedName>
    <definedName name="난데">#N/A</definedName>
    <definedName name="날짜">[85]설계산출표지!$B$8</definedName>
    <definedName name="남남" localSheetId="2" hidden="1">#REF!</definedName>
    <definedName name="남남" localSheetId="4" hidden="1">#REF!</definedName>
    <definedName name="남남" localSheetId="1" hidden="1">#REF!</definedName>
    <definedName name="남남" hidden="1">#REF!</definedName>
    <definedName name="남산1호" localSheetId="4">#REF!</definedName>
    <definedName name="남산1호">#REF!</definedName>
    <definedName name="남산2호" localSheetId="4">#REF!</definedName>
    <definedName name="남산2호">#REF!</definedName>
    <definedName name="남양주시청" localSheetId="4" hidden="1">{#N/A,#N/A,FALSE,"표지"}</definedName>
    <definedName name="남양주시청" localSheetId="1" hidden="1">{#N/A,#N/A,FALSE,"표지"}</definedName>
    <definedName name="남양주시청" hidden="1">{#N/A,#N/A,FALSE,"표지"}</definedName>
    <definedName name="내" localSheetId="4" hidden="1">{#N/A,#N/A,FALSE,"단가와품"}</definedName>
    <definedName name="내" localSheetId="1" hidden="1">{#N/A,#N/A,FALSE,"단가와품"}</definedName>
    <definedName name="내" hidden="1">{#N/A,#N/A,FALSE,"단가와품"}</definedName>
    <definedName name="내경" localSheetId="4">BlankMacro1</definedName>
    <definedName name="내경" localSheetId="1">BlankMacro1</definedName>
    <definedName name="내경">BlankMacro1</definedName>
    <definedName name="내선전공" localSheetId="4">#REF!</definedName>
    <definedName name="내선전공" localSheetId="1">[96]노임단가!$C$21</definedName>
    <definedName name="내선전공">#REF!</definedName>
    <definedName name="내역서" localSheetId="4">#REF!</definedName>
    <definedName name="내역서" localSheetId="1">#REF!</definedName>
    <definedName name="내역서">#REF!</definedName>
    <definedName name="내역서1" localSheetId="4">#REF!</definedName>
    <definedName name="내역서1" localSheetId="1">#REF!</definedName>
    <definedName name="내역서1">#REF!</definedName>
    <definedName name="내역서갑지" localSheetId="4" hidden="1">{#N/A,#N/A,FALSE,"전력간선"}</definedName>
    <definedName name="내역서갑지" localSheetId="1" hidden="1">{#N/A,#N/A,FALSE,"전력간선"}</definedName>
    <definedName name="내역서갑지" hidden="1">{#N/A,#N/A,FALSE,"전력간선"}</definedName>
    <definedName name="내역서갑지1" localSheetId="4" hidden="1">{#N/A,#N/A,FALSE,"전력간선"}</definedName>
    <definedName name="내역서갑지1" localSheetId="1" hidden="1">{#N/A,#N/A,FALSE,"전력간선"}</definedName>
    <definedName name="내역서갑지1" hidden="1">{#N/A,#N/A,FALSE,"전력간선"}</definedName>
    <definedName name="내역서갑지2" localSheetId="4" hidden="1">{#N/A,#N/A,FALSE,"전력간선"}</definedName>
    <definedName name="내역서갑지2" localSheetId="1" hidden="1">{#N/A,#N/A,FALSE,"전력간선"}</definedName>
    <definedName name="내역서갑지2" hidden="1">{#N/A,#N/A,FALSE,"전력간선"}</definedName>
    <definedName name="내역서갑지3" localSheetId="4" hidden="1">{#N/A,#N/A,FALSE,"전력간선"}</definedName>
    <definedName name="내역서갑지3" localSheetId="1" hidden="1">{#N/A,#N/A,FALSE,"전력간선"}</definedName>
    <definedName name="내역서갑지3" hidden="1">{#N/A,#N/A,FALSE,"전력간선"}</definedName>
    <definedName name="내역서갑지4" localSheetId="4" hidden="1">{#N/A,#N/A,FALSE,"전력간선"}</definedName>
    <definedName name="내역서갑지4" localSheetId="1" hidden="1">{#N/A,#N/A,FALSE,"전력간선"}</definedName>
    <definedName name="내역서갑지4" hidden="1">{#N/A,#N/A,FALSE,"전력간선"}</definedName>
    <definedName name="내역서갑지5" localSheetId="4" hidden="1">{#N/A,#N/A,FALSE,"전력간선"}</definedName>
    <definedName name="내역서갑지5" localSheetId="1" hidden="1">{#N/A,#N/A,FALSE,"전력간선"}</definedName>
    <definedName name="내역서갑지5" hidden="1">{#N/A,#N/A,FALSE,"전력간선"}</definedName>
    <definedName name="내역서갑지6" localSheetId="4" hidden="1">{#N/A,#N/A,FALSE,"전력간선"}</definedName>
    <definedName name="내역서갑지6" localSheetId="1" hidden="1">{#N/A,#N/A,FALSE,"전력간선"}</definedName>
    <definedName name="내역서갑지6" hidden="1">{#N/A,#N/A,FALSE,"전력간선"}</definedName>
    <definedName name="내역서갑지7" localSheetId="4" hidden="1">{#N/A,#N/A,FALSE,"전력간선"}</definedName>
    <definedName name="내역서갑지7" localSheetId="1" hidden="1">{#N/A,#N/A,FALSE,"전력간선"}</definedName>
    <definedName name="내역서갑지7" hidden="1">{#N/A,#N/A,FALSE,"전력간선"}</definedName>
    <definedName name="내역서갑지8" localSheetId="4" hidden="1">{#N/A,#N/A,FALSE,"전력간선"}</definedName>
    <definedName name="내역서갑지8" localSheetId="1" hidden="1">{#N/A,#N/A,FALSE,"전력간선"}</definedName>
    <definedName name="내역서갑지8" hidden="1">{#N/A,#N/A,FALSE,"전력간선"}</definedName>
    <definedName name="내역서갑지9" localSheetId="4" hidden="1">{#N/A,#N/A,FALSE,"전력간선"}</definedName>
    <definedName name="내역서갑지9" localSheetId="1" hidden="1">{#N/A,#N/A,FALSE,"전력간선"}</definedName>
    <definedName name="내역서갑지9" hidden="1">{#N/A,#N/A,FALSE,"전력간선"}</definedName>
    <definedName name="내역서입니다" localSheetId="4" hidden="1">{#N/A,#N/A,TRUE,"1";#N/A,#N/A,TRUE,"2";#N/A,#N/A,TRUE,"3";#N/A,#N/A,TRUE,"4";#N/A,#N/A,TRUE,"5";#N/A,#N/A,TRUE,"6";#N/A,#N/A,TRUE,"7"}</definedName>
    <definedName name="내역서입니다" localSheetId="1" hidden="1">{#N/A,#N/A,TRUE,"1";#N/A,#N/A,TRUE,"2";#N/A,#N/A,TRUE,"3";#N/A,#N/A,TRUE,"4";#N/A,#N/A,TRUE,"5";#N/A,#N/A,TRUE,"6";#N/A,#N/A,TRUE,"7"}</definedName>
    <definedName name="내역서입니다" hidden="1">{#N/A,#N/A,TRUE,"1";#N/A,#N/A,TRUE,"2";#N/A,#N/A,TRUE,"3";#N/A,#N/A,TRUE,"4";#N/A,#N/A,TRUE,"5";#N/A,#N/A,TRUE,"6";#N/A,#N/A,TRUE,"7"}</definedName>
    <definedName name="내역서표지" localSheetId="4">#REF!</definedName>
    <definedName name="내역서표지" localSheetId="1">#REF!</definedName>
    <definedName name="내역서표지">#REF!</definedName>
    <definedName name="내역표지" localSheetId="4">#REF!</definedName>
    <definedName name="내역표지" localSheetId="1">#REF!</definedName>
    <definedName name="내역표지">#REF!</definedName>
    <definedName name="내전">[101]노무비!$B$2</definedName>
    <definedName name="너" localSheetId="4" hidden="1">{"'자리배치도'!$AG$1:$CI$28"}</definedName>
    <definedName name="너" localSheetId="1" hidden="1">{"'자리배치도'!$AG$1:$CI$28"}</definedName>
    <definedName name="너" hidden="1">{"'자리배치도'!$AG$1:$CI$28"}</definedName>
    <definedName name="너네집" localSheetId="1">표지!너네집</definedName>
    <definedName name="너네집">#N/A</definedName>
    <definedName name="녀">#N/A</definedName>
    <definedName name="노곡1호" localSheetId="4">#REF!</definedName>
    <definedName name="노곡1호" localSheetId="1">#REF!</definedName>
    <definedName name="노곡1호">#REF!</definedName>
    <definedName name="노곡2호" localSheetId="4">#REF!</definedName>
    <definedName name="노곡2호" localSheetId="1">#REF!</definedName>
    <definedName name="노곡2호">#REF!</definedName>
    <definedName name="노곡3호" localSheetId="4">#REF!</definedName>
    <definedName name="노곡3호">#REF!</definedName>
    <definedName name="노곡4호" localSheetId="4">#REF!</definedName>
    <definedName name="노곡4호">#REF!</definedName>
    <definedName name="노말밴드" localSheetId="4">#REF!</definedName>
    <definedName name="노말밴드">#REF!</definedName>
    <definedName name="노무비" localSheetId="4">#REF!</definedName>
    <definedName name="노무비">#REF!</definedName>
    <definedName name="노무비2" localSheetId="4">#REF!</definedName>
    <definedName name="노무비2">#REF!</definedName>
    <definedName name="노무비3" localSheetId="4">#REF!</definedName>
    <definedName name="노무비3">#REF!</definedName>
    <definedName name="노무비4" localSheetId="4">#REF!</definedName>
    <definedName name="노무비4">#REF!</definedName>
    <definedName name="노무비단가산출서" hidden="1">#N/A</definedName>
    <definedName name="노무비소계" localSheetId="2">#REF!</definedName>
    <definedName name="노무비소계" localSheetId="4">#REF!</definedName>
    <definedName name="노무비소계" localSheetId="1">#REF!</definedName>
    <definedName name="노무비소계">#REF!</definedName>
    <definedName name="노임" localSheetId="4">#REF!</definedName>
    <definedName name="노임" localSheetId="1">#REF!</definedName>
    <definedName name="노임">#REF!</definedName>
    <definedName name="노임단가" localSheetId="4">#REF!</definedName>
    <definedName name="노임단가">#REF!</definedName>
    <definedName name="농원1호" localSheetId="4">#REF!</definedName>
    <definedName name="농원1호">#REF!</definedName>
    <definedName name="농원2호" localSheetId="4">#REF!</definedName>
    <definedName name="농원2호">#REF!</definedName>
    <definedName name="높이300" localSheetId="4">[9]대로근거!#REF!</definedName>
    <definedName name="높이300">[9]대로근거!#REF!</definedName>
    <definedName name="높이350" localSheetId="4">[9]대로근거!#REF!</definedName>
    <definedName name="높이350">[9]대로근거!#REF!</definedName>
    <definedName name="뇌관" localSheetId="4">#REF!</definedName>
    <definedName name="뇌관" localSheetId="1">#REF!</definedName>
    <definedName name="뇌관">#REF!</definedName>
    <definedName name="누">#N/A</definedName>
    <definedName name="뉴">#N/A</definedName>
    <definedName name="늘이기" localSheetId="4">#REF!</definedName>
    <definedName name="늘이기" localSheetId="1">#REF!</definedName>
    <definedName name="늘이기">#REF!</definedName>
    <definedName name="니">#N/A</definedName>
    <definedName name="ㄷ" localSheetId="4" hidden="1">{#N/A,#N/A,TRUE,"토적및재료집계";#N/A,#N/A,TRUE,"토적및재료집계";#N/A,#N/A,TRUE,"단위량"}</definedName>
    <definedName name="ㄷ" localSheetId="1" hidden="1">{#N/A,#N/A,TRUE,"토적및재료집계";#N/A,#N/A,TRUE,"토적및재료집계";#N/A,#N/A,TRUE,"단위량"}</definedName>
    <definedName name="ㄷ" hidden="1">{#N/A,#N/A,TRUE,"토적및재료집계";#N/A,#N/A,TRUE,"토적및재료집계";#N/A,#N/A,TRUE,"단위량"}</definedName>
    <definedName name="ㄷㄱㄷ" localSheetId="4" hidden="1">{#N/A,#N/A,FALSE,"전력간선"}</definedName>
    <definedName name="ㄷㄱㄷ" localSheetId="1" hidden="1">{#N/A,#N/A,FALSE,"전력간선"}</definedName>
    <definedName name="ㄷㄱㄷ" hidden="1">{#N/A,#N/A,FALSE,"전력간선"}</definedName>
    <definedName name="ㄷㄱㅈㅇㄹㄴㅊ" localSheetId="4">#REF!</definedName>
    <definedName name="ㄷㄱㅈㅇㄹㄴㅊ" localSheetId="1">#REF!</definedName>
    <definedName name="ㄷㄱㅈㅇㄹㄴㅊ">#REF!</definedName>
    <definedName name="ㄷㄷ" localSheetId="2" hidden="1">#REF!</definedName>
    <definedName name="ㄷㄷ" localSheetId="4" hidden="1">#REF!</definedName>
    <definedName name="ㄷㄷ" localSheetId="1" hidden="1">#REF!</definedName>
    <definedName name="ㄷㄷ" hidden="1">#REF!</definedName>
    <definedName name="ㄷㄷㄷ" localSheetId="4">[0]!BlankMacro1</definedName>
    <definedName name="ㄷㄷㄷ" localSheetId="1">[0]!BlankMacro1</definedName>
    <definedName name="ㄷㄷㄷ">[0]!BlankMacro1</definedName>
    <definedName name="ㄷㄹ" localSheetId="4">#REF!</definedName>
    <definedName name="ㄷㄹ" localSheetId="1">#REF!</definedName>
    <definedName name="ㄷㄹ">#REF!</definedName>
    <definedName name="ㄷㄹㄴ" localSheetId="4">#REF!</definedName>
    <definedName name="ㄷㄹㄴ" localSheetId="1">#REF!</definedName>
    <definedName name="ㄷㄹㄴ">#REF!</definedName>
    <definedName name="ㄷㄹㄴㅇㄹ" localSheetId="4">#REF!</definedName>
    <definedName name="ㄷㄹㄴㅇㄹ">#REF!</definedName>
    <definedName name="ㄷㅅ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ㅅ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ㅅ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ㅇ" localSheetId="4">#REF!</definedName>
    <definedName name="ㄷㅇ" localSheetId="1">#REF!</definedName>
    <definedName name="ㄷㅇ">#REF!</definedName>
    <definedName name="ㄷㅇㅇㅇㅇㅇㅇㅇㅇㅇㅇㅇㅇ" localSheetId="4" hidden="1">{#N/A,#N/A,FALSE,"전력간선"}</definedName>
    <definedName name="ㄷㅇㅇㅇㅇㅇㅇㅇㅇㅇㅇㅇㅇ" localSheetId="1" hidden="1">{#N/A,#N/A,FALSE,"전력간선"}</definedName>
    <definedName name="ㄷㅇㅇㅇㅇㅇㅇㅇㅇㅇㅇㅇㅇ" hidden="1">{#N/A,#N/A,FALSE,"전력간선"}</definedName>
    <definedName name="ㄷㅎ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ㅎ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ㅎ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ㄷㅎㄹㅇ" hidden="1">#REF!</definedName>
    <definedName name="다" localSheetId="2">#REF!</definedName>
    <definedName name="다" localSheetId="4">#REF!</definedName>
    <definedName name="다" localSheetId="1">#REF!</definedName>
    <definedName name="다">#REF!</definedName>
    <definedName name="다짐" localSheetId="2">#REF!</definedName>
    <definedName name="다짐" localSheetId="4">#REF!</definedName>
    <definedName name="다짐">#REF!</definedName>
    <definedName name="단__가2" localSheetId="4">'[102]#REF'!#REF!</definedName>
    <definedName name="단__가2">'[102]#REF'!#REF!</definedName>
    <definedName name="단__가3" localSheetId="4">'[102]#REF'!#REF!</definedName>
    <definedName name="단__가3">'[102]#REF'!#REF!</definedName>
    <definedName name="단__가4" localSheetId="4">'[102]#REF'!#REF!</definedName>
    <definedName name="단__가4">'[102]#REF'!#REF!</definedName>
    <definedName name="단__가5" localSheetId="4">'[102]#REF'!#REF!</definedName>
    <definedName name="단__가5">'[102]#REF'!#REF!</definedName>
    <definedName name="단__가6">'[102]#REF'!#REF!</definedName>
    <definedName name="단_가" localSheetId="4">#REF!</definedName>
    <definedName name="단_가" localSheetId="1">#REF!</definedName>
    <definedName name="단_가">#REF!</definedName>
    <definedName name="단_가2" localSheetId="2">#REF!</definedName>
    <definedName name="단_가2" localSheetId="4">#REF!</definedName>
    <definedName name="단_가2">#REF!</definedName>
    <definedName name="단_가3" localSheetId="2">#REF!</definedName>
    <definedName name="단_가3" localSheetId="4">#REF!</definedName>
    <definedName name="단_가3">#REF!</definedName>
    <definedName name="단_가4" localSheetId="2">#REF!</definedName>
    <definedName name="단_가4" localSheetId="4">#REF!</definedName>
    <definedName name="단_가4">#REF!</definedName>
    <definedName name="단_가5" localSheetId="2">#REF!</definedName>
    <definedName name="단_가5" localSheetId="4">#REF!</definedName>
    <definedName name="단_가5">#REF!</definedName>
    <definedName name="단_가6" localSheetId="2">#REF!</definedName>
    <definedName name="단_가6" localSheetId="4">#REF!</definedName>
    <definedName name="단_가6">#REF!</definedName>
    <definedName name="단가" localSheetId="4">#REF!</definedName>
    <definedName name="단가" localSheetId="1">#REF!</definedName>
    <definedName name="단가">#REF!</definedName>
    <definedName name="단가_1" localSheetId="4">#REF!</definedName>
    <definedName name="단가_1" localSheetId="1">#REF!</definedName>
    <definedName name="단가_1">#REF!</definedName>
    <definedName name="단가02" localSheetId="4">#REF!</definedName>
    <definedName name="단가02">#REF!</definedName>
    <definedName name="단가2" localSheetId="4">#REF!,#REF!</definedName>
    <definedName name="단가2" localSheetId="1">#REF!,#REF!</definedName>
    <definedName name="단가2">#REF!,#REF!</definedName>
    <definedName name="단가구분">[103]내역!$M$2</definedName>
    <definedName name="단가배선" localSheetId="4">#REF!</definedName>
    <definedName name="단가배선" localSheetId="1">#REF!</definedName>
    <definedName name="단가배선">#REF!</definedName>
    <definedName name="단가비교" localSheetId="4">#REF!</definedName>
    <definedName name="단가비교" localSheetId="1">#REF!</definedName>
    <definedName name="단가비교">#REF!</definedName>
    <definedName name="단가비교표" localSheetId="4">#REF!,#REF!</definedName>
    <definedName name="단가비교표" localSheetId="1">#REF!,#REF!</definedName>
    <definedName name="단가비교표">#REF!,#REF!</definedName>
    <definedName name="단가산출" localSheetId="4">#REF!</definedName>
    <definedName name="단가산출" localSheetId="1">#REF!</definedName>
    <definedName name="단가산출">#REF!</definedName>
    <definedName name="단가조사" localSheetId="4">#REF!</definedName>
    <definedName name="단가조사" localSheetId="1">#REF!</definedName>
    <definedName name="단가조사">#REF!</definedName>
    <definedName name="단가테이블">'[87]기계경비(시간당)'!$C$1:$F$58</definedName>
    <definedName name="단같">#N/A</definedName>
    <definedName name="단같1">#N/A</definedName>
    <definedName name="단같2">#N/A</definedName>
    <definedName name="단같3">#N/A</definedName>
    <definedName name="단같4">#N/A</definedName>
    <definedName name="단관M">[55]DATE!$H$24:$H$85</definedName>
    <definedName name="단위" localSheetId="4">#REF!</definedName>
    <definedName name="단위" localSheetId="1">#REF!</definedName>
    <definedName name="단위">#REF!</definedName>
    <definedName name="단위공량_10" localSheetId="4">'[102]#REF'!#REF!</definedName>
    <definedName name="단위공량_10" localSheetId="1">'[102]#REF'!#REF!</definedName>
    <definedName name="단위공량_10">'[102]#REF'!#REF!</definedName>
    <definedName name="단위공량_11" localSheetId="1">'[102]#REF'!#REF!</definedName>
    <definedName name="단위공량_11">'[102]#REF'!#REF!</definedName>
    <definedName name="단위공량_12">'[102]#REF'!#REF!</definedName>
    <definedName name="단위공량_13">'[102]#REF'!#REF!</definedName>
    <definedName name="단위공량_14">'[102]#REF'!#REF!</definedName>
    <definedName name="단위공량_15">'[102]#REF'!#REF!</definedName>
    <definedName name="단위공량_16">'[102]#REF'!#REF!</definedName>
    <definedName name="단위공량_17">'[102]#REF'!#REF!</definedName>
    <definedName name="단위공량_4">'[102]#REF'!#REF!</definedName>
    <definedName name="단위공량_5">'[102]#REF'!#REF!</definedName>
    <definedName name="단위공량_6">'[102]#REF'!#REF!</definedName>
    <definedName name="단위공량_7">'[102]#REF'!#REF!</definedName>
    <definedName name="단위공량_8">'[102]#REF'!#REF!</definedName>
    <definedName name="단위공량_9">'[102]#REF'!#REF!</definedName>
    <definedName name="단위공량1" localSheetId="4">#REF!</definedName>
    <definedName name="단위공량1" localSheetId="1">#REF!</definedName>
    <definedName name="단위공량1">#REF!</definedName>
    <definedName name="단위공량10" localSheetId="2">#REF!</definedName>
    <definedName name="단위공량10" localSheetId="4">#REF!</definedName>
    <definedName name="단위공량10">#REF!</definedName>
    <definedName name="단위공량11" localSheetId="2">#REF!</definedName>
    <definedName name="단위공량11" localSheetId="4">#REF!</definedName>
    <definedName name="단위공량11">#REF!</definedName>
    <definedName name="단위공량12" localSheetId="2">#REF!</definedName>
    <definedName name="단위공량12" localSheetId="4">#REF!</definedName>
    <definedName name="단위공량12">#REF!</definedName>
    <definedName name="단위공량13" localSheetId="2">#REF!</definedName>
    <definedName name="단위공량13" localSheetId="4">#REF!</definedName>
    <definedName name="단위공량13">#REF!</definedName>
    <definedName name="단위공량14" localSheetId="2">#REF!</definedName>
    <definedName name="단위공량14" localSheetId="4">#REF!</definedName>
    <definedName name="단위공량14">#REF!</definedName>
    <definedName name="단위공량15" localSheetId="2">#REF!</definedName>
    <definedName name="단위공량15" localSheetId="4">#REF!</definedName>
    <definedName name="단위공량15">#REF!</definedName>
    <definedName name="단위공량16" localSheetId="2">#REF!</definedName>
    <definedName name="단위공량16" localSheetId="4">#REF!</definedName>
    <definedName name="단위공량16">#REF!</definedName>
    <definedName name="단위공량17" localSheetId="2">#REF!</definedName>
    <definedName name="단위공량17" localSheetId="4">#REF!</definedName>
    <definedName name="단위공량17">#REF!</definedName>
    <definedName name="단위공량2" localSheetId="4">#REF!</definedName>
    <definedName name="단위공량2" localSheetId="1">#REF!</definedName>
    <definedName name="단위공량2">#REF!</definedName>
    <definedName name="단위공량200000" localSheetId="4">#REF!</definedName>
    <definedName name="단위공량200000" localSheetId="1">#REF!</definedName>
    <definedName name="단위공량200000">#REF!</definedName>
    <definedName name="단위공량3" localSheetId="4">#REF!</definedName>
    <definedName name="단위공량3" localSheetId="1">#REF!</definedName>
    <definedName name="단위공량3">#REF!</definedName>
    <definedName name="단위공량4" localSheetId="2">#REF!</definedName>
    <definedName name="단위공량4" localSheetId="4">#REF!</definedName>
    <definedName name="단위공량4">#REF!</definedName>
    <definedName name="단위공량5" localSheetId="2">#REF!</definedName>
    <definedName name="단위공량5" localSheetId="4">#REF!</definedName>
    <definedName name="단위공량5">#REF!</definedName>
    <definedName name="단위공량6" localSheetId="2">#REF!</definedName>
    <definedName name="단위공량6" localSheetId="4">#REF!</definedName>
    <definedName name="단위공량6">#REF!</definedName>
    <definedName name="단위공량7" localSheetId="2">#REF!</definedName>
    <definedName name="단위공량7" localSheetId="4">#REF!</definedName>
    <definedName name="단위공량7">#REF!</definedName>
    <definedName name="단위공량8" localSheetId="2">#REF!</definedName>
    <definedName name="단위공량8" localSheetId="4">#REF!</definedName>
    <definedName name="단위공량8">#REF!</definedName>
    <definedName name="단위공량9" localSheetId="2">#REF!</definedName>
    <definedName name="단위공량9" localSheetId="4">#REF!</definedName>
    <definedName name="단위공량9">#REF!</definedName>
    <definedName name="단위수량" localSheetId="4">#REF!</definedName>
    <definedName name="단위수량">#REF!</definedName>
    <definedName name="당">#N/A</definedName>
    <definedName name="대가" localSheetId="4">#REF!,#REF!</definedName>
    <definedName name="대가" localSheetId="1">#REF!,#REF!</definedName>
    <definedName name="대가">#REF!,#REF!</definedName>
    <definedName name="대장공" localSheetId="4">#REF!</definedName>
    <definedName name="대장공" localSheetId="1">#REF!</definedName>
    <definedName name="대장공">#REF!</definedName>
    <definedName name="대한민국" localSheetId="4">BlankMacro1</definedName>
    <definedName name="대한민국" localSheetId="1">BlankMacro1</definedName>
    <definedName name="대한민국">BlankMacro1</definedName>
    <definedName name="대화상자표시" localSheetId="1">표지!대화상자표시</definedName>
    <definedName name="대화상자표시">#N/A</definedName>
    <definedName name="대회" localSheetId="4">#REF!</definedName>
    <definedName name="대회" localSheetId="1">#REF!</definedName>
    <definedName name="대회">#REF!</definedName>
    <definedName name="댜">#N/A</definedName>
    <definedName name="더" localSheetId="4" hidden="1">{"'자리배치도'!$AG$1:$CI$28"}</definedName>
    <definedName name="더" localSheetId="1" hidden="1">{"'자리배치도'!$AG$1:$CI$28"}</definedName>
    <definedName name="더" hidden="1">{"'자리배치도'!$AG$1:$CI$28"}</definedName>
    <definedName name="더하기">[55]DATE!$J$24:$J$85</definedName>
    <definedName name="덕산1호" localSheetId="4">#REF!</definedName>
    <definedName name="덕산1호" localSheetId="1">#REF!</definedName>
    <definedName name="덕산1호">#REF!</definedName>
    <definedName name="덕산2호" localSheetId="4">#REF!</definedName>
    <definedName name="덕산2호">#REF!</definedName>
    <definedName name="덕산3호" localSheetId="4">#REF!</definedName>
    <definedName name="덕산3호">#REF!</definedName>
    <definedName name="덕산4호" localSheetId="4">#REF!</definedName>
    <definedName name="덕산4호">#REF!</definedName>
    <definedName name="덕전1호" localSheetId="4">#REF!</definedName>
    <definedName name="덕전1호">#REF!</definedName>
    <definedName name="덕전2호" localSheetId="4">#REF!</definedName>
    <definedName name="덕전2호">#REF!</definedName>
    <definedName name="덕전3호" localSheetId="4">#REF!</definedName>
    <definedName name="덕전3호">#REF!</definedName>
    <definedName name="덕지1호" localSheetId="4">#REF!</definedName>
    <definedName name="덕지1호">#REF!</definedName>
    <definedName name="덕천1호" localSheetId="4">#REF!</definedName>
    <definedName name="덕천1호">#REF!</definedName>
    <definedName name="덕천2호" localSheetId="4">#REF!</definedName>
    <definedName name="덕천2호">#REF!</definedName>
    <definedName name="덕천3호" localSheetId="4">#REF!</definedName>
    <definedName name="덕천3호">#REF!</definedName>
    <definedName name="덕천4호" localSheetId="4">#REF!</definedName>
    <definedName name="덕천4호">#REF!</definedName>
    <definedName name="덤프15경" localSheetId="4">#REF!</definedName>
    <definedName name="덤프15경">#REF!</definedName>
    <definedName name="덤프15노" localSheetId="4">#REF!</definedName>
    <definedName name="덤프15노">#REF!</definedName>
    <definedName name="덤프15재" localSheetId="4">#REF!</definedName>
    <definedName name="덤프15재">#REF!</definedName>
    <definedName name="덤프8경" localSheetId="4">#REF!</definedName>
    <definedName name="덤프8경">#REF!</definedName>
    <definedName name="덤프8노" localSheetId="4">#REF!</definedName>
    <definedName name="덤프8노">#REF!</definedName>
    <definedName name="덤프8재" localSheetId="4">#REF!</definedName>
    <definedName name="덤프8재">#REF!</definedName>
    <definedName name="데크" localSheetId="4" hidden="1">{#N/A,#N/A,FALSE,"전력간선"}</definedName>
    <definedName name="데크" localSheetId="1" hidden="1">{#N/A,#N/A,FALSE,"전력간선"}</definedName>
    <definedName name="데크" hidden="1">{#N/A,#N/A,FALSE,"전력간선"}</definedName>
    <definedName name="뎌">#N/A</definedName>
    <definedName name="도">#N/A</definedName>
    <definedName name="도______급______액" localSheetId="4">#REF!</definedName>
    <definedName name="도______급______액" localSheetId="1">#REF!</definedName>
    <definedName name="도______급______액">#REF!</definedName>
    <definedName name="도급공사" localSheetId="4">#REF!</definedName>
    <definedName name="도급공사" localSheetId="1">#REF!</definedName>
    <definedName name="도급공사">#REF!</definedName>
    <definedName name="도급공사비" localSheetId="4">#REF!</definedName>
    <definedName name="도급공사비" localSheetId="1">#REF!</definedName>
    <definedName name="도급공사비">#REF!</definedName>
    <definedName name="도급예산내역서총괄표공구손료">[85]도급예산내역서총괄표!$G$21</definedName>
    <definedName name="도급예산내역서총괄표공비">[85]도급예산내역서총괄표!$H$21</definedName>
    <definedName name="도급예산내역서총괄표재료비">[85]도급예산내역서총괄표!$F$21</definedName>
    <definedName name="도급예산액" localSheetId="4">#REF!</definedName>
    <definedName name="도급예산액" localSheetId="1">#REF!</definedName>
    <definedName name="도급예산액">#REF!</definedName>
    <definedName name="도급예상액" localSheetId="4">#REF!</definedName>
    <definedName name="도급예상액">#REF!</definedName>
    <definedName name="도급예정액2" localSheetId="4">#REF!</definedName>
    <definedName name="도급예정액2">#REF!</definedName>
    <definedName name="도급예정액3" localSheetId="4">#REF!</definedName>
    <definedName name="도급예정액3">#REF!</definedName>
    <definedName name="도급예정액4" localSheetId="4">#REF!</definedName>
    <definedName name="도급예정액4">#REF!</definedName>
    <definedName name="도입" localSheetId="4">#REF!</definedName>
    <definedName name="도입">#REF!</definedName>
    <definedName name="도장" localSheetId="4">#REF!</definedName>
    <definedName name="도장">#REF!</definedName>
    <definedName name="도장공">[96]노임단가!$C$17</definedName>
    <definedName name="도장공1" localSheetId="4">#REF!</definedName>
    <definedName name="도장공1" localSheetId="1">#REF!</definedName>
    <definedName name="도장공1">#REF!</definedName>
    <definedName name="도표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도표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도표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돌아가_교통">[92]!돌아가_교통</definedName>
    <definedName name="돌아가기">[92]!돌아가기</definedName>
    <definedName name="동남" localSheetId="4" hidden="1">{#N/A,#N/A,FALSE,"표지"}</definedName>
    <definedName name="동남" localSheetId="1" hidden="1">{#N/A,#N/A,FALSE,"표지"}</definedName>
    <definedName name="동남" hidden="1">{#N/A,#N/A,FALSE,"표지"}</definedName>
    <definedName name="동력반" localSheetId="4">#REF!</definedName>
    <definedName name="동력반" localSheetId="1">#REF!</definedName>
    <definedName name="동력반">#REF!</definedName>
    <definedName name="동바리">[26]맨홀수량산출!$AE$26</definedName>
    <definedName name="동발공">[96]노임단가!$C$14</definedName>
    <definedName name="동시" localSheetId="4" hidden="1">{#N/A,#N/A,FALSE,"전력간선"}</definedName>
    <definedName name="동시" localSheetId="1" hidden="1">{#N/A,#N/A,FALSE,"전력간선"}</definedName>
    <definedName name="동시" hidden="1">{#N/A,#N/A,FALSE,"전력간선"}</definedName>
    <definedName name="동원" localSheetId="4">#REF!</definedName>
    <definedName name="동원" localSheetId="1">#REF!</definedName>
    <definedName name="동원">#REF!</definedName>
    <definedName name="동원1" localSheetId="4">#REF!</definedName>
    <definedName name="동원1" localSheetId="1">#REF!</definedName>
    <definedName name="동원1">#REF!</definedName>
    <definedName name="동준" localSheetId="4" hidden="1">{"'Firr(선)'!$AS$1:$AY$62","'Firr(사)'!$AS$1:$AY$62","'Firr(회)'!$AS$1:$AY$62","'Firr(선)'!$L$1:$V$62","'Firr(사)'!$L$1:$V$62","'Firr(회)'!$L$1:$V$62"}</definedName>
    <definedName name="동준" localSheetId="1" hidden="1">{"'Firr(선)'!$AS$1:$AY$62","'Firr(사)'!$AS$1:$AY$62","'Firr(회)'!$AS$1:$AY$62","'Firr(선)'!$L$1:$V$62","'Firr(사)'!$L$1:$V$62","'Firr(회)'!$L$1:$V$62"}</definedName>
    <definedName name="동준" hidden="1">{"'Firr(선)'!$AS$1:$AY$62","'Firr(사)'!$AS$1:$AY$62","'Firr(회)'!$AS$1:$AY$62","'Firr(선)'!$L$1:$V$62","'Firr(사)'!$L$1:$V$62","'Firr(회)'!$L$1:$V$62"}</definedName>
    <definedName name="되메우기노" localSheetId="4">#REF!</definedName>
    <definedName name="되메우기노" localSheetId="1">#REF!</definedName>
    <definedName name="되메우기노">#REF!</definedName>
    <definedName name="되메우기재" localSheetId="4">#REF!</definedName>
    <definedName name="되메우기재" localSheetId="1">#REF!</definedName>
    <definedName name="되메우기재">#REF!</definedName>
    <definedName name="두기1" localSheetId="4">#REF!</definedName>
    <definedName name="두기1">#REF!</definedName>
    <definedName name="두기1호" localSheetId="4">#REF!</definedName>
    <definedName name="두기1호">#REF!</definedName>
    <definedName name="두기2" localSheetId="4">#REF!</definedName>
    <definedName name="두기2">#REF!</definedName>
    <definedName name="두기2호" localSheetId="4">#REF!</definedName>
    <definedName name="두기2호">#REF!</definedName>
    <definedName name="두기3" localSheetId="4">#REF!</definedName>
    <definedName name="두기3">#REF!</definedName>
    <definedName name="두기3호" localSheetId="4">#REF!</definedName>
    <definedName name="두기3호">#REF!</definedName>
    <definedName name="두께" localSheetId="4">'[90]토사(PE)'!#REF!</definedName>
    <definedName name="두께">'[90]토사(PE)'!#REF!</definedName>
    <definedName name="뒷채움잡석경" localSheetId="4">#REF!</definedName>
    <definedName name="뒷채움잡석경" localSheetId="1">#REF!</definedName>
    <definedName name="뒷채움잡석경">#REF!</definedName>
    <definedName name="뒷채움잡석노" localSheetId="4">#REF!</definedName>
    <definedName name="뒷채움잡석노">#REF!</definedName>
    <definedName name="뒷채움잡석재" localSheetId="4">#REF!</definedName>
    <definedName name="뒷채움잡석재">#REF!</definedName>
    <definedName name="드">#N/A</definedName>
    <definedName name="등가거리">'[104]전선 및 전선관'!$A$1:$F$3</definedName>
    <definedName name="등가도움">[92]!등가도움</definedName>
    <definedName name="디">#N/A</definedName>
    <definedName name="ㄹ" localSheetId="4" hidden="1">{#N/A,#N/A,TRUE,"토적및재료집계";#N/A,#N/A,TRUE,"토적및재료집계";#N/A,#N/A,TRUE,"단위량"}</definedName>
    <definedName name="ㄹ" localSheetId="1" hidden="1">{#N/A,#N/A,TRUE,"토적및재료집계";#N/A,#N/A,TRUE,"토적및재료집계";#N/A,#N/A,TRUE,"단위량"}</definedName>
    <definedName name="ㄹ" hidden="1">{#N/A,#N/A,TRUE,"토적및재료집계";#N/A,#N/A,TRUE,"토적및재료집계";#N/A,#N/A,TRUE,"단위량"}</definedName>
    <definedName name="ㄹㄴ" localSheetId="4" hidden="1">#REF!</definedName>
    <definedName name="ㄹㄴ" localSheetId="1" hidden="1">#REF!</definedName>
    <definedName name="ㄹㄴ" hidden="1">#REF!</definedName>
    <definedName name="ㄹㄴㅇㄹㅊㅈ" localSheetId="4">#REF!</definedName>
    <definedName name="ㄹㄴㅇㄹㅊㅈ">#REF!</definedName>
    <definedName name="ㄹㄷ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ㄷ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ㄷ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ㄹㄹ" localSheetId="2" hidden="1">#REF!</definedName>
    <definedName name="ㄹㄹ" localSheetId="4" hidden="1">#REF!</definedName>
    <definedName name="ㄹㄹ" localSheetId="1" hidden="1">#REF!</definedName>
    <definedName name="ㄹㄹ" hidden="1">#REF!</definedName>
    <definedName name="ㄹㄹㄹ" localSheetId="4" hidden="1">{#N/A,#N/A,FALSE,"전력간선"}</definedName>
    <definedName name="ㄹㄹㄹ" localSheetId="1" hidden="1">{#N/A,#N/A,FALSE,"전력간선"}</definedName>
    <definedName name="ㄹㄹㄹ" hidden="1">{#N/A,#N/A,FALSE,"전력간선"}</definedName>
    <definedName name="ㄹㄹㄹㄹ" localSheetId="4" hidden="1">{"'Firr(선)'!$AS$1:$AY$62","'Firr(사)'!$AS$1:$AY$62","'Firr(회)'!$AS$1:$AY$62","'Firr(선)'!$L$1:$V$62","'Firr(사)'!$L$1:$V$62","'Firr(회)'!$L$1:$V$62"}</definedName>
    <definedName name="ㄹㄹㄹㄹ" localSheetId="1" hidden="1">{"'Firr(선)'!$AS$1:$AY$62","'Firr(사)'!$AS$1:$AY$62","'Firr(회)'!$AS$1:$AY$62","'Firr(선)'!$L$1:$V$62","'Firr(사)'!$L$1:$V$62","'Firr(회)'!$L$1:$V$62"}</definedName>
    <definedName name="ㄹㄹㄹㄹ" hidden="1">{"'Firr(선)'!$AS$1:$AY$62","'Firr(사)'!$AS$1:$AY$62","'Firr(회)'!$AS$1:$AY$62","'Firr(선)'!$L$1:$V$62","'Firr(사)'!$L$1:$V$62","'Firr(회)'!$L$1:$V$62"}</definedName>
    <definedName name="ㄹㅇ" localSheetId="4">#REF!</definedName>
    <definedName name="ㄹㅇ" localSheetId="1">#REF!</definedName>
    <definedName name="ㄹㅇ">#REF!</definedName>
    <definedName name="ㄹㅇㄴ" localSheetId="4">#REF!</definedName>
    <definedName name="ㄹㅇㄴ" localSheetId="1">#REF!</definedName>
    <definedName name="ㄹㅇㄴ">#REF!</definedName>
    <definedName name="ㄹㅇㄶ" localSheetId="2" hidden="1">#REF!</definedName>
    <definedName name="ㄹㅇㄶ" localSheetId="4" hidden="1">#REF!</definedName>
    <definedName name="ㄹㅇㄶ" localSheetId="1" hidden="1">#REF!</definedName>
    <definedName name="ㄹㅇㄶ" hidden="1">#REF!</definedName>
    <definedName name="ㄹㅇㄶ옿" hidden="1">'[105]N賃率-職'!$I$5:$I$30</definedName>
    <definedName name="ㄹㅇㄹㅇ" localSheetId="2" hidden="1">#REF!</definedName>
    <definedName name="ㄹㅇㄹㅇ" localSheetId="4" hidden="1">#REF!</definedName>
    <definedName name="ㄹㅇㄹㅇ" localSheetId="1" hidden="1">#REF!</definedName>
    <definedName name="ㄹㅇㄹㅇ" hidden="1">#REF!</definedName>
    <definedName name="ㄹㅇㄹㅈㄷㅊ" localSheetId="1" hidden="1">'[19]98수문일위'!$A$1:$P$2004</definedName>
    <definedName name="ㄹㅇㄹㅈㄷㅊ" hidden="1">'[20]98수문일위'!$A$1:$P$2004</definedName>
    <definedName name="ㄹ호" localSheetId="4">#REF!</definedName>
    <definedName name="ㄹ호" localSheetId="1">#REF!</definedName>
    <definedName name="ㄹ호">#REF!</definedName>
    <definedName name="라" localSheetId="4" hidden="1">{"'자리배치도'!$AG$1:$CI$28"}</definedName>
    <definedName name="라" localSheetId="1" hidden="1">{"'자리배치도'!$AG$1:$CI$28"}</definedName>
    <definedName name="라" hidden="1">{"'자리배치도'!$AG$1:$CI$28"}</definedName>
    <definedName name="램머Q간재">[87]램머!$D$20</definedName>
    <definedName name="램머Q간재10">[87]램머!$F$20</definedName>
    <definedName name="램머Q간재야간">[87]램머!$J$20</definedName>
    <definedName name="램머Q노무">[87]램머!$D$21</definedName>
    <definedName name="램머Q노무10">[87]램머!$F$21</definedName>
    <definedName name="램머Q노무야간">[87]램머!$J$21</definedName>
    <definedName name="램머Q손료">[87]램머!$D$22</definedName>
    <definedName name="램머Q손료10">[87]램머!$F$22</definedName>
    <definedName name="램머Q손료야간">[87]램머!$J$22</definedName>
    <definedName name="램머간재">'[87]기계경비(시간당)'!$H$170</definedName>
    <definedName name="램머노무">'[87]기계경비(시간당)'!$H$166</definedName>
    <definedName name="램머노무야간">'[87]기계경비(시간당)'!$H$167</definedName>
    <definedName name="램머손료">'[87]기계경비(시간당)'!$H$165</definedName>
    <definedName name="램프" localSheetId="1">[106]단가조사!#REF!</definedName>
    <definedName name="램프">[106]단가조사!#REF!</definedName>
    <definedName name="러" localSheetId="4" hidden="1">{"'자리배치도'!$AG$1:$CI$28"}</definedName>
    <definedName name="러" localSheetId="1" hidden="1">{"'자리배치도'!$AG$1:$CI$28"}</definedName>
    <definedName name="러" hidden="1">{"'자리배치도'!$AG$1:$CI$28"}</definedName>
    <definedName name="러헐" localSheetId="4" hidden="1">{#N/A,#N/A,FALSE,"도급대비시행율";#N/A,#N/A,FALSE,"결의서";#N/A,#N/A,FALSE,"내역서";#N/A,#N/A,FALSE,"도급예상"}</definedName>
    <definedName name="러헐" localSheetId="1" hidden="1">{#N/A,#N/A,FALSE,"도급대비시행율";#N/A,#N/A,FALSE,"결의서";#N/A,#N/A,FALSE,"내역서";#N/A,#N/A,FALSE,"도급예상"}</definedName>
    <definedName name="러헐" hidden="1">{#N/A,#N/A,FALSE,"도급대비시행율";#N/A,#N/A,FALSE,"결의서";#N/A,#N/A,FALSE,"내역서";#N/A,#N/A,FALSE,"도급예상"}</definedName>
    <definedName name="레미콘251808" localSheetId="4">#REF!</definedName>
    <definedName name="레미콘251808" localSheetId="1">#REF!</definedName>
    <definedName name="레미콘251808">#REF!</definedName>
    <definedName name="레미콘252108" localSheetId="4">#REF!</definedName>
    <definedName name="레미콘252108" localSheetId="1">#REF!</definedName>
    <definedName name="레미콘252108">#REF!</definedName>
    <definedName name="레이스웨이" localSheetId="4">#REF!</definedName>
    <definedName name="레이스웨이">#REF!</definedName>
    <definedName name="레타무노" localSheetId="4">#REF!</definedName>
    <definedName name="레타무노">#REF!</definedName>
    <definedName name="레타무진경" localSheetId="4">#REF!</definedName>
    <definedName name="레타무진경">#REF!</definedName>
    <definedName name="레타무진노" localSheetId="4">#REF!</definedName>
    <definedName name="레타무진노">#REF!</definedName>
    <definedName name="레타무진재" localSheetId="4">#REF!</definedName>
    <definedName name="레타무진재">#REF!</definedName>
    <definedName name="레타소진경" localSheetId="4">#REF!</definedName>
    <definedName name="레타소진경">#REF!</definedName>
    <definedName name="레타소진노" localSheetId="4">#REF!</definedName>
    <definedName name="레타소진노">#REF!</definedName>
    <definedName name="레타소진재" localSheetId="4">#REF!</definedName>
    <definedName name="레타소진재">#REF!</definedName>
    <definedName name="레타진철경" localSheetId="4">#REF!</definedName>
    <definedName name="레타진철경">#REF!</definedName>
    <definedName name="레타진철노" localSheetId="4">#REF!</definedName>
    <definedName name="레타진철노">#REF!</definedName>
    <definedName name="레타진철재" localSheetId="4">#REF!</definedName>
    <definedName name="레타진철재">#REF!</definedName>
    <definedName name="려">#N/A</definedName>
    <definedName name="련수" localSheetId="4">#REF!</definedName>
    <definedName name="련수" localSheetId="1">#REF!</definedName>
    <definedName name="련수">#REF!</definedName>
    <definedName name="료" localSheetId="4" hidden="1">{"'용역비'!$A$4:$C$8"}</definedName>
    <definedName name="료" localSheetId="1" hidden="1">{"'용역비'!$A$4:$C$8"}</definedName>
    <definedName name="료" hidden="1">{"'용역비'!$A$4:$C$8"}</definedName>
    <definedName name="류효정" localSheetId="4" hidden="1">{"'Firr(선)'!$AS$1:$AY$62","'Firr(사)'!$AS$1:$AY$62","'Firr(회)'!$AS$1:$AY$62","'Firr(선)'!$L$1:$V$62","'Firr(사)'!$L$1:$V$62","'Firr(회)'!$L$1:$V$62"}</definedName>
    <definedName name="류효정" localSheetId="1" hidden="1">{"'Firr(선)'!$AS$1:$AY$62","'Firr(사)'!$AS$1:$AY$62","'Firr(회)'!$AS$1:$AY$62","'Firr(선)'!$L$1:$V$62","'Firr(사)'!$L$1:$V$62","'Firr(회)'!$L$1:$V$62"}</definedName>
    <definedName name="류효정" hidden="1">{"'Firr(선)'!$AS$1:$AY$62","'Firr(사)'!$AS$1:$AY$62","'Firr(회)'!$AS$1:$AY$62","'Firr(선)'!$L$1:$V$62","'Firr(사)'!$L$1:$V$62","'Firr(회)'!$L$1:$V$62"}</definedName>
    <definedName name="륜ㅇㅀㅇㄹㄶ" localSheetId="4">#REF!</definedName>
    <definedName name="륜ㅇㅀㅇㄹㄶ" localSheetId="1">#REF!</definedName>
    <definedName name="륜ㅇㅀㅇㄹㄶ">#REF!</definedName>
    <definedName name="르">#N/A</definedName>
    <definedName name="리">#N/A</definedName>
    <definedName name="ㄻㄴㅇㅎㄻㄴㅇㅀㅇㄻㄴ" localSheetId="4">#REF!</definedName>
    <definedName name="ㄻㄴㅇㅎㄻㄴㅇㅀㅇㄻㄴ" localSheetId="1">#REF!</definedName>
    <definedName name="ㄻㄴㅇㅎㄻㄴㅇㅀㅇㄻㄴ">#REF!</definedName>
    <definedName name="ㄼㅎㅅㄳㄺㅎㅇㅍㅎㅍㄴㅇㄹ" localSheetId="4">#REF!</definedName>
    <definedName name="ㄼㅎㅅㄳㄺㅎㅇㅍㅎㅍㄴㅇㄹ" localSheetId="1">#REF!</definedName>
    <definedName name="ㄼㅎㅅㄳㄺㅎㅇㅍㅎㅍㄴㅇㄹ">#REF!</definedName>
    <definedName name="ㄽㅎㅇㄱ" localSheetId="4" hidden="1">{"'자리배치도'!$AG$1:$CI$28"}</definedName>
    <definedName name="ㄽㅎㅇㄱ" localSheetId="1" hidden="1">{"'자리배치도'!$AG$1:$CI$28"}</definedName>
    <definedName name="ㄽㅎㅇㄱ" hidden="1">{"'자리배치도'!$AG$1:$CI$28"}</definedName>
    <definedName name="ㅀ" localSheetId="4">[0]!BlankMacro1</definedName>
    <definedName name="ㅀ" localSheetId="1">[0]!BlankMacro1</definedName>
    <definedName name="ㅀ">[0]!BlankMacro1</definedName>
    <definedName name="ㅀㅎㅊㅌ" localSheetId="4">#REF!</definedName>
    <definedName name="ㅀㅎㅊㅌ" localSheetId="1">#REF!</definedName>
    <definedName name="ㅀㅎㅊㅌ">#REF!</definedName>
    <definedName name="ㅀ허" localSheetId="4" hidden="1">{#N/A,#N/A,FALSE,"CCTV"}</definedName>
    <definedName name="ㅀ허" localSheetId="1" hidden="1">{#N/A,#N/A,FALSE,"CCTV"}</definedName>
    <definedName name="ㅀ허" hidden="1">{#N/A,#N/A,FALSE,"CCTV"}</definedName>
    <definedName name="ㅁ" localSheetId="4">#REF!</definedName>
    <definedName name="ㅁ" localSheetId="1">#REF!</definedName>
    <definedName name="ㅁ">#REF!</definedName>
    <definedName name="ㅁ1" localSheetId="2">#REF!</definedName>
    <definedName name="ㅁ1" localSheetId="4">#REF!</definedName>
    <definedName name="ㅁ1" localSheetId="1">#REF!</definedName>
    <definedName name="ㅁ1">#REF!</definedName>
    <definedName name="ㅁ222" localSheetId="2">#REF!</definedName>
    <definedName name="ㅁ222" localSheetId="4">#REF!</definedName>
    <definedName name="ㅁ222">#REF!</definedName>
    <definedName name="ㅁ300" localSheetId="4">#REF!</definedName>
    <definedName name="ㅁ300">#REF!</definedName>
    <definedName name="ㅁ40" localSheetId="4">#REF!</definedName>
    <definedName name="ㅁ40">#REF!</definedName>
    <definedName name="ㅁ44" localSheetId="4">#REF!</definedName>
    <definedName name="ㅁ44">#REF!</definedName>
    <definedName name="ㅁ500" localSheetId="4">[107]Baby일위대가!#REF!</definedName>
    <definedName name="ㅁ500">[107]Baby일위대가!#REF!</definedName>
    <definedName name="ㅁ545" localSheetId="4">#REF!</definedName>
    <definedName name="ㅁ545" localSheetId="1">#REF!</definedName>
    <definedName name="ㅁ545">#REF!</definedName>
    <definedName name="ㅁ569" localSheetId="2">#REF!</definedName>
    <definedName name="ㅁ569" localSheetId="4">#REF!</definedName>
    <definedName name="ㅁ569">#REF!</definedName>
    <definedName name="ㅁ60" localSheetId="4">[108]직노!#REF!</definedName>
    <definedName name="ㅁ60">[108]직노!#REF!</definedName>
    <definedName name="ㅁ63" localSheetId="4">#REF!</definedName>
    <definedName name="ㅁ63" localSheetId="1">#REF!</definedName>
    <definedName name="ㅁ63">#REF!</definedName>
    <definedName name="ㅁ636" localSheetId="4">#REF!</definedName>
    <definedName name="ㅁ636">#REF!</definedName>
    <definedName name="ㅁㄴㄴㄴㄴㅇㅇ" localSheetId="4">BlankMacro1</definedName>
    <definedName name="ㅁㄴㄴㄴㄴㅇㅇ" localSheetId="1">BlankMacro1</definedName>
    <definedName name="ㅁㄴㄴㄴㄴㅇㅇ">BlankMacro1</definedName>
    <definedName name="ㅁㄴㅇ" localSheetId="4">#REF!</definedName>
    <definedName name="ㅁㄴㅇ" localSheetId="1">#REF!</definedName>
    <definedName name="ㅁㄴㅇ">#REF!</definedName>
    <definedName name="ㅁㄴㅇㄹ" localSheetId="4" hidden="1">{#N/A,#N/A,TRUE,"토적및재료집계";#N/A,#N/A,TRUE,"토적및재료집계";#N/A,#N/A,TRUE,"단위량"}</definedName>
    <definedName name="ㅁㄴㅇㄹ" localSheetId="1" hidden="1">{#N/A,#N/A,TRUE,"토적및재료집계";#N/A,#N/A,TRUE,"토적및재료집계";#N/A,#N/A,TRUE,"단위량"}</definedName>
    <definedName name="ㅁㄴㅇㄹ" hidden="1">{#N/A,#N/A,TRUE,"토적및재료집계";#N/A,#N/A,TRUE,"토적및재료집계";#N/A,#N/A,TRUE,"단위량"}</definedName>
    <definedName name="ㅁㄴㅇ류" localSheetId="4" hidden="1">#REF!</definedName>
    <definedName name="ㅁㄴㅇ류" localSheetId="1" hidden="1">#REF!</definedName>
    <definedName name="ㅁㄴㅇ류" hidden="1">#REF!</definedName>
    <definedName name="ㅁㄴㅇㄻㄴㅇ" localSheetId="4">#REF!</definedName>
    <definedName name="ㅁㄴㅇㄻㄴㅇ">#REF!</definedName>
    <definedName name="ㅁㄴㅇㄻㄴㅇㄹㄴ" localSheetId="4" hidden="1">#REF!</definedName>
    <definedName name="ㅁㄴㅇㄻㄴㅇㄹㄴ" localSheetId="1" hidden="1">#REF!</definedName>
    <definedName name="ㅁㄴㅇㄻㄴㅇㄹㄴ" hidden="1">#REF!</definedName>
    <definedName name="ㅁㄴㅇㄻㄴㅇㄻㄴㄹ" localSheetId="4" hidden="1">{#N/A,#N/A,FALSE,"명세표"}</definedName>
    <definedName name="ㅁㄴㅇㄻㄴㅇㄻㄴㄹ" localSheetId="1" hidden="1">{#N/A,#N/A,FALSE,"명세표"}</definedName>
    <definedName name="ㅁㄴㅇㄻㄴㅇㄻㄴㄹ" hidden="1">{#N/A,#N/A,FALSE,"명세표"}</definedName>
    <definedName name="ㅁㄴㅇㄻㄴ이ㅏ럼닝ㅍㅁ">#REF!</definedName>
    <definedName name="ㅁㄴㅇㄻㅇㄹ" localSheetId="4">#REF!</definedName>
    <definedName name="ㅁㄴㅇㄻㅇㄹ">#REF!</definedName>
    <definedName name="ㅁㄴㅇㄻㅈㄷㄹ" localSheetId="4">#REF!</definedName>
    <definedName name="ㅁㄴㅇㄻㅈㄷㄹ">#REF!</definedName>
    <definedName name="ㅁㄴㅇㅀㅁㄴㅇㄹ" localSheetId="4">BlankMacro1</definedName>
    <definedName name="ㅁㄴㅇㅀㅁㄴㅇㄹ" localSheetId="1">BlankMacro1</definedName>
    <definedName name="ㅁㄴㅇㅀㅁㄴㅇㄹ">BlankMacro1</definedName>
    <definedName name="ㅁㄴㅇㅊㅍㅁ" localSheetId="4">#REF!</definedName>
    <definedName name="ㅁㄴㅇㅊㅍㅁ" localSheetId="1">#REF!</definedName>
    <definedName name="ㅁㄴㅇㅊㅍㅁ">#REF!</definedName>
    <definedName name="ㅁㄴㅇㅍㄴㅇㄴ" localSheetId="1" hidden="1">'[21]98수문일위'!$A$1:$P$2004</definedName>
    <definedName name="ㅁㄴㅇㅍㄴㅇㄴ" hidden="1">'[22]98수문일위'!$A$1:$P$2004</definedName>
    <definedName name="ㅁㄴㅇㅍㄴㅇㄹ" localSheetId="4">#REF!</definedName>
    <definedName name="ㅁㄴㅇㅍㄴㅇㄹ" localSheetId="1">#REF!</definedName>
    <definedName name="ㅁㄴㅇㅍㄴㅇㄹ">#REF!</definedName>
    <definedName name="ㅁㄴㅇㅍㅁㄴㅇㄹ" localSheetId="4">#REF!</definedName>
    <definedName name="ㅁㄴㅇㅍㅁㄴㅇㄹ">#REF!</definedName>
    <definedName name="ㅁㄴㅇㅍㅋㅌㅊㅍㅁㅇㄹ" localSheetId="4">#REF!</definedName>
    <definedName name="ㅁㄴㅇㅍㅋㅌㅊㅍㅁㅇㄹ">#REF!</definedName>
    <definedName name="ㅁㄴㅊㅍ" localSheetId="4">#REF!</definedName>
    <definedName name="ㅁㄴㅊㅍ">#REF!</definedName>
    <definedName name="ㅁㄴㅊㅍㅁㄴㅇㄻㄴㅇㄹ" localSheetId="4">#REF!</definedName>
    <definedName name="ㅁㄴㅊㅍㅁㄴㅇㄻㄴㅇㄹ">#REF!</definedName>
    <definedName name="ㅁㄴㅊㅍㅁㄴㅇㄻㄷ" localSheetId="4">#REF!</definedName>
    <definedName name="ㅁㄴㅊㅍㅁㄴㅇㄻㄷ">#REF!</definedName>
    <definedName name="ㅁㄴㅊㅍㅁㅌㅊ펌ㄴㅇㄹ" localSheetId="4" hidden="1">#REF!</definedName>
    <definedName name="ㅁㄴㅊㅍㅁㅌㅊ펌ㄴㅇㄹ" localSheetId="1" hidden="1">#REF!</definedName>
    <definedName name="ㅁㄴㅊㅍㅁㅌㅊ펌ㄴㅇㄹ" hidden="1">#REF!</definedName>
    <definedName name="ㅁㄴㅌㄴ" localSheetId="4" hidden="1">{"'자리배치도'!$AG$1:$CI$28"}</definedName>
    <definedName name="ㅁㄴㅌㄴ" localSheetId="1" hidden="1">{"'자리배치도'!$AG$1:$CI$28"}</definedName>
    <definedName name="ㅁㄴㅌㄴ" hidden="1">{"'자리배치도'!$AG$1:$CI$28"}</definedName>
    <definedName name="ㅁ느">#N/A</definedName>
    <definedName name="ㅁㄷㄱㅂㅈㅇㄹㄴ" localSheetId="4">#REF!</definedName>
    <definedName name="ㅁㄷㄱㅂㅈㅇㄹㄴ" localSheetId="1">#REF!</definedName>
    <definedName name="ㅁㄷㄱㅂㅈㅇㄹㄴ">#REF!</definedName>
    <definedName name="ㅁㄹㅈㅇㄶㅁㄴㅇ" localSheetId="4">#REF!</definedName>
    <definedName name="ㅁㄹㅈㅇㄶㅁㄴㅇ" localSheetId="1">#REF!</definedName>
    <definedName name="ㅁㄹㅈㅇㄶㅁㄴㅇ">#REF!</definedName>
    <definedName name="ㅁㄻㄴㅇㄹㄴㅇㄹㄴ" localSheetId="4" hidden="1">#REF!</definedName>
    <definedName name="ㅁㄻㄴㅇㄹㄴㅇㄹㄴ" hidden="1">#REF!</definedName>
    <definedName name="ㅁㅁ" localSheetId="2" hidden="1">#REF!</definedName>
    <definedName name="ㅁㅁ" localSheetId="4" hidden="1">#REF!</definedName>
    <definedName name="ㅁㅁ" localSheetId="1" hidden="1">#REF!</definedName>
    <definedName name="ㅁㅁ" hidden="1">#REF!</definedName>
    <definedName name="ㅁㅁ158" localSheetId="2">#REF!</definedName>
    <definedName name="ㅁㅁ158" localSheetId="4">#REF!</definedName>
    <definedName name="ㅁㅁ158">#REF!</definedName>
    <definedName name="ㅁㅁㅁ">[109]을지!$A$1:$IV$2</definedName>
    <definedName name="ㅁㅁㅁㅁ" localSheetId="4" hidden="1">{"'용역비'!$A$4:$C$8"}</definedName>
    <definedName name="ㅁㅁㅁㅁ" localSheetId="1" hidden="1">{"'용역비'!$A$4:$C$8"}</definedName>
    <definedName name="ㅁㅁㅁㅁ" hidden="1">{"'용역비'!$A$4:$C$8"}</definedName>
    <definedName name="ㅁㅁㅁㅁㅁ" localSheetId="4" hidden="1">{#N/A,#N/A,FALSE,"전력간선"}</definedName>
    <definedName name="ㅁㅁㅁㅁㅁ" localSheetId="1" hidden="1">{#N/A,#N/A,FALSE,"전력간선"}</definedName>
    <definedName name="ㅁㅁㅁㅁㅁ" hidden="1">{#N/A,#N/A,FALSE,"전력간선"}</definedName>
    <definedName name="ㅁㅂ" localSheetId="4">#REF!</definedName>
    <definedName name="ㅁㅂ" localSheetId="1">#REF!</definedName>
    <definedName name="ㅁㅂ">#REF!</definedName>
    <definedName name="ㅁㅂㅇㅁㄴㅇ" localSheetId="4">#REF!</definedName>
    <definedName name="ㅁㅂㅇㅁㄴㅇ" localSheetId="1">#REF!</definedName>
    <definedName name="ㅁㅂㅇㅁㄴㅇ">#REF!</definedName>
    <definedName name="ㅁㅇ" localSheetId="4">BlankMacro1</definedName>
    <definedName name="ㅁㅇ" localSheetId="1">BlankMacro1</definedName>
    <definedName name="ㅁㅇ">BlankMacro1</definedName>
    <definedName name="ㅁㅇㄴㅇㅁㄴㅇㅁ" localSheetId="4">#REF!</definedName>
    <definedName name="ㅁㅇㄴㅇㅁㄴㅇㅁ" localSheetId="1">#REF!</definedName>
    <definedName name="ㅁㅇㄴㅇㅁㄴㅇㅁ">#REF!</definedName>
    <definedName name="ㅁㅇㄹㅁㅈㄷㅊ" localSheetId="4">#REF!</definedName>
    <definedName name="ㅁㅇㄹㅁㅈㄷㅊ" localSheetId="1">#REF!</definedName>
    <definedName name="ㅁㅇㄹㅁㅈㄷㅊ">#REF!</definedName>
    <definedName name="ㅁㅇㅁㅊ" localSheetId="4">#REF!</definedName>
    <definedName name="ㅁㅇㅁㅊ" localSheetId="1">#REF!</definedName>
    <definedName name="ㅁㅇㅁㅊ">#REF!</definedName>
    <definedName name="ㅁ인ㅍㅁ닟ㅍㅁㄴㅇㄹ" localSheetId="4" hidden="1">#REF!</definedName>
    <definedName name="ㅁ인ㅍㅁ닟ㅍㅁㄴㅇㄹ" localSheetId="1" hidden="1">#REF!</definedName>
    <definedName name="ㅁ인ㅍㅁ닟ㅍㅁㄴㅇㄹ" hidden="1">#REF!</definedName>
    <definedName name="ㅁ읾ㄴㅇㄻ" localSheetId="4" hidden="1">#REF!</definedName>
    <definedName name="ㅁ읾ㄴㅇㄻ" localSheetId="1" hidden="1">#REF!</definedName>
    <definedName name="ㅁ읾ㄴㅇㄻ" hidden="1">#REF!</definedName>
    <definedName name="ㅁㅈㄷㄻㄴㅇㅊㅍ" localSheetId="4">#REF!</definedName>
    <definedName name="ㅁㅈㄷㄻㄴㅇㅊㅍ">#REF!</definedName>
    <definedName name="ㅁㅈㄷㅅㅂㄱ흎ㅊ퓨" localSheetId="4" hidden="1">#REF!</definedName>
    <definedName name="ㅁㅈㄷㅅㅂㄱ흎ㅊ퓨" localSheetId="1" hidden="1">#REF!</definedName>
    <definedName name="ㅁㅈㄷㅅㅂㄱ흎ㅊ퓨" hidden="1">#REF!</definedName>
    <definedName name="ㅁㅈㅇㅍㅁㅊㅁ" localSheetId="4">#REF!</definedName>
    <definedName name="ㅁㅈㅇㅍㅁㅊㅁ">#REF!</definedName>
    <definedName name="ㅁㅊㅇㅍㅁㄴㅇㄻㄴㅇㄹ" localSheetId="4" hidden="1">#REF!</definedName>
    <definedName name="ㅁㅊㅇㅍㅁㄴㅇㄻㄴㅇㄹ" hidden="1">#REF!</definedName>
    <definedName name="ㅁㅊㅍㅋㅌㅊ" localSheetId="4">#REF!</definedName>
    <definedName name="ㅁㅊㅍㅋㅌㅊ">#REF!</definedName>
    <definedName name="ㅁㅍ" localSheetId="4">#REF!</definedName>
    <definedName name="ㅁㅍ">#REF!</definedName>
    <definedName name="ㅁㅍㄴㅇㅍㅁㄴㅇㄹ" localSheetId="4">#REF!</definedName>
    <definedName name="ㅁㅍㄴㅇㅍㅁㄴㅇㄹ">#REF!</definedName>
    <definedName name="마">[67]!Macro13</definedName>
    <definedName name="마음" localSheetId="4">#REF!,#REF!</definedName>
    <definedName name="마음" localSheetId="1">#REF!,#REF!</definedName>
    <definedName name="마음">#REF!,#REF!</definedName>
    <definedName name="말목D6L18" localSheetId="4">#REF!</definedName>
    <definedName name="말목D6L18" localSheetId="1">#REF!</definedName>
    <definedName name="말목D6L18">#REF!</definedName>
    <definedName name="매출_구간" localSheetId="4">#REF!,#REF!</definedName>
    <definedName name="매출_구간" localSheetId="1">#REF!,#REF!</definedName>
    <definedName name="매출_구간">#REF!,#REF!</definedName>
    <definedName name="매출구간2" localSheetId="4">#REF!</definedName>
    <definedName name="매출구간2" localSheetId="1">#REF!</definedName>
    <definedName name="매출구간2">#REF!</definedName>
    <definedName name="매크로11">[110]!매크로11</definedName>
    <definedName name="매크로4">[110]!매크로4</definedName>
    <definedName name="맨홀규격">[111]단위수량!$A$3:$Q$7</definedName>
    <definedName name="맨홀뚜껑">[26]맨홀수량산출!$AE$25</definedName>
    <definedName name="맨홀호수">[111]맨홀수량산출!$A$2</definedName>
    <definedName name="머" localSheetId="4" hidden="1">{"'자리배치도'!$AG$1:$CI$28"}</definedName>
    <definedName name="머" localSheetId="1" hidden="1">{"'자리배치도'!$AG$1:$CI$28"}</definedName>
    <definedName name="머" hidden="1">{"'자리배치도'!$AG$1:$CI$28"}</definedName>
    <definedName name="며">#N/A</definedName>
    <definedName name="명______칭" localSheetId="4">#REF!</definedName>
    <definedName name="명______칭" localSheetId="1">#REF!</definedName>
    <definedName name="명______칭">#REF!</definedName>
    <definedName name="모" localSheetId="4">#REF!</definedName>
    <definedName name="모" localSheetId="1">#REF!</definedName>
    <definedName name="모">#REF!</definedName>
    <definedName name="모니터" localSheetId="2">#REF!</definedName>
    <definedName name="모니터" localSheetId="4">#REF!</definedName>
    <definedName name="모니터">#REF!</definedName>
    <definedName name="모래" localSheetId="4">#REF!</definedName>
    <definedName name="모래">#REF!</definedName>
    <definedName name="모래1" localSheetId="4">#REF!</definedName>
    <definedName name="모래1">#REF!</definedName>
    <definedName name="모래180규격" localSheetId="4">[44]SORCE1!$N$1:$Y$15</definedName>
    <definedName name="모래180규격">[45]SORCE1!$N$1:$Y$15</definedName>
    <definedName name="모래300" localSheetId="1">[9]대로근거!#REF!</definedName>
    <definedName name="모래300">[9]대로근거!#REF!</definedName>
    <definedName name="모래350" localSheetId="1">[9]대로근거!#REF!</definedName>
    <definedName name="모래350">[9]대로근거!#REF!</definedName>
    <definedName name="모래90규격">[112]단위수량!$A$2:$L$14</definedName>
    <definedName name="모르터12노" localSheetId="4">#REF!</definedName>
    <definedName name="모르터12노" localSheetId="1">#REF!</definedName>
    <definedName name="모르터12노">#REF!</definedName>
    <definedName name="모르터12재" localSheetId="4">#REF!</definedName>
    <definedName name="모르터12재">#REF!</definedName>
    <definedName name="목도">[96]노임단가!$F$12</definedName>
    <definedName name="몰라" localSheetId="4" hidden="1">{#N/A,#N/A,FALSE,"명세표"}</definedName>
    <definedName name="몰라" localSheetId="1">[0]!BlankMacro1</definedName>
    <definedName name="몰라" hidden="1">{#N/A,#N/A,FALSE,"명세표"}</definedName>
    <definedName name="몰탈">[26]맨홀수량산출!$AE$31</definedName>
    <definedName name="몰탈12노" localSheetId="4">#REF!</definedName>
    <definedName name="몰탈12노" localSheetId="1">#REF!</definedName>
    <definedName name="몰탈12노">#REF!</definedName>
    <definedName name="몰탈13노" localSheetId="4">#REF!</definedName>
    <definedName name="몰탈13노">#REF!</definedName>
    <definedName name="못75" localSheetId="4">#REF!</definedName>
    <definedName name="못75">#REF!</definedName>
    <definedName name="못751" localSheetId="4">#REF!</definedName>
    <definedName name="못751">#REF!</definedName>
    <definedName name="무농1호" localSheetId="4">#REF!</definedName>
    <definedName name="무농1호">#REF!</definedName>
    <definedName name="무농2호" localSheetId="4">#REF!</definedName>
    <definedName name="무농2호">#REF!</definedName>
    <definedName name="무대조명" localSheetId="4">#REF!</definedName>
    <definedName name="무대조명">#REF!</definedName>
    <definedName name="무선안테나" localSheetId="4">#REF!</definedName>
    <definedName name="무선안테나">#REF!</definedName>
    <definedName name="무선통신" localSheetId="4">#REF!</definedName>
    <definedName name="무선통신">#REF!</definedName>
    <definedName name="무안">[101]노무비!$B$12</definedName>
    <definedName name="문서의_처음" localSheetId="2">#REF!</definedName>
    <definedName name="문서의_처음" localSheetId="4">#REF!</definedName>
    <definedName name="문서의_처음" localSheetId="1">#REF!</definedName>
    <definedName name="문서의_처음">#REF!</definedName>
    <definedName name="문양3노" localSheetId="4">#REF!</definedName>
    <definedName name="문양3노">#REF!</definedName>
    <definedName name="문양3재" localSheetId="4">#REF!</definedName>
    <definedName name="문양3재">#REF!</definedName>
    <definedName name="문현문이설" localSheetId="4">#REF!</definedName>
    <definedName name="문현문이설">#REF!</definedName>
    <definedName name="물품제조부분일위대가" localSheetId="4" hidden="1">{#N/A,#N/A,TRUE,"토적및재료집계";#N/A,#N/A,TRUE,"토적및재료집계";#N/A,#N/A,TRUE,"단위량"}</definedName>
    <definedName name="물품제조부분일위대가" localSheetId="1" hidden="1">{#N/A,#N/A,TRUE,"토적및재료집계";#N/A,#N/A,TRUE,"토적및재료집계";#N/A,#N/A,TRUE,"단위량"}</definedName>
    <definedName name="물품제조부분일위대가" hidden="1">{#N/A,#N/A,TRUE,"토적및재료집계";#N/A,#N/A,TRUE,"토적및재료집계";#N/A,#N/A,TRUE,"단위량"}</definedName>
    <definedName name="뮻" localSheetId="4" hidden="1">{"'자리배치도'!$AG$1:$CI$28"}</definedName>
    <definedName name="뮻" localSheetId="1" hidden="1">{"'자리배치도'!$AG$1:$CI$28"}</definedName>
    <definedName name="뮻" hidden="1">{"'자리배치도'!$AG$1:$CI$28"}</definedName>
    <definedName name="므">#N/A</definedName>
    <definedName name="미">#N/A</definedName>
    <definedName name="미장공">[113]노임!$B$6</definedName>
    <definedName name="미장공1" localSheetId="4">#REF!</definedName>
    <definedName name="미장공1" localSheetId="1">#REF!</definedName>
    <definedName name="미장공1">#REF!</definedName>
    <definedName name="민ㅇ린ㅇ러" localSheetId="4">#REF!</definedName>
    <definedName name="민ㅇ린ㅇ러">#REF!</definedName>
    <definedName name="밈ㄴ인이애ㅣㅏ잉르ㅏ댜ㅐㅇㄹ" localSheetId="4">#REF!</definedName>
    <definedName name="밈ㄴ인이애ㅣㅏ잉르ㅏ댜ㅐㅇㄹ">#REF!</definedName>
    <definedName name="밋션별" localSheetId="4">#REF!</definedName>
    <definedName name="밋션별">#REF!</definedName>
    <definedName name="ㅂ" localSheetId="4" hidden="1">{#N/A,#N/A,TRUE,"토적및재료집계";#N/A,#N/A,TRUE,"토적및재료집계";#N/A,#N/A,TRUE,"단위량"}</definedName>
    <definedName name="ㅂ" localSheetId="1" hidden="1">{#N/A,#N/A,TRUE,"토적및재료집계";#N/A,#N/A,TRUE,"토적및재료집계";#N/A,#N/A,TRUE,"단위량"}</definedName>
    <definedName name="ㅂ" hidden="1">{#N/A,#N/A,TRUE,"토적및재료집계";#N/A,#N/A,TRUE,"토적및재료집계";#N/A,#N/A,TRUE,"단위량"}</definedName>
    <definedName name="ㅂㄷ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ㄷ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ㄷ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ㄷㅈㅂ" localSheetId="4">#REF!</definedName>
    <definedName name="ㅂㄷㅈㅂ" localSheetId="1">#REF!</definedName>
    <definedName name="ㅂㄷㅈㅂ">#REF!</definedName>
    <definedName name="ㅂㄹ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ㄹ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ㅂ" localSheetId="4" hidden="1">{#N/A,#N/A,TRUE,"토적및재료집계";#N/A,#N/A,TRUE,"토적및재료집계";#N/A,#N/A,TRUE,"단위량"}</definedName>
    <definedName name="ㅂㅂ" localSheetId="1" hidden="1">{#N/A,#N/A,TRUE,"토적및재료집계";#N/A,#N/A,TRUE,"토적및재료집계";#N/A,#N/A,TRUE,"단위량"}</definedName>
    <definedName name="ㅂㅂ" hidden="1">{#N/A,#N/A,TRUE,"토적및재료집계";#N/A,#N/A,TRUE,"토적및재료집계";#N/A,#N/A,TRUE,"단위량"}</definedName>
    <definedName name="ㅂㅂㅂ" localSheetId="4" hidden="1">{#N/A,#N/A,TRUE,"토적및재료집계";#N/A,#N/A,TRUE,"토적및재료집계";#N/A,#N/A,TRUE,"단위량"}</definedName>
    <definedName name="ㅂㅂㅂ" localSheetId="1" hidden="1">{#N/A,#N/A,TRUE,"토적및재료집계";#N/A,#N/A,TRUE,"토적및재료집계";#N/A,#N/A,TRUE,"단위량"}</definedName>
    <definedName name="ㅂㅂㅂ" hidden="1">{#N/A,#N/A,TRUE,"토적및재료집계";#N/A,#N/A,TRUE,"토적및재료집계";#N/A,#N/A,TRUE,"단위량"}</definedName>
    <definedName name="ㅂㅂㅂㅂㅂ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ㅂㅂㅂㅂ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ㅂㅂㅂㅂ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ㅂㅂㅂㅂㅂ" localSheetId="4" hidden="1">{"'용역비'!$A$4:$C$8"}</definedName>
    <definedName name="ㅂㅂㅂㅂㅂㅂ" localSheetId="1" hidden="1">{"'용역비'!$A$4:$C$8"}</definedName>
    <definedName name="ㅂㅂㅂㅂㅂㅂ" hidden="1">{"'용역비'!$A$4:$C$8"}</definedName>
    <definedName name="ㅂㅈㅎㅁㅇㄴ">#REF!</definedName>
    <definedName name="ㅂㅍ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ㅍ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ㅎ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ㅎ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ㅂㅎ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바" localSheetId="4" hidden="1">{"'자리배치도'!$AG$1:$CI$28"}</definedName>
    <definedName name="바" localSheetId="1" hidden="1">{"'자리배치도'!$AG$1:$CI$28"}</definedName>
    <definedName name="바" hidden="1">{"'자리배치도'!$AG$1:$CI$28"}</definedName>
    <definedName name="바닥">'[90]토사(PE)'!#REF!</definedName>
    <definedName name="바보" localSheetId="4">BlankMacro1</definedName>
    <definedName name="바보" localSheetId="1">BlankMacro1</definedName>
    <definedName name="바보">BlankMacro1</definedName>
    <definedName name="바이브레타공">[96]노임단가!$C$10</definedName>
    <definedName name="바이브레타공1" localSheetId="4">#REF!</definedName>
    <definedName name="바이브레타공1" localSheetId="1">#REF!</definedName>
    <definedName name="바이브레타공1">#REF!</definedName>
    <definedName name="박리재중유" localSheetId="4">#REF!</definedName>
    <definedName name="박리재중유">#REF!</definedName>
    <definedName name="박리재중유1" localSheetId="4">#REF!</definedName>
    <definedName name="박리재중유1">#REF!</definedName>
    <definedName name="박스" localSheetId="4">#REF!</definedName>
    <definedName name="박스">#REF!</definedName>
    <definedName name="반영">[101]노무비!$B$2</definedName>
    <definedName name="반영근">[101]노무비!$B$10</definedName>
    <definedName name="반영근1">[101]노무비!$B$8</definedName>
    <definedName name="반자동1기" localSheetId="4" hidden="1">{#N/A,#N/A,FALSE,"전력간선"}</definedName>
    <definedName name="반자동1기" localSheetId="1" hidden="1">{#N/A,#N/A,FALSE,"전력간선"}</definedName>
    <definedName name="반자동1기" hidden="1">{#N/A,#N/A,FALSE,"전력간선"}</definedName>
    <definedName name="발전기" localSheetId="4">#REF!</definedName>
    <definedName name="발전기" localSheetId="1">#REF!</definedName>
    <definedName name="발전기">#REF!</definedName>
    <definedName name="밧데리" localSheetId="4">#REF!</definedName>
    <definedName name="밧데리" localSheetId="1">#REF!</definedName>
    <definedName name="밧데리">#REF!</definedName>
    <definedName name="방" localSheetId="4">#REF!</definedName>
    <definedName name="방" localSheetId="1">#REF!</definedName>
    <definedName name="방">#REF!</definedName>
    <definedName name="방송" localSheetId="4">#REF!</definedName>
    <definedName name="방송">#REF!</definedName>
    <definedName name="방송공량" localSheetId="4">#REF!</definedName>
    <definedName name="방송공량" localSheetId="1">#REF!</definedName>
    <definedName name="방송공량">#REF!</definedName>
    <definedName name="방송설비" localSheetId="4">#REF!</definedName>
    <definedName name="방송설비">#REF!</definedName>
    <definedName name="방수공">[113]노임!$B$7</definedName>
    <definedName name="배_관_공">[114]노임단가!$F$8</definedName>
    <definedName name="배관" localSheetId="4">#REF!</definedName>
    <definedName name="배관" localSheetId="1">#REF!</definedName>
    <definedName name="배관">#REF!</definedName>
    <definedName name="배관공" localSheetId="4">#REF!</definedName>
    <definedName name="배관공">#REF!</definedName>
    <definedName name="배관공1" localSheetId="4">#REF!</definedName>
    <definedName name="배관공1">#REF!</definedName>
    <definedName name="배관공수율" hidden="1">'[115]N賃率-職'!$I$5:$I$30</definedName>
    <definedName name="배관및굴착" localSheetId="4" hidden="1">{"'자리배치도'!$AG$1:$CI$28"}</definedName>
    <definedName name="배관및굴착" localSheetId="1" hidden="1">{"'자리배치도'!$AG$1:$CI$28"}</definedName>
    <definedName name="배관및굴착" hidden="1">{"'자리배치도'!$AG$1:$CI$28"}</definedName>
    <definedName name="배관배선산출근거양식">[116]을지!$A$1:$IV$2</definedName>
    <definedName name="배관자재중량">[117]단가!$C$51:$I$60</definedName>
    <definedName name="배선" localSheetId="4">#REF!</definedName>
    <definedName name="배선" localSheetId="1">#REF!</definedName>
    <definedName name="배선">#REF!</definedName>
    <definedName name="배선기구" localSheetId="4">#REF!</definedName>
    <definedName name="배선기구">#REF!</definedName>
    <definedName name="배수파이프50노" localSheetId="4">#REF!</definedName>
    <definedName name="배수파이프50노">#REF!</definedName>
    <definedName name="배수파이프50재" localSheetId="4">#REF!</definedName>
    <definedName name="배수파이프50재">#REF!</definedName>
    <definedName name="배전" localSheetId="4">#REF!</definedName>
    <definedName name="배전">#REF!</definedName>
    <definedName name="배전반" localSheetId="4">#REF!</definedName>
    <definedName name="배전반">#REF!</definedName>
    <definedName name="배전반1" localSheetId="4">#REF!</definedName>
    <definedName name="배전반1">#REF!</definedName>
    <definedName name="배전반자재단가영" localSheetId="4">#REF!</definedName>
    <definedName name="배전반자재단가영">#REF!</definedName>
    <definedName name="배전전공" localSheetId="4">#REF!</definedName>
    <definedName name="배전전공">#REF!</definedName>
    <definedName name="백02간재">'[87]기계경비(시간당)'!$H$161</definedName>
    <definedName name="백02간재티스제외">'[87]기계경비(시간당)'!$H$162</definedName>
    <definedName name="백02노무">'[87]기계경비(시간당)'!$H$153</definedName>
    <definedName name="백02노무야간">'[87]기계경비(시간당)'!$H$157</definedName>
    <definedName name="백02손료">'[87]기계경비(시간당)'!$H$149</definedName>
    <definedName name="백04간재">'[87]기계경비(시간당)'!$F$145</definedName>
    <definedName name="백04간재티스제외">'[87]기계경비(시간당)'!$H$146</definedName>
    <definedName name="백04노무">'[87]기계경비(시간당)'!$H$137</definedName>
    <definedName name="백04노무야간">'[87]기계경비(시간당)'!$H$141</definedName>
    <definedName name="백04손료">'[87]기계경비(시간당)'!$H$133</definedName>
    <definedName name="백07간재">'[87]기계경비(시간당)'!$H$129</definedName>
    <definedName name="백07노무">'[87]기계경비(시간당)'!$H$121</definedName>
    <definedName name="백07손료">'[87]기계경비(시간당)'!$H$117</definedName>
    <definedName name="백호04경" localSheetId="4">#REF!</definedName>
    <definedName name="백호04경" localSheetId="1">#REF!</definedName>
    <definedName name="백호04경">#REF!</definedName>
    <definedName name="백호04노" localSheetId="4">#REF!</definedName>
    <definedName name="백호04노">#REF!</definedName>
    <definedName name="백호04재" localSheetId="4">#REF!</definedName>
    <definedName name="백호04재">#REF!</definedName>
    <definedName name="백호07경" localSheetId="4">#REF!</definedName>
    <definedName name="백호07경">#REF!</definedName>
    <definedName name="백호07노" localSheetId="4">#REF!</definedName>
    <definedName name="백호07노">#REF!</definedName>
    <definedName name="백호07재" localSheetId="4">#REF!</definedName>
    <definedName name="백호07재">#REF!</definedName>
    <definedName name="밸브" localSheetId="4">#REF!</definedName>
    <definedName name="밸브">#REF!</definedName>
    <definedName name="뱌">#N/A</definedName>
    <definedName name="버팀1단" localSheetId="4">[44]가시설단위수량!$D$10</definedName>
    <definedName name="버팀1단">[45]가시설단위수량!$D$10</definedName>
    <definedName name="버팀2단" localSheetId="4">[44]가시설단위수량!$D$11</definedName>
    <definedName name="버팀2단">[45]가시설단위수량!$D$11</definedName>
    <definedName name="번들1호" localSheetId="4">#REF!</definedName>
    <definedName name="번들1호" localSheetId="1">#REF!</definedName>
    <definedName name="번들1호">#REF!</definedName>
    <definedName name="번들2호" localSheetId="4">#REF!</definedName>
    <definedName name="번들2호">#REF!</definedName>
    <definedName name="번들3호" localSheetId="4">#REF!</definedName>
    <definedName name="번들3호">#REF!</definedName>
    <definedName name="번호" localSheetId="2">#REF!</definedName>
    <definedName name="번호" localSheetId="4">#REF!</definedName>
    <definedName name="번호">#REF!</definedName>
    <definedName name="벌목부" localSheetId="4">#REF!</definedName>
    <definedName name="벌목부">#REF!</definedName>
    <definedName name="벌목부1" localSheetId="4">#REF!</definedName>
    <definedName name="벌목부1">#REF!</definedName>
    <definedName name="법원원천사" localSheetId="2">#REF!</definedName>
    <definedName name="법원원천사" localSheetId="4">#REF!</definedName>
    <definedName name="법원원천사" localSheetId="1">#REF!</definedName>
    <definedName name="법원원천사">#REF!</definedName>
    <definedName name="벼">#N/A</definedName>
    <definedName name="변동경비" localSheetId="4">#REF!</definedName>
    <definedName name="변동경비" localSheetId="1">#REF!</definedName>
    <definedName name="변동경비">#REF!</definedName>
    <definedName name="변압기" localSheetId="4">#REF!</definedName>
    <definedName name="변압기" localSheetId="1">#REF!</definedName>
    <definedName name="변압기">#REF!</definedName>
    <definedName name="변압기1" localSheetId="4">#REF!</definedName>
    <definedName name="변압기1">#REF!</definedName>
    <definedName name="별도공사" localSheetId="4">#REF!</definedName>
    <definedName name="별도공사">#REF!</definedName>
    <definedName name="보">#N/A</definedName>
    <definedName name="보링공">[96]노임단가!$F$20</definedName>
    <definedName name="보링공1" localSheetId="4">#REF!</definedName>
    <definedName name="보링공1" localSheetId="1">#REF!</definedName>
    <definedName name="보링공1">#REF!</definedName>
    <definedName name="보인" localSheetId="4">#REF!</definedName>
    <definedName name="보인">#REF!</definedName>
    <definedName name="보중" localSheetId="4" hidden="1">{#N/A,#N/A,FALSE,"전력간선"}</definedName>
    <definedName name="보중" localSheetId="1" hidden="1">{#N/A,#N/A,FALSE,"전력간선"}</definedName>
    <definedName name="보중" hidden="1">{#N/A,#N/A,FALSE,"전력간선"}</definedName>
    <definedName name="보통" localSheetId="4">#REF!</definedName>
    <definedName name="보통" localSheetId="1">#REF!</definedName>
    <definedName name="보통">#REF!</definedName>
    <definedName name="보통니부1" localSheetId="4">#REF!</definedName>
    <definedName name="보통니부1" localSheetId="1">#REF!</definedName>
    <definedName name="보통니부1">#REF!</definedName>
    <definedName name="보통선원" localSheetId="4">#REF!</definedName>
    <definedName name="보통선원">#REF!</definedName>
    <definedName name="보통선원1" localSheetId="4">#REF!</definedName>
    <definedName name="보통선원1">#REF!</definedName>
    <definedName name="보통선원노무비" localSheetId="4">#REF!</definedName>
    <definedName name="보통선원노무비">#REF!</definedName>
    <definedName name="보통인부">[113]노임!$B$14</definedName>
    <definedName name="보통인부1" localSheetId="4">#REF!</definedName>
    <definedName name="보통인부1" localSheetId="1">#REF!</definedName>
    <definedName name="보통인부1">#REF!</definedName>
    <definedName name="보통인부11" localSheetId="4">#REF!</definedName>
    <definedName name="보통인부11">#REF!</definedName>
    <definedName name="보험1" localSheetId="4">#REF!</definedName>
    <definedName name="보험1">#REF!</definedName>
    <definedName name="보험료" localSheetId="4">#REF!</definedName>
    <definedName name="보험료" localSheetId="1">#REF!</definedName>
    <definedName name="보험료">#REF!</definedName>
    <definedName name="부__가___가__치__세" localSheetId="4">#REF!</definedName>
    <definedName name="부__가___가__치__세">#REF!</definedName>
    <definedName name="부가1" localSheetId="4">#REF!</definedName>
    <definedName name="부가1">#REF!</definedName>
    <definedName name="부가가치세" localSheetId="4">#REF!</definedName>
    <definedName name="부가가치세" localSheetId="1">#REF!</definedName>
    <definedName name="부가가치세">#REF!</definedName>
    <definedName name="부가가치세2" localSheetId="4">#REF!</definedName>
    <definedName name="부가가치세2">#REF!</definedName>
    <definedName name="부가가치세4" localSheetId="4">#REF!</definedName>
    <definedName name="부가가치세4">#REF!</definedName>
    <definedName name="부가세" localSheetId="4">#REF!</definedName>
    <definedName name="부가세" localSheetId="1">#REF!</definedName>
    <definedName name="부가세">#REF!</definedName>
    <definedName name="부대1" localSheetId="4">#REF!</definedName>
    <definedName name="부대1">#REF!</definedName>
    <definedName name="부대비산출내역1" localSheetId="4">#REF!</definedName>
    <definedName name="부대비산출내역1">#REF!</definedName>
    <definedName name="부스닥트" localSheetId="4">#REF!</definedName>
    <definedName name="부스닥트">#REF!</definedName>
    <definedName name="부직포" localSheetId="4">#REF!</definedName>
    <definedName name="부직포">#REF!</definedName>
    <definedName name="부직포1" localSheetId="4">#REF!</definedName>
    <definedName name="부직포1">#REF!</definedName>
    <definedName name="분석" localSheetId="1">표지!분석</definedName>
    <definedName name="분석">#N/A</definedName>
    <definedName name="분전반" localSheetId="4">#REF!</definedName>
    <definedName name="분전반" localSheetId="1">#REF!</definedName>
    <definedName name="분전반">#REF!</definedName>
    <definedName name="분전함신설합계">[118]분전함신설!$S$29</definedName>
    <definedName name="불도져19경" localSheetId="4">#REF!</definedName>
    <definedName name="불도져19경" localSheetId="1">#REF!</definedName>
    <definedName name="불도져19경">#REF!</definedName>
    <definedName name="불도져19노" localSheetId="4">#REF!</definedName>
    <definedName name="불도져19노">#REF!</definedName>
    <definedName name="불도져19재" localSheetId="4">#REF!</definedName>
    <definedName name="불도져19재">#REF!</definedName>
    <definedName name="브">#N/A</definedName>
    <definedName name="브02간재구조물">'[87]기계경비(시간당)'!$H$112</definedName>
    <definedName name="브02노무">'[87]기계경비(시간당)'!$H$110</definedName>
    <definedName name="브02노무야간">'[87]기계경비(시간당)'!$H$111</definedName>
    <definedName name="브02손료">'[87]기계경비(시간당)'!$H$109</definedName>
    <definedName name="브04간재구조물">'[87]기계경비(시간당)'!$H$105</definedName>
    <definedName name="브04노무">'[87]기계경비(시간당)'!$H$103</definedName>
    <definedName name="브04노무야간">'[87]기계경비(시간당)'!$H$104</definedName>
    <definedName name="브04손료">'[87]기계경비(시간당)'!$H$102</definedName>
    <definedName name="브레이드">'[87]기계경비(시간당)'!$D$28</definedName>
    <definedName name="블레이드" localSheetId="4">#REF!</definedName>
    <definedName name="블레이드" localSheetId="1">#REF!</definedName>
    <definedName name="블레이드">#REF!</definedName>
    <definedName name="비">#N/A</definedName>
    <definedName name="비______목" localSheetId="4">#REF!</definedName>
    <definedName name="비______목" localSheetId="1">#REF!</definedName>
    <definedName name="비______목">#REF!</definedName>
    <definedName name="비계">[26]맨홀수량산출!$AE$27</definedName>
    <definedName name="비계공">[96]노임단가!$F$13</definedName>
    <definedName name="비계공1" localSheetId="4">#REF!</definedName>
    <definedName name="비계공1" localSheetId="1">#REF!</definedName>
    <definedName name="비계공1">#REF!</definedName>
    <definedName name="비고" localSheetId="4">#REF!</definedName>
    <definedName name="비고" localSheetId="1">#REF!</definedName>
    <definedName name="비고">#REF!</definedName>
    <definedName name="비목1" localSheetId="4">#REF!</definedName>
    <definedName name="비목1">#REF!</definedName>
    <definedName name="비목2" localSheetId="4">#REF!</definedName>
    <definedName name="비목2">#REF!</definedName>
    <definedName name="비목3" localSheetId="4">#REF!</definedName>
    <definedName name="비목3">#REF!</definedName>
    <definedName name="비목4" localSheetId="4">#REF!</definedName>
    <definedName name="비목4">#REF!</definedName>
    <definedName name="비율" localSheetId="4">#REF!</definedName>
    <definedName name="비율">#REF!</definedName>
    <definedName name="빌딩통합관리" localSheetId="4">[0]!BlankMacro1</definedName>
    <definedName name="빌딩통합관리" localSheetId="1">[0]!BlankMacro1</definedName>
    <definedName name="빌딩통합관리">[0]!BlankMacro1</definedName>
    <definedName name="빌딩통합관리3" localSheetId="4">[0]!BlankMacro1</definedName>
    <definedName name="빌딩통합관리3" localSheetId="1">[0]!BlankMacro1</definedName>
    <definedName name="빌딩통합관리3">[0]!BlankMacro1</definedName>
    <definedName name="빔제작단가개정표준도적용" localSheetId="4" hidden="1">{"'자리배치도'!$AG$1:$CI$28"}</definedName>
    <definedName name="빔제작단가개정표준도적용" localSheetId="1" hidden="1">{"'자리배치도'!$AG$1:$CI$28"}</definedName>
    <definedName name="빔제작단가개정표준도적용" hidden="1">{"'자리배치도'!$AG$1:$CI$28"}</definedName>
    <definedName name="빗트">#REF!</definedName>
    <definedName name="ㅄ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ㅄ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ㅄ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ㅅ" localSheetId="4" hidden="1">{#N/A,#N/A,TRUE,"토적및재료집계";#N/A,#N/A,TRUE,"토적및재료집계";#N/A,#N/A,TRUE,"단위량"}</definedName>
    <definedName name="ㅅ" localSheetId="1" hidden="1">{#N/A,#N/A,TRUE,"토적및재료집계";#N/A,#N/A,TRUE,"토적및재료집계";#N/A,#N/A,TRUE,"단위량"}</definedName>
    <definedName name="ㅅ" hidden="1">{#N/A,#N/A,TRUE,"토적및재료집계";#N/A,#N/A,TRUE,"토적및재료집계";#N/A,#N/A,TRUE,"단위량"}</definedName>
    <definedName name="ㅅㅅ" localSheetId="4" hidden="1">{#N/A,#N/A,FALSE,"전력간선"}</definedName>
    <definedName name="ㅅㅅ" localSheetId="1" hidden="1">{#N/A,#N/A,FALSE,"전력간선"}</definedName>
    <definedName name="ㅅㅅ" hidden="1">{#N/A,#N/A,FALSE,"전력간선"}</definedName>
    <definedName name="ㅅㅅㅅ" localSheetId="4" hidden="1">{#N/A,#N/A,FALSE,"전력간선"}</definedName>
    <definedName name="ㅅㅅㅅ" localSheetId="1" hidden="1">{#N/A,#N/A,FALSE,"전력간선"}</definedName>
    <definedName name="ㅅㅅㅅ" hidden="1">{#N/A,#N/A,FALSE,"전력간선"}</definedName>
    <definedName name="사" localSheetId="4" hidden="1">{"'자리배치도'!$AG$1:$CI$28"}</definedName>
    <definedName name="사" localSheetId="1" hidden="1">{"'자리배치도'!$AG$1:$CI$28"}</definedName>
    <definedName name="사" hidden="1">{"'자리배치도'!$AG$1:$CI$28"}</definedName>
    <definedName name="사__급___자__재__비">#REF!</definedName>
    <definedName name="사과나무" localSheetId="4">BlankMacro1</definedName>
    <definedName name="사과나무" localSheetId="1">BlankMacro1</definedName>
    <definedName name="사과나무">BlankMacro1</definedName>
    <definedName name="사다리">[26]맨홀수량산출!$AE$32</definedName>
    <definedName name="사번">[119]Sheet1!$B$2:$C$171</definedName>
    <definedName name="사번및이름" localSheetId="4">#REF!</definedName>
    <definedName name="사번및이름" localSheetId="1">#REF!</definedName>
    <definedName name="사번및이름">#REF!</definedName>
    <definedName name="사용인감" localSheetId="4">#REF!</definedName>
    <definedName name="사용인감">#REF!</definedName>
    <definedName name="사용인감계" localSheetId="4">#REF!</definedName>
    <definedName name="사용인감계">#REF!</definedName>
    <definedName name="사용전검사비2" localSheetId="4">#REF!</definedName>
    <definedName name="사용전검사비2">#REF!</definedName>
    <definedName name="사정율" localSheetId="4">#REF!</definedName>
    <definedName name="사정율">#REF!</definedName>
    <definedName name="사토경" localSheetId="4">#REF!</definedName>
    <definedName name="사토경">#REF!</definedName>
    <definedName name="사토노" localSheetId="4">#REF!</definedName>
    <definedName name="사토노">#REF!</definedName>
    <definedName name="사토재" localSheetId="4">#REF!</definedName>
    <definedName name="사토재">#REF!</definedName>
    <definedName name="산재보험료" localSheetId="4">#REF!</definedName>
    <definedName name="산재보험료">#REF!</definedName>
    <definedName name="산재보험료..입력" localSheetId="4">[98]갑지!#REF!</definedName>
    <definedName name="산재보험료..입력">[98]갑지!#REF!</definedName>
    <definedName name="산재보험료__입력" localSheetId="4">[71]갑지!#REF!</definedName>
    <definedName name="산재보험료__입력">[71]갑지!#REF!</definedName>
    <definedName name="산재보험료2" localSheetId="4">#REF!</definedName>
    <definedName name="산재보험료2" localSheetId="1">#REF!</definedName>
    <definedName name="산재보험료2">#REF!</definedName>
    <definedName name="산재보험료4" localSheetId="4">#REF!</definedName>
    <definedName name="산재보험료4">#REF!</definedName>
    <definedName name="산재보험료요율" localSheetId="4">[71]갑지!#REF!</definedName>
    <definedName name="산재보험료요율">[71]갑지!#REF!</definedName>
    <definedName name="산출2" localSheetId="4">BlankMacro1</definedName>
    <definedName name="산출2" localSheetId="1">BlankMacro1</definedName>
    <definedName name="산출2">BlankMacro1</definedName>
    <definedName name="산출경비" localSheetId="4">#REF!</definedName>
    <definedName name="산출경비" localSheetId="1">#REF!</definedName>
    <definedName name="산출경비">#REF!</definedName>
    <definedName name="산출근거">[116]을지!$A$1:$IV$2</definedName>
    <definedName name="산출근거1" localSheetId="4">#REF!</definedName>
    <definedName name="산출근거1" localSheetId="1">#REF!</definedName>
    <definedName name="산출근거1">#REF!</definedName>
    <definedName name="산출내역" localSheetId="4">#REF!</definedName>
    <definedName name="산출내역">#REF!</definedName>
    <definedName name="산출내역서" localSheetId="4">#N/A</definedName>
    <definedName name="산출내역서" localSheetId="1">표지!산출내역서</definedName>
    <definedName name="산출내역서">[0]!산출내역서</definedName>
    <definedName name="상림1호" localSheetId="4">#REF!</definedName>
    <definedName name="상림1호" localSheetId="1">#REF!</definedName>
    <definedName name="상림1호">#REF!</definedName>
    <definedName name="상림2호" localSheetId="4">#REF!</definedName>
    <definedName name="상림2호" localSheetId="1">#REF!</definedName>
    <definedName name="상림2호">#REF!</definedName>
    <definedName name="상림3호" localSheetId="4">#REF!</definedName>
    <definedName name="상림3호">#REF!</definedName>
    <definedName name="상부" localSheetId="4">'[90]토사(PE)'!#REF!</definedName>
    <definedName name="상부">'[90]토사(PE)'!#REF!</definedName>
    <definedName name="생사1호" localSheetId="4">#REF!</definedName>
    <definedName name="생사1호" localSheetId="1">#REF!</definedName>
    <definedName name="생사1호">#REF!</definedName>
    <definedName name="생사2호" localSheetId="4">#REF!</definedName>
    <definedName name="생사2호">#REF!</definedName>
    <definedName name="생사기존" localSheetId="4">#REF!</definedName>
    <definedName name="생사기존">#REF!</definedName>
    <definedName name="샤">#N/A</definedName>
    <definedName name="석공">[96]노임단가!$C$9</definedName>
    <definedName name="석공1" localSheetId="4">#REF!</definedName>
    <definedName name="석공1" localSheetId="1">#REF!</definedName>
    <definedName name="석공1">#REF!</definedName>
    <definedName name="선량1호" localSheetId="4">#REF!</definedName>
    <definedName name="선량1호">#REF!</definedName>
    <definedName name="선량2호" localSheetId="4">#REF!</definedName>
    <definedName name="선량2호">#REF!</definedName>
    <definedName name="선량3호" localSheetId="4">#REF!</definedName>
    <definedName name="선량3호">#REF!</definedName>
    <definedName name="선량4호" localSheetId="4">#REF!</definedName>
    <definedName name="선량4호">#REF!</definedName>
    <definedName name="선량5호" localSheetId="4">#REF!</definedName>
    <definedName name="선량5호">#REF!</definedName>
    <definedName name="선로신설" localSheetId="4">#REF!</definedName>
    <definedName name="선로신설" localSheetId="1">#REF!</definedName>
    <definedName name="선로신설">#REF!</definedName>
    <definedName name="선로철거" localSheetId="4">#REF!</definedName>
    <definedName name="선로철거" localSheetId="1">#REF!</definedName>
    <definedName name="선로철거">#REF!</definedName>
    <definedName name="설" localSheetId="4">#REF!</definedName>
    <definedName name="설">#REF!</definedName>
    <definedName name="설계_342427000감리_862426000__5" localSheetId="4">[58]조건!#REF!</definedName>
    <definedName name="설계_342427000감리_862426000__5">[58]조건!#REF!</definedName>
    <definedName name="설계내역" localSheetId="4">#REF!</definedName>
    <definedName name="설계내역" localSheetId="1">#REF!</definedName>
    <definedName name="설계내역">#REF!</definedName>
    <definedName name="설계서1" localSheetId="4">#REF!</definedName>
    <definedName name="설계서1">#REF!</definedName>
    <definedName name="설계설명서2" localSheetId="4" hidden="1">{#N/A,#N/A,FALSE,"전력간선"}</definedName>
    <definedName name="설계설명서2" localSheetId="1" hidden="1">{#N/A,#N/A,FALSE,"전력간선"}</definedName>
    <definedName name="설계설명서2" hidden="1">{#N/A,#N/A,FALSE,"전력간선"}</definedName>
    <definedName name="설계설명서3" localSheetId="4" hidden="1">{#N/A,#N/A,FALSE,"전력간선"}</definedName>
    <definedName name="설계설명서3" localSheetId="1" hidden="1">{#N/A,#N/A,FALSE,"전력간선"}</definedName>
    <definedName name="설계설명서3" hidden="1">{#N/A,#N/A,FALSE,"전력간선"}</definedName>
    <definedName name="설계설명서4" localSheetId="4" hidden="1">{#N/A,#N/A,FALSE,"전력간선"}</definedName>
    <definedName name="설계설명서4" localSheetId="1" hidden="1">{#N/A,#N/A,FALSE,"전력간선"}</definedName>
    <definedName name="설계설명서4" hidden="1">{#N/A,#N/A,FALSE,"전력간선"}</definedName>
    <definedName name="설계표지" localSheetId="4">#REF!</definedName>
    <definedName name="설계표지" localSheetId="1">#REF!</definedName>
    <definedName name="설계표지">#REF!</definedName>
    <definedName name="설비" localSheetId="4" hidden="1">{#N/A,#N/A,TRUE,"토적및재료집계";#N/A,#N/A,TRUE,"토적및재료집계";#N/A,#N/A,TRUE,"단위량"}</definedName>
    <definedName name="설비" localSheetId="1" hidden="1">{#N/A,#N/A,TRUE,"토적및재료집계";#N/A,#N/A,TRUE,"토적및재료집계";#N/A,#N/A,TRUE,"단위량"}</definedName>
    <definedName name="설비" hidden="1">{#N/A,#N/A,TRUE,"토적및재료집계";#N/A,#N/A,TRUE,"토적및재료집계";#N/A,#N/A,TRUE,"단위량"}</definedName>
    <definedName name="설치공사비" localSheetId="4" hidden="1">{#N/A,#N/A,FALSE,"전력간선"}</definedName>
    <definedName name="설치공사비" localSheetId="1" hidden="1">{#N/A,#N/A,FALSE,"전력간선"}</definedName>
    <definedName name="설치공사비" hidden="1">{#N/A,#N/A,FALSE,"전력간선"}</definedName>
    <definedName name="성산1호" localSheetId="4">#REF!</definedName>
    <definedName name="성산1호" localSheetId="1">#REF!</definedName>
    <definedName name="성산1호">#REF!</definedName>
    <definedName name="성산2호" localSheetId="4">#REF!</definedName>
    <definedName name="성산2호" localSheetId="1">#REF!</definedName>
    <definedName name="성산2호">#REF!</definedName>
    <definedName name="성산3호" localSheetId="4">#REF!</definedName>
    <definedName name="성산3호">#REF!</definedName>
    <definedName name="성산4호" localSheetId="4">#REF!</definedName>
    <definedName name="성산4호">#REF!</definedName>
    <definedName name="성산5호" localSheetId="4">#REF!</definedName>
    <definedName name="성산5호">#REF!</definedName>
    <definedName name="세부내역" localSheetId="4">#REF!</definedName>
    <definedName name="세부내역" localSheetId="1">#REF!</definedName>
    <definedName name="세부내역">#REF!</definedName>
    <definedName name="세부내역서_박" localSheetId="4" hidden="1">{"'자리배치도'!$AG$1:$CI$28"}</definedName>
    <definedName name="세부내역서_박" localSheetId="1" hidden="1">{"'자리배치도'!$AG$1:$CI$28"}</definedName>
    <definedName name="세부내역서_박" hidden="1">{"'자리배치도'!$AG$1:$CI$28"}</definedName>
    <definedName name="세부심사평가내역" localSheetId="4">#N/A</definedName>
    <definedName name="세부심사평가내역" localSheetId="1">표지!세부심사평가내역</definedName>
    <definedName name="세부심사평가내역">[0]!세부심사평가내역</definedName>
    <definedName name="센터" localSheetId="4">#REF!</definedName>
    <definedName name="센터" localSheetId="1">#REF!</definedName>
    <definedName name="센터">#REF!</definedName>
    <definedName name="셔">#N/A</definedName>
    <definedName name="소">#N/A</definedName>
    <definedName name="소거" localSheetId="4">#REF!</definedName>
    <definedName name="소거" localSheetId="1">#REF!</definedName>
    <definedName name="소거">#REF!</definedName>
    <definedName name="소계" localSheetId="4">#REF!</definedName>
    <definedName name="소계" localSheetId="1">#REF!</definedName>
    <definedName name="소계">#REF!</definedName>
    <definedName name="소방" localSheetId="4">#REF!</definedName>
    <definedName name="소방">#REF!</definedName>
    <definedName name="소비자가격" localSheetId="4">BlankMacro1</definedName>
    <definedName name="소비자가격" localSheetId="1">BlankMacro1</definedName>
    <definedName name="소비자가격">BlankMacro1</definedName>
    <definedName name="소켓무게">[120]DATE!$G$24:$G$79</definedName>
    <definedName name="소형B손료">'[87]기계경비(시간당)'!$H$240</definedName>
    <definedName name="소화갑지" localSheetId="4" hidden="1">{#N/A,#N/A,FALSE,"CCTV"}</definedName>
    <definedName name="소화갑지" localSheetId="1" hidden="1">{#N/A,#N/A,FALSE,"CCTV"}</definedName>
    <definedName name="소화갑지" hidden="1">{#N/A,#N/A,FALSE,"CCTV"}</definedName>
    <definedName name="속" localSheetId="4">#REF!</definedName>
    <definedName name="속" localSheetId="1">#REF!</definedName>
    <definedName name="속">#REF!</definedName>
    <definedName name="송수관로구경" localSheetId="4">#REF!</definedName>
    <definedName name="송수관로구경" localSheetId="1">#REF!</definedName>
    <definedName name="송수관로구경">#REF!</definedName>
    <definedName name="송천1" localSheetId="4">#REF!</definedName>
    <definedName name="송천1">#REF!</definedName>
    <definedName name="송천2" localSheetId="4">#REF!</definedName>
    <definedName name="송천2">#REF!</definedName>
    <definedName name="수" localSheetId="4">#REF!</definedName>
    <definedName name="수" localSheetId="1">#REF!</definedName>
    <definedName name="수">#REF!</definedName>
    <definedName name="수2" localSheetId="4" hidden="1">{#N/A,#N/A,TRUE,"토적및재료집계";#N/A,#N/A,TRUE,"토적및재료집계";#N/A,#N/A,TRUE,"단위량"}</definedName>
    <definedName name="수2" localSheetId="1" hidden="1">{#N/A,#N/A,TRUE,"토적및재료집계";#N/A,#N/A,TRUE,"토적및재료집계";#N/A,#N/A,TRUE,"단위량"}</definedName>
    <definedName name="수2" hidden="1">{#N/A,#N/A,TRUE,"토적및재료집계";#N/A,#N/A,TRUE,"토적및재료집계";#N/A,#N/A,TRUE,"단위량"}</definedName>
    <definedName name="수3" localSheetId="4" hidden="1">{#N/A,#N/A,TRUE,"토적및재료집계";#N/A,#N/A,TRUE,"토적및재료집계";#N/A,#N/A,TRUE,"단위량"}</definedName>
    <definedName name="수3" localSheetId="1" hidden="1">{#N/A,#N/A,TRUE,"토적및재료집계";#N/A,#N/A,TRUE,"토적및재료집계";#N/A,#N/A,TRUE,"단위량"}</definedName>
    <definedName name="수3" hidden="1">{#N/A,#N/A,TRUE,"토적및재료집계";#N/A,#N/A,TRUE,"토적및재료집계";#N/A,#N/A,TRUE,"단위량"}</definedName>
    <definedName name="수급인상호" localSheetId="4">#REF!</definedName>
    <definedName name="수급인상호" localSheetId="1">#REF!</definedName>
    <definedName name="수급인상호">#REF!</definedName>
    <definedName name="수급인성명" localSheetId="4">#REF!</definedName>
    <definedName name="수급인성명" localSheetId="1">#REF!</definedName>
    <definedName name="수급인성명">#REF!</definedName>
    <definedName name="수급인주소" localSheetId="4">#REF!</definedName>
    <definedName name="수급인주소" localSheetId="1">#REF!</definedName>
    <definedName name="수급인주소">#REF!</definedName>
    <definedName name="수도광열비" localSheetId="4">#REF!</definedName>
    <definedName name="수도광열비">#REF!</definedName>
    <definedName name="수도료" localSheetId="4">#REF!</definedName>
    <definedName name="수도료">#REF!</definedName>
    <definedName name="수량" localSheetId="4">#REF!</definedName>
    <definedName name="수량" localSheetId="1">#REF!</definedName>
    <definedName name="수량">#REF!</definedName>
    <definedName name="수량1" localSheetId="4">[121]맨홀수량!#REF!</definedName>
    <definedName name="수량1" localSheetId="1">[121]맨홀수량!#REF!</definedName>
    <definedName name="수량1">[121]맨홀수량!#REF!</definedName>
    <definedName name="수량계산" localSheetId="4">#REF!</definedName>
    <definedName name="수량계산" localSheetId="1">#REF!</definedName>
    <definedName name="수량계산">#REF!</definedName>
    <definedName name="수량산출" localSheetId="4">#REF!</definedName>
    <definedName name="수량산출">#REF!</definedName>
    <definedName name="수량산출서" localSheetId="4">[122]단가산출!#REF!</definedName>
    <definedName name="수량산출서" localSheetId="1">[123]단가산출!#REF!</definedName>
    <definedName name="수량산출서">[123]단가산출!#REF!</definedName>
    <definedName name="수량집계양" localSheetId="4">#REF!</definedName>
    <definedName name="수량집계양" localSheetId="1">#REF!</definedName>
    <definedName name="수량집계양">#REF!</definedName>
    <definedName name="수배전" localSheetId="4">#REF!</definedName>
    <definedName name="수배전">#REF!</definedName>
    <definedName name="수정">#N/A</definedName>
    <definedName name="수주대행료" localSheetId="4">#REF!</definedName>
    <definedName name="수주대행료" localSheetId="1">#REF!</definedName>
    <definedName name="수주대행료">#REF!</definedName>
    <definedName name="수주율" localSheetId="4">#REF!</definedName>
    <definedName name="수주율" localSheetId="1">#REF!</definedName>
    <definedName name="수주율">#REF!</definedName>
    <definedName name="수중모타1" localSheetId="4">#REF!</definedName>
    <definedName name="수중모타1">#REF!</definedName>
    <definedName name="수중모타10" localSheetId="4">#REF!</definedName>
    <definedName name="수중모타10">#REF!</definedName>
    <definedName name="수중모타15" localSheetId="4">#REF!</definedName>
    <definedName name="수중모타15">#REF!</definedName>
    <definedName name="수중모타2" localSheetId="4">#REF!</definedName>
    <definedName name="수중모타2">#REF!</definedName>
    <definedName name="수중모타20" localSheetId="4">#REF!</definedName>
    <definedName name="수중모타20">#REF!</definedName>
    <definedName name="수중모타25" localSheetId="4">#REF!</definedName>
    <definedName name="수중모타25">#REF!</definedName>
    <definedName name="수중모타3" localSheetId="4">#REF!</definedName>
    <definedName name="수중모타3">#REF!</definedName>
    <definedName name="수중모타30" localSheetId="4">#REF!</definedName>
    <definedName name="수중모타30">#REF!</definedName>
    <definedName name="수중모타5" localSheetId="4">#REF!</definedName>
    <definedName name="수중모타5">#REF!</definedName>
    <definedName name="수중모타7.5" localSheetId="4">#REF!</definedName>
    <definedName name="수중모타7.5">#REF!</definedName>
    <definedName name="수중모터펌프단가" localSheetId="4">#REF!</definedName>
    <definedName name="수중모터펌프단가">#REF!</definedName>
    <definedName name="수중모터펌프중량">[117]단가!$C$66:$D$77</definedName>
    <definedName name="수중케이블단가" localSheetId="4">#REF!</definedName>
    <definedName name="수중케이블단가" localSheetId="1">#REF!</definedName>
    <definedName name="수중케이블단가">#REF!</definedName>
    <definedName name="수축이음" localSheetId="4">#REF!</definedName>
    <definedName name="수축이음">#REF!</definedName>
    <definedName name="순" localSheetId="4">#REF!</definedName>
    <definedName name="순">#REF!</definedName>
    <definedName name="순공사비" localSheetId="4">#REF!</definedName>
    <definedName name="순공사비">#REF!</definedName>
    <definedName name="순공사비2" localSheetId="4">#REF!</definedName>
    <definedName name="순공사비2">#REF!</definedName>
    <definedName name="순공사비4" localSheetId="4">#REF!</definedName>
    <definedName name="순공사비4">#REF!</definedName>
    <definedName name="순공사원가" localSheetId="4">#REF!</definedName>
    <definedName name="순공사원가">#REF!</definedName>
    <definedName name="순공사원가2" localSheetId="4">#REF!</definedName>
    <definedName name="순공사원가2">#REF!</definedName>
    <definedName name="순공사원가4" localSheetId="4">#REF!</definedName>
    <definedName name="순공사원가4">#REF!</definedName>
    <definedName name="스">#N/A</definedName>
    <definedName name="스튜디오소계" localSheetId="4">#REF!</definedName>
    <definedName name="스튜디오소계" localSheetId="1">#REF!</definedName>
    <definedName name="스튜디오소계">#REF!</definedName>
    <definedName name="스페이셔">[26]맨홀수량산출!$AE$34</definedName>
    <definedName name="승강기" localSheetId="4">#REF!</definedName>
    <definedName name="승강기" localSheetId="1">#REF!</definedName>
    <definedName name="승강기">#REF!</definedName>
    <definedName name="시">#N/A</definedName>
    <definedName name="시공이음">[26]맨홀수량산출!$AE$29</definedName>
    <definedName name="시공이음H" localSheetId="4">[44]단위수량!$G$10</definedName>
    <definedName name="시공이음H">[45]단위수량!$G$10</definedName>
    <definedName name="시설물" localSheetId="4" hidden="1">{#N/A,#N/A,FALSE,"전력간선"}</definedName>
    <definedName name="시설물" localSheetId="1" hidden="1">{#N/A,#N/A,FALSE,"전력간선"}</definedName>
    <definedName name="시설물" hidden="1">{#N/A,#N/A,FALSE,"전력간선"}</definedName>
    <definedName name="시행일자" localSheetId="4">#REF!</definedName>
    <definedName name="시행일자" localSheetId="1">#REF!</definedName>
    <definedName name="시행일자">#REF!</definedName>
    <definedName name="시행청">[85]설계산출표지!$B$21</definedName>
    <definedName name="시험" localSheetId="4">#REF!</definedName>
    <definedName name="시험" localSheetId="1">#REF!</definedName>
    <definedName name="시험">#REF!</definedName>
    <definedName name="신너" localSheetId="4">#REF!</definedName>
    <definedName name="신너">#REF!</definedName>
    <definedName name="신성" localSheetId="4" hidden="1">{#N/A,#N/A,TRUE,"손익보고"}</definedName>
    <definedName name="신성" localSheetId="1" hidden="1">{#N/A,#N/A,TRUE,"손익보고"}</definedName>
    <definedName name="신성" hidden="1">{#N/A,#N/A,TRUE,"손익보고"}</definedName>
    <definedName name="신성1" localSheetId="4">#REF!</definedName>
    <definedName name="신성1" localSheetId="1">#REF!</definedName>
    <definedName name="신성1">#REF!</definedName>
    <definedName name="신성2" localSheetId="4">#REF!</definedName>
    <definedName name="신성2" localSheetId="1">#REF!</definedName>
    <definedName name="신성2">#REF!</definedName>
    <definedName name="신성3" localSheetId="4">#REF!</definedName>
    <definedName name="신성3">#REF!</definedName>
    <definedName name="신성4" localSheetId="4">#REF!</definedName>
    <definedName name="신성4">#REF!</definedName>
    <definedName name="신성5" localSheetId="4">#REF!</definedName>
    <definedName name="신성5">#REF!</definedName>
    <definedName name="신성6" localSheetId="4">#REF!</definedName>
    <definedName name="신성6">#REF!</definedName>
    <definedName name="신성7" localSheetId="4">#REF!</definedName>
    <definedName name="신성7">#REF!</definedName>
    <definedName name="신천터널" localSheetId="4">BlankMacro1</definedName>
    <definedName name="신천터널" localSheetId="1">BlankMacro1</definedName>
    <definedName name="신천터널">BlankMacro1</definedName>
    <definedName name="신축이음" localSheetId="4">#REF!</definedName>
    <definedName name="신축이음" localSheetId="1">#REF!</definedName>
    <definedName name="신축이음">#REF!</definedName>
    <definedName name="신호">[124]인건비!$B$23</definedName>
    <definedName name="신호기" localSheetId="4">#N/A</definedName>
    <definedName name="신호기" localSheetId="1">표지!신호기</definedName>
    <definedName name="신호기">[0]!신호기</definedName>
    <definedName name="신호기용공배관">[92]!돌아가기</definedName>
    <definedName name="신흥1호" localSheetId="4">#REF!</definedName>
    <definedName name="신흥1호" localSheetId="1">#REF!</definedName>
    <definedName name="신흥1호">#REF!</definedName>
    <definedName name="신흥2호" localSheetId="4">#REF!</definedName>
    <definedName name="신흥2호">#REF!</definedName>
    <definedName name="실지준공년월일" localSheetId="4">#REF!</definedName>
    <definedName name="실지준공년월일" localSheetId="1">#REF!</definedName>
    <definedName name="실지준공년월일">#REF!</definedName>
    <definedName name="실행" localSheetId="4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실행" localSheetId="1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실행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실행분석" localSheetId="4" hidden="1">{"'PROFORMA'!$A$1:$H$120"}</definedName>
    <definedName name="실행분석" localSheetId="1" hidden="1">{"'PROFORMA'!$A$1:$H$120"}</definedName>
    <definedName name="실행분석" hidden="1">{"'PROFORMA'!$A$1:$H$120"}</definedName>
    <definedName name="실행분석1" localSheetId="4" hidden="1">{"'PROFORMA'!$A$1:$H$120"}</definedName>
    <definedName name="실행분석1" localSheetId="1" hidden="1">{"'PROFORMA'!$A$1:$H$120"}</definedName>
    <definedName name="실행분석1" hidden="1">{"'PROFORMA'!$A$1:$H$120"}</definedName>
    <definedName name="ㅇ">#REF!</definedName>
    <definedName name="ㅇㄴㄻㅇㄻㄴㄹㅇㅁㄴㅇㄹ" localSheetId="4" hidden="1">{"'용역비'!$A$4:$C$8"}</definedName>
    <definedName name="ㅇㄴㄻㅇㄻㄴㄹㅇㅁㄴㅇㄹ" localSheetId="1" hidden="1">{"'용역비'!$A$4:$C$8"}</definedName>
    <definedName name="ㅇㄴㄻㅇㄻㄴㄹㅇㅁㄴㅇㄹ" hidden="1">{"'용역비'!$A$4:$C$8"}</definedName>
    <definedName name="ㅇㄴㅇ" localSheetId="4" hidden="1">{"'자리배치도'!$AG$1:$CI$28"}</definedName>
    <definedName name="ㅇㄴㅇ" localSheetId="1" hidden="1">{"'자리배치도'!$AG$1:$CI$28"}</definedName>
    <definedName name="ㅇㄴㅇ" hidden="1">{"'자리배치도'!$AG$1:$CI$28"}</definedName>
    <definedName name="ㅇㄹ" localSheetId="4">[0]!BlankMacro1</definedName>
    <definedName name="ㅇㄹ" localSheetId="1">[0]!BlankMacro1</definedName>
    <definedName name="ㅇㄹ">[0]!BlankMacro1</definedName>
    <definedName name="ㅇㄹㄴ" localSheetId="4">#REF!</definedName>
    <definedName name="ㅇㄹㄴ" localSheetId="1">#REF!</definedName>
    <definedName name="ㅇㄹㄴ">#REF!</definedName>
    <definedName name="ㅇㄹㄴㅇㄹ" localSheetId="4">#REF!</definedName>
    <definedName name="ㅇㄹㄴㅇㄹ" localSheetId="1">#REF!</definedName>
    <definedName name="ㅇㄹㄴㅇㄹ">#REF!</definedName>
    <definedName name="ㅇㄹㄹ" hidden="1">'[125]N賃率-職'!$I$5:$I$30</definedName>
    <definedName name="ㅇㄹㄹㄴㅇ" localSheetId="4">#REF!</definedName>
    <definedName name="ㅇㄹㄹㄴㅇ" localSheetId="1">#REF!</definedName>
    <definedName name="ㅇㄹㄹㄴㅇ">#REF!</definedName>
    <definedName name="ㅇㄹㅇ" localSheetId="4">#REF!</definedName>
    <definedName name="ㅇㄹㅇ">#REF!</definedName>
    <definedName name="ㅇㄹㅇㄹ" localSheetId="2" hidden="1">#REF!</definedName>
    <definedName name="ㅇㄹㅇㄹ" localSheetId="4" hidden="1">#REF!</definedName>
    <definedName name="ㅇㄹㅇㄹ" localSheetId="1" hidden="1">#REF!</definedName>
    <definedName name="ㅇㄹㅇㄹ" hidden="1">#REF!</definedName>
    <definedName name="ㅇㄻㄴㅇㄻㄴㅇㄹ" localSheetId="4" hidden="1">#REF!</definedName>
    <definedName name="ㅇㄻㄴㅇㄻㄴㅇㄹ" localSheetId="1" hidden="1">#REF!</definedName>
    <definedName name="ㅇㄻㄴㅇㄻㄴㅇㄹ" hidden="1">#REF!</definedName>
    <definedName name="ㅇㅀㄴ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ㅇㅀㄴ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ㅇㅀㄴ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ㅇㅀㅇㄹ" localSheetId="4">#REF!</definedName>
    <definedName name="ㅇㅀㅇㄹ" localSheetId="1">#REF!</definedName>
    <definedName name="ㅇㅀㅇㄹ">#REF!</definedName>
    <definedName name="ㅇㅁㄴㄹ" localSheetId="4" hidden="1">{#N/A,#N/A,TRUE,"토적및재료집계";#N/A,#N/A,TRUE,"토적및재료집계";#N/A,#N/A,TRUE,"단위량"}</definedName>
    <definedName name="ㅇㅁㄴㄹ" localSheetId="1" hidden="1">{#N/A,#N/A,TRUE,"토적및재료집계";#N/A,#N/A,TRUE,"토적및재료집계";#N/A,#N/A,TRUE,"단위량"}</definedName>
    <definedName name="ㅇㅁㄴㄹ" hidden="1">{#N/A,#N/A,TRUE,"토적및재료집계";#N/A,#N/A,TRUE,"토적및재료집계";#N/A,#N/A,TRUE,"단위량"}</definedName>
    <definedName name="ㅇㅇ" localSheetId="4">#REF!</definedName>
    <definedName name="ㅇㅇ" localSheetId="1">#REF!</definedName>
    <definedName name="ㅇㅇ">#REF!</definedName>
    <definedName name="ㅇㅇㄹ" localSheetId="4" hidden="1">{#N/A,#N/A,TRUE,"토적및재료집계";#N/A,#N/A,TRUE,"토적및재료집계";#N/A,#N/A,TRUE,"단위량"}</definedName>
    <definedName name="ㅇㅇㄹ" localSheetId="1" hidden="1">{#N/A,#N/A,TRUE,"토적및재료집계";#N/A,#N/A,TRUE,"토적및재료집계";#N/A,#N/A,TRUE,"단위량"}</definedName>
    <definedName name="ㅇㅇㄹ" hidden="1">{#N/A,#N/A,TRUE,"토적및재료집계";#N/A,#N/A,TRUE,"토적및재료집계";#N/A,#N/A,TRUE,"단위량"}</definedName>
    <definedName name="ㅇㅇㅇ" localSheetId="2" hidden="1">#REF!</definedName>
    <definedName name="ㅇㅇㅇ" localSheetId="4" hidden="1">#REF!</definedName>
    <definedName name="ㅇㅇㅇ" localSheetId="1" hidden="1">#REF!</definedName>
    <definedName name="ㅇㅇㅇ" hidden="1">#REF!</definedName>
    <definedName name="ㅇㅇㅇㄷㄷㄷ" localSheetId="4">[0]!BlankMacro1</definedName>
    <definedName name="ㅇㅇㅇㄷㄷㄷ" localSheetId="1">[0]!BlankMacro1</definedName>
    <definedName name="ㅇㅇㅇㄷㄷㄷ">[0]!BlankMacro1</definedName>
    <definedName name="ㅇㅇㅇㅇ" localSheetId="4" hidden="1">#REF!</definedName>
    <definedName name="ㅇㅇㅇㅇ" localSheetId="1" hidden="1">#REF!</definedName>
    <definedName name="ㅇㅇㅇㅇ" hidden="1">#REF!</definedName>
    <definedName name="ㅇㅇㅇㅇㅇ" localSheetId="4">[0]!BlankMacro1</definedName>
    <definedName name="ㅇㅇㅇㅇㅇ" localSheetId="1">[0]!BlankMacro1</definedName>
    <definedName name="ㅇㅇㅇㅇㅇ">[0]!BlankMacro1</definedName>
    <definedName name="ㅇㅇㅇㅇㅇㅇ" localSheetId="4">#N/A</definedName>
    <definedName name="ㅇㅇㅇㅇㅇㅇ" localSheetId="1">표지!ㅇㅇㅇㅇㅇㅇ</definedName>
    <definedName name="ㅇㅇㅇㅇㅇㅇ">[0]!ㅇㅇㅇㅇㅇㅇ</definedName>
    <definedName name="ㅇㅇㅇㅇㅇㅇㅇ" localSheetId="4">[0]!BlankMacro1</definedName>
    <definedName name="ㅇㅇㅇㅇㅇㅇㅇ" localSheetId="1">[0]!BlankMacro1</definedName>
    <definedName name="ㅇㅇㅇㅇㅇㅇㅇ">[0]!BlankMacro1</definedName>
    <definedName name="ㅇㅇㅇㅇㅇㅇㅇㅇㅇ" localSheetId="4">[0]!BlankMacro1</definedName>
    <definedName name="ㅇㅇㅇㅇㅇㅇㅇㅇㅇ" localSheetId="1">[0]!BlankMacro1</definedName>
    <definedName name="ㅇㅇㅇㅇㅇㅇㅇㅇㅇ">[0]!BlankMacro1</definedName>
    <definedName name="ㅇㅇㅇㅊㅇ" localSheetId="4">BlankMacro1</definedName>
    <definedName name="ㅇㅇㅇㅊㅇ" localSheetId="1">BlankMacro1</definedName>
    <definedName name="ㅇㅇㅇㅊㅇ">BlankMacro1</definedName>
    <definedName name="ㅇㅈㄷㅄㅂㅈㄷㄱ" localSheetId="4" hidden="1">#REF!</definedName>
    <definedName name="ㅇㅈㄷㅄㅂㅈㄷㄱ" localSheetId="1" hidden="1">#REF!</definedName>
    <definedName name="ㅇㅈㄷㅄㅂㅈㄷㄱ" hidden="1">#REF!</definedName>
    <definedName name="ㅇㅍㅁㄴㅇㄹㅈㄴ" localSheetId="4">#REF!</definedName>
    <definedName name="ㅇㅍㅁㄴㅇㄹㅈㄴ">#REF!</definedName>
    <definedName name="ㅇㅎㅍ" localSheetId="4">#REF!</definedName>
    <definedName name="ㅇㅎㅍ">#REF!</definedName>
    <definedName name="ㅇ허ㅗㅓ" localSheetId="4">BlankMacro1</definedName>
    <definedName name="ㅇ허ㅗㅓ" localSheetId="1">BlankMacro1</definedName>
    <definedName name="ㅇ허ㅗㅓ">BlankMacro1</definedName>
    <definedName name="ㅇ호" localSheetId="4" hidden="1">{"'용역비'!$A$4:$C$8"}</definedName>
    <definedName name="ㅇ호" localSheetId="1" hidden="1">{"'용역비'!$A$4:$C$8"}</definedName>
    <definedName name="ㅇ호" hidden="1">{"'용역비'!$A$4:$C$8"}</definedName>
    <definedName name="ㅇ호ㅓ" localSheetId="4" hidden="1">{"'용역비'!$A$4:$C$8"}</definedName>
    <definedName name="ㅇ호ㅓ" localSheetId="1" hidden="1">{"'용역비'!$A$4:$C$8"}</definedName>
    <definedName name="ㅇ호ㅓ" hidden="1">{"'용역비'!$A$4:$C$8"}</definedName>
    <definedName name="ㅇ호ㅓㅇㅎ" localSheetId="4" hidden="1">{"'용역비'!$A$4:$C$8"}</definedName>
    <definedName name="ㅇ호ㅓㅇㅎ" localSheetId="1" hidden="1">{"'용역비'!$A$4:$C$8"}</definedName>
    <definedName name="ㅇ호ㅓㅇㅎ" hidden="1">{"'용역비'!$A$4:$C$8"}</definedName>
    <definedName name="ㅇ호ㅓㅇ호ㅓ" localSheetId="4" hidden="1">{"'용역비'!$A$4:$C$8"}</definedName>
    <definedName name="ㅇ호ㅓㅇ호ㅓ" localSheetId="1" hidden="1">{"'용역비'!$A$4:$C$8"}</definedName>
    <definedName name="ㅇ호ㅓㅇ호ㅓ" hidden="1">{"'용역비'!$A$4:$C$8"}</definedName>
    <definedName name="ㅇ호ㅓㅎ" localSheetId="4" hidden="1">{"'용역비'!$A$4:$C$8"}</definedName>
    <definedName name="ㅇ호ㅓㅎ" localSheetId="1" hidden="1">{"'용역비'!$A$4:$C$8"}</definedName>
    <definedName name="ㅇ호ㅓㅎ" hidden="1">{"'용역비'!$A$4:$C$8"}</definedName>
    <definedName name="ㅇ호ㅓ호ㅓ" localSheetId="4" hidden="1">{"'용역비'!$A$4:$C$8"}</definedName>
    <definedName name="ㅇ호ㅓ호ㅓ" localSheetId="1" hidden="1">{"'용역비'!$A$4:$C$8"}</definedName>
    <definedName name="ㅇ호ㅓ호ㅓ" hidden="1">{"'용역비'!$A$4:$C$8"}</definedName>
    <definedName name="아" localSheetId="4" hidden="1">{"'자리배치도'!$AG$1:$CI$28"}</definedName>
    <definedName name="아" localSheetId="1" hidden="1">{"'자리배치도'!$AG$1:$CI$28"}</definedName>
    <definedName name="아" hidden="1">{"'자리배치도'!$AG$1:$CI$28"}</definedName>
    <definedName name="아무거나">#REF!</definedName>
    <definedName name="아스콘467" localSheetId="4">#REF!</definedName>
    <definedName name="아스콘467">#REF!</definedName>
    <definedName name="아스콘78" localSheetId="4">#REF!</definedName>
    <definedName name="아스콘78">#REF!</definedName>
    <definedName name="아연도강관단가" localSheetId="4">#REF!</definedName>
    <definedName name="아연도강관단가">#REF!</definedName>
    <definedName name="아연도배관단가" localSheetId="4">#REF!</definedName>
    <definedName name="아연도배관단가">#REF!</definedName>
    <definedName name="아연도배관자재" localSheetId="4">#REF!</definedName>
    <definedName name="아연도배관자재">#REF!</definedName>
    <definedName name="아연도전선관" localSheetId="4">#REF!</definedName>
    <definedName name="아연도전선관">#REF!</definedName>
    <definedName name="안" localSheetId="4">#REF!</definedName>
    <definedName name="안">#REF!</definedName>
    <definedName name="안___전__점__검__비" localSheetId="4">#REF!</definedName>
    <definedName name="안___전__점__검__비">#REF!</definedName>
    <definedName name="안방1호" localSheetId="4">#REF!</definedName>
    <definedName name="안방1호">#REF!</definedName>
    <definedName name="안방2호" localSheetId="4">#REF!</definedName>
    <definedName name="안방2호">#REF!</definedName>
    <definedName name="안전관리비" localSheetId="4">#REF!</definedName>
    <definedName name="안전관리비">#REF!</definedName>
    <definedName name="안전관리비2" localSheetId="4">#REF!</definedName>
    <definedName name="안전관리비2">#REF!</definedName>
    <definedName name="안전관리비4" localSheetId="4">#REF!</definedName>
    <definedName name="안전관리비4">#REF!</definedName>
    <definedName name="안정수위" localSheetId="4">#REF!</definedName>
    <definedName name="안정수위">#REF!</definedName>
    <definedName name="압착터미널" localSheetId="2">#REF!</definedName>
    <definedName name="압착터미널" localSheetId="4">#REF!</definedName>
    <definedName name="압착터미널">#REF!</definedName>
    <definedName name="앞들1호" localSheetId="4">#REF!</definedName>
    <definedName name="앞들1호">#REF!</definedName>
    <definedName name="앞들2호" localSheetId="4">#REF!</definedName>
    <definedName name="앞들2호">#REF!</definedName>
    <definedName name="양생공" localSheetId="4">#REF!</definedName>
    <definedName name="양생공">#REF!</definedName>
    <definedName name="양생공1" localSheetId="4">#REF!</definedName>
    <definedName name="양생공1">#REF!</definedName>
    <definedName name="양수량" localSheetId="4">#REF!</definedName>
    <definedName name="양수량">#REF!</definedName>
    <definedName name="양식" localSheetId="4" hidden="1">{#N/A,#N/A,FALSE,"전력간선"}</definedName>
    <definedName name="양식" localSheetId="1" hidden="1">{#N/A,#N/A,FALSE,"전력간선"}</definedName>
    <definedName name="양식" hidden="1">{#N/A,#N/A,FALSE,"전력간선"}</definedName>
    <definedName name="어" localSheetId="4" hidden="1">{"'용역비'!$A$4:$C$8"}</definedName>
    <definedName name="어" localSheetId="1" hidden="1">{"'용역비'!$A$4:$C$8"}</definedName>
    <definedName name="어" hidden="1">{"'용역비'!$A$4:$C$8"}</definedName>
    <definedName name="어떤거죠" localSheetId="2" hidden="1">#REF!</definedName>
    <definedName name="어떤거죠" localSheetId="4" hidden="1">#REF!</definedName>
    <definedName name="어떤거죠" hidden="1">#REF!</definedName>
    <definedName name="업" localSheetId="4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" localSheetId="1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무협력비" hidden="1">[35]합천내역!#REF!</definedName>
    <definedName name="업체단가">[126]자재단가!$A$6:$M$156</definedName>
    <definedName name="여">#N/A</definedName>
    <definedName name="여과지동">[127]여과지동!$F$3:$AS$80</definedName>
    <definedName name="여유폭" localSheetId="4">[44]가시설단위수량!$C$19</definedName>
    <definedName name="여유폭">[45]가시설단위수량!$C$19</definedName>
    <definedName name="연마지" localSheetId="4">#REF!</definedName>
    <definedName name="연마지" localSheetId="1">#REF!</definedName>
    <definedName name="연마지">#REF!</definedName>
    <definedName name="연소방재" localSheetId="4">#REF!</definedName>
    <definedName name="연소방재">#REF!</definedName>
    <definedName name="연수" localSheetId="4">#REF!</definedName>
    <definedName name="연수">#REF!</definedName>
    <definedName name="연습" localSheetId="4">#REF!</definedName>
    <definedName name="연습" localSheetId="1">#REF!</definedName>
    <definedName name="연습">#REF!</definedName>
    <definedName name="연습9" localSheetId="4">#REF!</definedName>
    <definedName name="연습9" localSheetId="1">#REF!</definedName>
    <definedName name="연습9">#REF!</definedName>
    <definedName name="연습99" localSheetId="4">#REF!</definedName>
    <definedName name="연습99" localSheetId="1">#REF!</definedName>
    <definedName name="연습99">#REF!</definedName>
    <definedName name="연접도움말">[92]!연접도움말</definedName>
    <definedName name="연접물량" localSheetId="4">#N/A</definedName>
    <definedName name="연접물량" localSheetId="1">표지!연접물량</definedName>
    <definedName name="연접물량">[0]!연접물량</definedName>
    <definedName name="염색기술3" localSheetId="4" hidden="1">{#N/A,#N/A,TRUE,"손익보고"}</definedName>
    <definedName name="염색기술3" localSheetId="1" hidden="1">{#N/A,#N/A,TRUE,"손익보고"}</definedName>
    <definedName name="염색기술3" hidden="1">{#N/A,#N/A,TRUE,"손익보고"}</definedName>
    <definedName name="예">[128]단가대비표!$A$1:$K$65</definedName>
    <definedName name="예비비" localSheetId="4">#REF!</definedName>
    <definedName name="예비비" localSheetId="1">#REF!</definedName>
    <definedName name="예비비">#REF!</definedName>
    <definedName name="예산" localSheetId="4" hidden="1">{#N/A,#N/A,TRUE,"손익보고"}</definedName>
    <definedName name="예산" localSheetId="1" hidden="1">{#N/A,#N/A,TRUE,"손익보고"}</definedName>
    <definedName name="예산" hidden="1">{#N/A,#N/A,TRUE,"손익보고"}</definedName>
    <definedName name="예산서">#REF!</definedName>
    <definedName name="오라" localSheetId="4">#REF!</definedName>
    <definedName name="오라" localSheetId="1">#REF!</definedName>
    <definedName name="오라">#REF!</definedName>
    <definedName name="오주1호" localSheetId="4">#REF!</definedName>
    <definedName name="오주1호" localSheetId="1">#REF!</definedName>
    <definedName name="오주1호">#REF!</definedName>
    <definedName name="오주2호" localSheetId="4">#REF!</definedName>
    <definedName name="오주2호">#REF!</definedName>
    <definedName name="오주3호" localSheetId="4">#REF!</definedName>
    <definedName name="오주3호">#REF!</definedName>
    <definedName name="오주4호" localSheetId="4">#REF!</definedName>
    <definedName name="오주4호">#REF!</definedName>
    <definedName name="옥외1" localSheetId="4">#REF!</definedName>
    <definedName name="옥외1" localSheetId="1">#REF!</definedName>
    <definedName name="옥외1">#REF!</definedName>
    <definedName name="옥외2" localSheetId="4">#REF!</definedName>
    <definedName name="옥외2" localSheetId="1">#REF!</definedName>
    <definedName name="옥외2">#REF!</definedName>
    <definedName name="옥외3" localSheetId="4">#REF!</definedName>
    <definedName name="옥외3" localSheetId="1">#REF!</definedName>
    <definedName name="옥외3">#REF!</definedName>
    <definedName name="옥외4" localSheetId="4">#REF!</definedName>
    <definedName name="옥외4">#REF!</definedName>
    <definedName name="옥외5" localSheetId="4">#REF!</definedName>
    <definedName name="옥외5">#REF!</definedName>
    <definedName name="옥외6" localSheetId="4">#REF!</definedName>
    <definedName name="옥외6">#REF!</definedName>
    <definedName name="옥외7" localSheetId="4">#REF!</definedName>
    <definedName name="옥외7">#REF!</definedName>
    <definedName name="옥외8" localSheetId="4">#REF!</definedName>
    <definedName name="옥외8">#REF!</definedName>
    <definedName name="옥외등철거공구손료" localSheetId="4">#REF!</definedName>
    <definedName name="옥외등철거공구손료">#REF!</definedName>
    <definedName name="옥외등철거공비" localSheetId="4">#REF!</definedName>
    <definedName name="옥외등철거공비">#REF!</definedName>
    <definedName name="옥외수량1" localSheetId="4">#REF!</definedName>
    <definedName name="옥외수량1">#REF!</definedName>
    <definedName name="옥외수량2" localSheetId="4">#REF!</definedName>
    <definedName name="옥외수량2">#REF!</definedName>
    <definedName name="옥외수량3" localSheetId="4">#REF!</definedName>
    <definedName name="옥외수량3">#REF!</definedName>
    <definedName name="옥외수량4" localSheetId="4">#REF!</definedName>
    <definedName name="옥외수량4">#REF!</definedName>
    <definedName name="옥외수량5" localSheetId="4">#REF!</definedName>
    <definedName name="옥외수량5">#REF!</definedName>
    <definedName name="옥외수량6" localSheetId="4">#REF!</definedName>
    <definedName name="옥외수량6">#REF!</definedName>
    <definedName name="옥외수량7" localSheetId="4">#REF!</definedName>
    <definedName name="옥외수량7">#REF!</definedName>
    <definedName name="옥외수량8" localSheetId="2">#REF!</definedName>
    <definedName name="옥외수량8" localSheetId="4">#REF!</definedName>
    <definedName name="옥외수량8">#REF!</definedName>
    <definedName name="옹2되" localSheetId="4">#REF!</definedName>
    <definedName name="옹2되">#REF!</definedName>
    <definedName name="옹2부" localSheetId="4">#REF!</definedName>
    <definedName name="옹2부">#REF!</definedName>
    <definedName name="옹2블캡" localSheetId="4">#REF!</definedName>
    <definedName name="옹2블캡">#REF!</definedName>
    <definedName name="옹2블표" localSheetId="4">#REF!</definedName>
    <definedName name="옹2블표">#REF!</definedName>
    <definedName name="옹2상" localSheetId="4">#REF!</definedName>
    <definedName name="옹2상">#REF!</definedName>
    <definedName name="옹2속" localSheetId="4">#REF!</definedName>
    <definedName name="옹2속">#REF!</definedName>
    <definedName name="옹2잔" localSheetId="4">#REF!</definedName>
    <definedName name="옹2잔">#REF!</definedName>
    <definedName name="옹2잡" localSheetId="4">#REF!</definedName>
    <definedName name="옹2잡">#REF!</definedName>
    <definedName name="옹2지1" localSheetId="4">#REF!</definedName>
    <definedName name="옹2지1">#REF!</definedName>
    <definedName name="옹2지2" localSheetId="4">#REF!</definedName>
    <definedName name="옹2지2">#REF!</definedName>
    <definedName name="옹2지3" localSheetId="4">#REF!</definedName>
    <definedName name="옹2지3">#REF!</definedName>
    <definedName name="옹2터" localSheetId="4">#REF!</definedName>
    <definedName name="옹2터">#REF!</definedName>
    <definedName name="옹2합" localSheetId="4">#REF!</definedName>
    <definedName name="옹2합">#REF!</definedName>
    <definedName name="옹되" localSheetId="4">#REF!</definedName>
    <definedName name="옹되">#REF!</definedName>
    <definedName name="옹벽" localSheetId="4">#REF!</definedName>
    <definedName name="옹벽">#REF!</definedName>
    <definedName name="옹부" localSheetId="4">#REF!</definedName>
    <definedName name="옹부">#REF!</definedName>
    <definedName name="옹블캡" localSheetId="4">#REF!</definedName>
    <definedName name="옹블캡">#REF!</definedName>
    <definedName name="옹블표" localSheetId="4">#REF!</definedName>
    <definedName name="옹블표">#REF!</definedName>
    <definedName name="옹상" localSheetId="4">#REF!</definedName>
    <definedName name="옹상">#REF!</definedName>
    <definedName name="옹속" localSheetId="4">#REF!</definedName>
    <definedName name="옹속">#REF!</definedName>
    <definedName name="옹잔" localSheetId="4">#REF!</definedName>
    <definedName name="옹잔">#REF!</definedName>
    <definedName name="옹잡" localSheetId="4">#REF!</definedName>
    <definedName name="옹잡">#REF!</definedName>
    <definedName name="옹지1" localSheetId="4">#REF!</definedName>
    <definedName name="옹지1">#REF!</definedName>
    <definedName name="옹지2" localSheetId="4">#REF!</definedName>
    <definedName name="옹지2">#REF!</definedName>
    <definedName name="옹지3" localSheetId="4">#REF!</definedName>
    <definedName name="옹지3">#REF!</definedName>
    <definedName name="옹터" localSheetId="4">#REF!</definedName>
    <definedName name="옹터">#REF!</definedName>
    <definedName name="옹합" localSheetId="4">#REF!</definedName>
    <definedName name="옹합">#REF!</definedName>
    <definedName name="완공3" localSheetId="2" hidden="1">#REF!</definedName>
    <definedName name="완공3" localSheetId="4" hidden="1">#REF!</definedName>
    <definedName name="완공3" hidden="1">#REF!</definedName>
    <definedName name="외주산출" localSheetId="4" hidden="1">{"'용역비'!$A$4:$C$8"}</definedName>
    <definedName name="외주산출" localSheetId="1" hidden="1">{"'용역비'!$A$4:$C$8"}</definedName>
    <definedName name="외주산출" hidden="1">{"'용역비'!$A$4:$C$8"}</definedName>
    <definedName name="외주집계" localSheetId="4" hidden="1">{"'용역비'!$A$4:$C$8"}</definedName>
    <definedName name="외주집계" localSheetId="1" hidden="1">{"'용역비'!$A$4:$C$8"}</definedName>
    <definedName name="외주집계" hidden="1">{"'용역비'!$A$4:$C$8"}</definedName>
    <definedName name="요동1호">#REF!</definedName>
    <definedName name="요동2호" localSheetId="4">#REF!</definedName>
    <definedName name="요동2호">#REF!</definedName>
    <definedName name="요율" localSheetId="4">#REF!</definedName>
    <definedName name="요율">#REF!</definedName>
    <definedName name="용접" localSheetId="4">#REF!</definedName>
    <definedName name="용접">#REF!</definedName>
    <definedName name="용접공">[113]노임!$B$21</definedName>
    <definedName name="용접공일반" localSheetId="4">#REF!</definedName>
    <definedName name="용접공일반" localSheetId="1">#REF!</definedName>
    <definedName name="용접공일반">#REF!</definedName>
    <definedName name="용접공일반1" localSheetId="4">#REF!</definedName>
    <definedName name="용접공일반1">#REF!</definedName>
    <definedName name="우">#N/A</definedName>
    <definedName name="우리">"AutoShape 49"</definedName>
    <definedName name="우리나라" localSheetId="4">BlankMacro1</definedName>
    <definedName name="우리나라" localSheetId="1">BlankMacro1</definedName>
    <definedName name="우리나라">BlankMacro1</definedName>
    <definedName name="우배수" localSheetId="4" hidden="1">{#N/A,#N/A,FALSE,"전력간선"}</definedName>
    <definedName name="우배수" localSheetId="1" hidden="1">{#N/A,#N/A,FALSE,"전력간선"}</definedName>
    <definedName name="우배수" hidden="1">{#N/A,#N/A,FALSE,"전력간선"}</definedName>
    <definedName name="우배수공" localSheetId="4" hidden="1">{#N/A,#N/A,FALSE,"전력간선"}</definedName>
    <definedName name="우배수공" localSheetId="1" hidden="1">{#N/A,#N/A,FALSE,"전력간선"}</definedName>
    <definedName name="우배수공" hidden="1">{#N/A,#N/A,FALSE,"전력간선"}</definedName>
    <definedName name="우산" localSheetId="4">#REF!</definedName>
    <definedName name="우산" localSheetId="1">#REF!</definedName>
    <definedName name="우산">#REF!</definedName>
    <definedName name="운" localSheetId="2">#REF!</definedName>
    <definedName name="운" localSheetId="4">#REF!</definedName>
    <definedName name="운" localSheetId="1">#REF!</definedName>
    <definedName name="운">#REF!</definedName>
    <definedName name="운반2" localSheetId="2">#REF!</definedName>
    <definedName name="운반2" localSheetId="4">#REF!</definedName>
    <definedName name="운반2">#REF!</definedName>
    <definedName name="운반구간">[85]을부담운반비!$D$5</definedName>
    <definedName name="운반량집계표" localSheetId="4" hidden="1">{#N/A,#N/A,FALSE,"전력간선"}</definedName>
    <definedName name="운반량집계표" localSheetId="1" hidden="1">{#N/A,#N/A,FALSE,"전력간선"}</definedName>
    <definedName name="운반량집계표" hidden="1">{#N/A,#N/A,FALSE,"전력간선"}</definedName>
    <definedName name="운반비" localSheetId="4">#REF!</definedName>
    <definedName name="운반비" localSheetId="1">#REF!</definedName>
    <definedName name="운반비">#REF!</definedName>
    <definedName name="운반집계표" localSheetId="4" hidden="1">{#N/A,#N/A,FALSE,"전력간선"}</definedName>
    <definedName name="운반집계표" localSheetId="1" hidden="1">{#N/A,#N/A,FALSE,"전력간선"}</definedName>
    <definedName name="운반집계표" hidden="1">{#N/A,#N/A,FALSE,"전력간선"}</definedName>
    <definedName name="운반차" localSheetId="4">#REF!</definedName>
    <definedName name="운반차" localSheetId="1">#REF!</definedName>
    <definedName name="운반차">#REF!</definedName>
    <definedName name="운반차운전사">[96]노임단가!$C$7</definedName>
    <definedName name="운송1" localSheetId="4">#REF!</definedName>
    <definedName name="운송1" localSheetId="1">#REF!</definedName>
    <definedName name="운송1">#REF!</definedName>
    <definedName name="운암" localSheetId="4">#REF!</definedName>
    <definedName name="운암">#REF!</definedName>
    <definedName name="운잔" localSheetId="2">#REF!</definedName>
    <definedName name="운잔" localSheetId="4">#REF!</definedName>
    <definedName name="운잔" localSheetId="1">#REF!</definedName>
    <definedName name="운잔">#REF!</definedName>
    <definedName name="운전" localSheetId="4">#REF!</definedName>
    <definedName name="운전">#REF!</definedName>
    <definedName name="운전기사" localSheetId="4">#REF!</definedName>
    <definedName name="운전기사" localSheetId="1">#REF!</definedName>
    <definedName name="운전기사">#REF!</definedName>
    <definedName name="운전사" localSheetId="4">#REF!</definedName>
    <definedName name="운전사" localSheetId="1">#REF!</definedName>
    <definedName name="운전사">#REF!</definedName>
    <definedName name="운전사_운반">'[87]기계경비(시간당)'!$D$7</definedName>
    <definedName name="운전사기계" localSheetId="4">#REF!</definedName>
    <definedName name="운전사기계" localSheetId="1">#REF!</definedName>
    <definedName name="운전사기계">#REF!</definedName>
    <definedName name="운전사기계1" localSheetId="4">#REF!</definedName>
    <definedName name="운전사기계1">#REF!</definedName>
    <definedName name="운전사기계노무비" localSheetId="4">#REF!</definedName>
    <definedName name="운전사기계노무비">#REF!</definedName>
    <definedName name="운전사기계노무비1" localSheetId="4">#REF!</definedName>
    <definedName name="운전사기계노무비1">#REF!</definedName>
    <definedName name="운전사기계시간" localSheetId="4">#REF!</definedName>
    <definedName name="운전사기계시간">#REF!</definedName>
    <definedName name="운전사기계시간1" localSheetId="4">#REF!</definedName>
    <definedName name="운전사기계시간1">#REF!</definedName>
    <definedName name="운전사운반차" localSheetId="4">#REF!</definedName>
    <definedName name="운전사운반차">#REF!</definedName>
    <definedName name="운전사운반차1" localSheetId="4">#REF!</definedName>
    <definedName name="운전사운반차1">#REF!</definedName>
    <definedName name="운전사운반차노무비" localSheetId="4">#REF!</definedName>
    <definedName name="운전사운반차노무비">#REF!</definedName>
    <definedName name="운전사운반차노무비1" localSheetId="4">#REF!</definedName>
    <definedName name="운전사운반차노무비1">#REF!</definedName>
    <definedName name="운전사운반차시간" localSheetId="4">#REF!</definedName>
    <definedName name="운전사운반차시간">#REF!</definedName>
    <definedName name="운전사운반차시간1" localSheetId="4">#REF!</definedName>
    <definedName name="운전사운반차시간1">#REF!</definedName>
    <definedName name="운전조" localSheetId="4">#REF!</definedName>
    <definedName name="운전조">#REF!</definedName>
    <definedName name="운전조수" localSheetId="4">#REF!</definedName>
    <definedName name="운전조수">#REF!</definedName>
    <definedName name="운호1호" localSheetId="4">#REF!</definedName>
    <definedName name="운호1호">#REF!</definedName>
    <definedName name="운호2호" localSheetId="4">#REF!</definedName>
    <definedName name="운호2호">#REF!</definedName>
    <definedName name="운호3호" localSheetId="4">#REF!</definedName>
    <definedName name="운호3호">#REF!</definedName>
    <definedName name="원" localSheetId="4">#REF!</definedName>
    <definedName name="원">#REF!</definedName>
    <definedName name="원_가_계_산_서" localSheetId="4">#REF!</definedName>
    <definedName name="원_가_계_산_서">#REF!</definedName>
    <definedName name="원가" localSheetId="4">[129]일위대가표!#REF!</definedName>
    <definedName name="원가">[129]일위대가표!#REF!</definedName>
    <definedName name="원가계산" localSheetId="1">표지!원가계산</definedName>
    <definedName name="원가계산">#N/A</definedName>
    <definedName name="원가계산1">[130]자재단가!$A$6:$M$156</definedName>
    <definedName name="원가계산서" localSheetId="4">#REF!</definedName>
    <definedName name="원가계산서" localSheetId="1">#REF!</definedName>
    <definedName name="원가계산서">#REF!</definedName>
    <definedName name="원가계산창" localSheetId="1">표지!원가계산창</definedName>
    <definedName name="원가계산창">#N/A</definedName>
    <definedName name="원가분석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가분석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가분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원가소계" localSheetId="4">#REF!</definedName>
    <definedName name="원가소계" localSheetId="1">#REF!</definedName>
    <definedName name="원가소계">#REF!</definedName>
    <definedName name="원길" localSheetId="4">#REF!</definedName>
    <definedName name="원길" localSheetId="1">#REF!</definedName>
    <definedName name="원길">#REF!</definedName>
    <definedName name="원운1호" localSheetId="4">#REF!</definedName>
    <definedName name="원운1호">#REF!</definedName>
    <definedName name="원운2호" localSheetId="4">#REF!</definedName>
    <definedName name="원운2호">#REF!</definedName>
    <definedName name="원형3회">[26]맨홀수량산출!$AE$18</definedName>
    <definedName name="원형4회">[26]맨홀수량산출!$AE$19</definedName>
    <definedName name="위" localSheetId="4">#REF!</definedName>
    <definedName name="위" localSheetId="1">#REF!</definedName>
    <definedName name="위">#REF!</definedName>
    <definedName name="위1" localSheetId="4">#REF!</definedName>
    <definedName name="위1" localSheetId="1">#REF!</definedName>
    <definedName name="위1">#REF!</definedName>
    <definedName name="위치조서" localSheetId="4">#REF!</definedName>
    <definedName name="위치조서">#REF!</definedName>
    <definedName name="유">#N/A</definedName>
    <definedName name="유공관300" localSheetId="4">#REF!</definedName>
    <definedName name="유공관300" localSheetId="1">#REF!</definedName>
    <definedName name="유공관300">#REF!</definedName>
    <definedName name="유입1" localSheetId="4">[26]맨홀수량산출!#REF!</definedName>
    <definedName name="유입1" localSheetId="1">[26]맨홀수량산출!#REF!</definedName>
    <definedName name="유입1">[26]맨홀수량산출!#REF!</definedName>
    <definedName name="유지보수" localSheetId="4">#REF!</definedName>
    <definedName name="유지보수" localSheetId="1">#REF!</definedName>
    <definedName name="유지보수">#REF!</definedName>
    <definedName name="육리1호" localSheetId="4">#REF!</definedName>
    <definedName name="육리1호">#REF!</definedName>
    <definedName name="육리2호" localSheetId="4">#REF!</definedName>
    <definedName name="육리2호">#REF!</definedName>
    <definedName name="육송각재" localSheetId="4">#REF!</definedName>
    <definedName name="육송각재">#REF!</definedName>
    <definedName name="육송각재1" localSheetId="4">#REF!</definedName>
    <definedName name="육송각재1">#REF!</definedName>
    <definedName name="육송판재" localSheetId="4">#REF!</definedName>
    <definedName name="육송판재">#REF!</definedName>
    <definedName name="육송판재1" localSheetId="4">#REF!</definedName>
    <definedName name="육송판재1">#REF!</definedName>
    <definedName name="은산1호" localSheetId="4">#REF!</definedName>
    <definedName name="은산1호">#REF!</definedName>
    <definedName name="은산2호" localSheetId="4">#REF!</definedName>
    <definedName name="은산2호">#REF!</definedName>
    <definedName name="은산3호" localSheetId="4">#REF!</definedName>
    <definedName name="은산3호">#REF!</definedName>
    <definedName name="은산4호" localSheetId="4">#REF!</definedName>
    <definedName name="은산4호">#REF!</definedName>
    <definedName name="을" localSheetId="4" hidden="1">{#N/A,#N/A,FALSE,"도급대비시행율";#N/A,#N/A,FALSE,"결의서";#N/A,#N/A,FALSE,"내역서";#N/A,#N/A,FALSE,"도급예상"}</definedName>
    <definedName name="을" localSheetId="1" hidden="1">{#N/A,#N/A,FALSE,"도급대비시행율";#N/A,#N/A,FALSE,"결의서";#N/A,#N/A,FALSE,"내역서";#N/A,#N/A,FALSE,"도급예상"}</definedName>
    <definedName name="을" hidden="1">{#N/A,#N/A,FALSE,"도급대비시행율";#N/A,#N/A,FALSE,"결의서";#N/A,#N/A,FALSE,"내역서";#N/A,#N/A,FALSE,"도급예상"}</definedName>
    <definedName name="을부담품목별중량계">[85]운반비산출!$E$25</definedName>
    <definedName name="이" localSheetId="4" hidden="1">{#N/A,#N/A,TRUE,"토적및재료집계";#N/A,#N/A,TRUE,"토적및재료집계";#N/A,#N/A,TRUE,"단위량"}</definedName>
    <definedName name="이" localSheetId="1" hidden="1">{#N/A,#N/A,TRUE,"토적및재료집계";#N/A,#N/A,TRUE,"토적및재료집계";#N/A,#N/A,TRUE,"단위량"}</definedName>
    <definedName name="이" hidden="1">{#N/A,#N/A,TRUE,"토적및재료집계";#N/A,#N/A,TRUE,"토적및재료집계";#N/A,#N/A,TRUE,"단위량"}</definedName>
    <definedName name="이______________윤" localSheetId="4">#REF!</definedName>
    <definedName name="이______________윤" localSheetId="1">#REF!</definedName>
    <definedName name="이______________윤">#REF!</definedName>
    <definedName name="이______전______비" localSheetId="4">#REF!</definedName>
    <definedName name="이______전______비" localSheetId="1">#REF!</definedName>
    <definedName name="이______전______비">#REF!</definedName>
    <definedName name="이가" localSheetId="4" hidden="1">{"'Firr(선)'!$AS$1:$AY$62","'Firr(사)'!$AS$1:$AY$62","'Firr(회)'!$AS$1:$AY$62","'Firr(선)'!$L$1:$V$62","'Firr(사)'!$L$1:$V$62","'Firr(회)'!$L$1:$V$62"}</definedName>
    <definedName name="이가" localSheetId="1" hidden="1">{"'Firr(선)'!$AS$1:$AY$62","'Firr(사)'!$AS$1:$AY$62","'Firr(회)'!$AS$1:$AY$62","'Firr(선)'!$L$1:$V$62","'Firr(사)'!$L$1:$V$62","'Firr(회)'!$L$1:$V$62"}</definedName>
    <definedName name="이가" hidden="1">{"'Firr(선)'!$AS$1:$AY$62","'Firr(사)'!$AS$1:$AY$62","'Firr(회)'!$AS$1:$AY$62","'Firr(선)'!$L$1:$V$62","'Firr(사)'!$L$1:$V$62","'Firr(회)'!$L$1:$V$62"}</definedName>
    <definedName name="이공구" localSheetId="4">#REF!</definedName>
    <definedName name="이공구" localSheetId="1">#REF!</definedName>
    <definedName name="이공구">#REF!</definedName>
    <definedName name="이공구관급" localSheetId="4">#REF!</definedName>
    <definedName name="이공구관급" localSheetId="1">#REF!</definedName>
    <definedName name="이공구관급">#REF!</definedName>
    <definedName name="이름표" localSheetId="4" hidden="1">{#N/A,#N/A,FALSE,"단가표지"}</definedName>
    <definedName name="이름표" localSheetId="1" hidden="1">{#N/A,#N/A,FALSE,"단가표지"}</definedName>
    <definedName name="이름표" hidden="1">{#N/A,#N/A,FALSE,"단가표지"}</definedName>
    <definedName name="이릉" hidden="1">#REF!</definedName>
    <definedName name="이상정보" localSheetId="4">#REF!</definedName>
    <definedName name="이상정보">#REF!</definedName>
    <definedName name="이윤" localSheetId="4">#REF!</definedName>
    <definedName name="이윤" localSheetId="1">#REF!</definedName>
    <definedName name="이윤">#REF!</definedName>
    <definedName name="이윤..입력" localSheetId="4">[98]갑지!#REF!</definedName>
    <definedName name="이윤..입력">[98]갑지!#REF!</definedName>
    <definedName name="이윤__입력" localSheetId="4">[71]갑지!#REF!</definedName>
    <definedName name="이윤__입력">[71]갑지!#REF!</definedName>
    <definedName name="이윤2" localSheetId="4">#REF!</definedName>
    <definedName name="이윤2" localSheetId="1">#REF!</definedName>
    <definedName name="이윤2">#REF!</definedName>
    <definedName name="이윤4" localSheetId="4">#REF!</definedName>
    <definedName name="이윤4">#REF!</definedName>
    <definedName name="이윤요율" localSheetId="4">[71]갑지!#REF!</definedName>
    <definedName name="이윤요율">[71]갑지!#REF!</definedName>
    <definedName name="이윤요율.." localSheetId="4">[98]갑지!#REF!</definedName>
    <definedName name="이윤요율..">[98]갑지!#REF!</definedName>
    <definedName name="이을" localSheetId="4">[0]!BlankMacro1</definedName>
    <definedName name="이을" localSheetId="1">[0]!BlankMacro1</definedName>
    <definedName name="이을">[0]!BlankMacro1</definedName>
    <definedName name="이종훈" hidden="1">[77]전기!$A$4:$A$163</definedName>
    <definedName name="이형관">[55]DATE!$B$24:$B$85</definedName>
    <definedName name="인.건.비">[98]집계표!$B$63:$IV$63</definedName>
    <definedName name="인가번호" localSheetId="4">#REF!</definedName>
    <definedName name="인가번호" localSheetId="1">#REF!</definedName>
    <definedName name="인가번호">#REF!</definedName>
    <definedName name="인건" localSheetId="4">#REF!</definedName>
    <definedName name="인건">#REF!</definedName>
    <definedName name="인건비" localSheetId="4">#REF!</definedName>
    <definedName name="인건비" localSheetId="1">#REF!</definedName>
    <definedName name="인건비">#REF!</definedName>
    <definedName name="인건비." localSheetId="4">[98]집계표!#REF!</definedName>
    <definedName name="인건비." localSheetId="1">[98]집계표!#REF!</definedName>
    <definedName name="인건비.">[98]집계표!#REF!</definedName>
    <definedName name="인건비산출전관방송" localSheetId="4">BlankMacro1</definedName>
    <definedName name="인건비산출전관방송" localSheetId="1">BlankMacro1</definedName>
    <definedName name="인건비산출전관방송">BlankMacro1</definedName>
    <definedName name="인건비요율" localSheetId="4">[98]갑지!#REF!</definedName>
    <definedName name="인건비요율" localSheetId="1">[98]갑지!#REF!</definedName>
    <definedName name="인건비요율">[98]갑지!#REF!</definedName>
    <definedName name="인건수량" localSheetId="4">#REF!</definedName>
    <definedName name="인건수량" localSheetId="1">#REF!</definedName>
    <definedName name="인건수량">#REF!</definedName>
    <definedName name="인기300" localSheetId="4">[9]대로근거!#REF!</definedName>
    <definedName name="인기300" localSheetId="1">[9]대로근거!#REF!</definedName>
    <definedName name="인기300">[9]대로근거!#REF!</definedName>
    <definedName name="인기350" localSheetId="4">[9]대로근거!#REF!</definedName>
    <definedName name="인기350" localSheetId="1">[9]대로근거!#REF!</definedName>
    <definedName name="인기350">[9]대로근거!#REF!</definedName>
    <definedName name="인버트두께" localSheetId="4">[44]단위수량!$C$10</definedName>
    <definedName name="인버트두께">[45]단위수량!$C$10</definedName>
    <definedName name="인암300" localSheetId="1">[9]대로근거!#REF!</definedName>
    <definedName name="인암300">[9]대로근거!#REF!</definedName>
    <definedName name="인암350" localSheetId="1">[9]대로근거!#REF!</definedName>
    <definedName name="인암350">[9]대로근거!#REF!</definedName>
    <definedName name="인테리어소계" localSheetId="4">#REF!</definedName>
    <definedName name="인테리어소계" localSheetId="1">#REF!</definedName>
    <definedName name="인테리어소계">#REF!</definedName>
    <definedName name="인토300" localSheetId="4">[9]대로근거!#REF!</definedName>
    <definedName name="인토300" localSheetId="1">[9]대로근거!#REF!</definedName>
    <definedName name="인토300">[9]대로근거!#REF!</definedName>
    <definedName name="인토350" localSheetId="1">[9]대로근거!#REF!</definedName>
    <definedName name="인토350">[9]대로근거!#REF!</definedName>
    <definedName name="일" localSheetId="4" hidden="1">#REF!</definedName>
    <definedName name="일" localSheetId="1" hidden="1">#REF!</definedName>
    <definedName name="일" hidden="1">#REF!</definedName>
    <definedName name="일__반___관__리__비" localSheetId="4">#REF!</definedName>
    <definedName name="일__반___관__리__비">#REF!</definedName>
    <definedName name="일곡" localSheetId="4">[131]유입량!#REF!</definedName>
    <definedName name="일곡">[131]유입량!#REF!</definedName>
    <definedName name="일공구관급" localSheetId="4">#REF!</definedName>
    <definedName name="일공구관급" localSheetId="1">#REF!</definedName>
    <definedName name="일공구관급">#REF!</definedName>
    <definedName name="일관비" localSheetId="4">#REF!</definedName>
    <definedName name="일관비">#REF!</definedName>
    <definedName name="일대" localSheetId="4">#REF!</definedName>
    <definedName name="일대">#REF!</definedName>
    <definedName name="일련번호" localSheetId="4">#REF!</definedName>
    <definedName name="일련번호">#REF!</definedName>
    <definedName name="일반관리비" localSheetId="4">#REF!</definedName>
    <definedName name="일반관리비">#REF!</definedName>
    <definedName name="일반관리비..입력" localSheetId="4">[98]갑지!#REF!</definedName>
    <definedName name="일반관리비..입력">[98]갑지!#REF!</definedName>
    <definedName name="일반관리비__입력" localSheetId="4">[71]갑지!#REF!</definedName>
    <definedName name="일반관리비__입력">[71]갑지!#REF!</definedName>
    <definedName name="일반관리비2" localSheetId="4">#REF!</definedName>
    <definedName name="일반관리비2" localSheetId="1">#REF!</definedName>
    <definedName name="일반관리비2">#REF!</definedName>
    <definedName name="일반관리비4" localSheetId="4">#REF!</definedName>
    <definedName name="일반관리비4">#REF!</definedName>
    <definedName name="일반관리비요율" localSheetId="4">[71]갑지!#REF!</definedName>
    <definedName name="일반관리비요율">[71]갑지!#REF!</definedName>
    <definedName name="일반관리비요율." localSheetId="4">[98]갑지!#REF!</definedName>
    <definedName name="일반관리비요율.">[98]갑지!#REF!</definedName>
    <definedName name="일반통신설비" localSheetId="4">#REF!</definedName>
    <definedName name="일반통신설비" localSheetId="1">#REF!</definedName>
    <definedName name="일반통신설비">#REF!</definedName>
    <definedName name="일위" localSheetId="4">#REF!,#REF!</definedName>
    <definedName name="일위" localSheetId="1">#REF!,#REF!</definedName>
    <definedName name="일위">#REF!,#REF!</definedName>
    <definedName name="일위_관로" localSheetId="4">#REF!</definedName>
    <definedName name="일위_관로" localSheetId="1">#REF!</definedName>
    <definedName name="일위_관로">#REF!</definedName>
    <definedName name="일위_광" localSheetId="4">#REF!</definedName>
    <definedName name="일위_광" localSheetId="1">#REF!</definedName>
    <definedName name="일위_광">#REF!</definedName>
    <definedName name="일위_센터" localSheetId="4">#REF!</definedName>
    <definedName name="일위_센터">#REF!</definedName>
    <definedName name="일위_전기" localSheetId="4">#REF!</definedName>
    <definedName name="일위_전기">#REF!</definedName>
    <definedName name="일위_폴" localSheetId="4">#REF!</definedName>
    <definedName name="일위_폴">#REF!</definedName>
    <definedName name="일위_현장" localSheetId="4">#REF!</definedName>
    <definedName name="일위_현장">#REF!</definedName>
    <definedName name="일위1">'[132]1-2.일위대가(교통시설물1)'!$A$1:$P$2849</definedName>
    <definedName name="일위대가" localSheetId="4">#REF!</definedName>
    <definedName name="일위대가" localSheetId="1">#REF!</definedName>
    <definedName name="일위대가">#REF!</definedName>
    <definedName name="일위대가_공용주차" localSheetId="4" hidden="1">{"'자리배치도'!$AG$1:$CI$28"}</definedName>
    <definedName name="일위대가_공용주차" localSheetId="1" hidden="1">{"'자리배치도'!$AG$1:$CI$28"}</definedName>
    <definedName name="일위대가_공용주차" hidden="1">{"'자리배치도'!$AG$1:$CI$28"}</definedName>
    <definedName name="일위대가1">#REF!</definedName>
    <definedName name="일위대가2" localSheetId="4">#REF!</definedName>
    <definedName name="일위대가2">#REF!</definedName>
    <definedName name="일위대가목록" localSheetId="4">#REF!</definedName>
    <definedName name="일위대가목록">#REF!</definedName>
    <definedName name="일위대가폼" localSheetId="2">#REF!</definedName>
    <definedName name="일위대가폼" localSheetId="4">#REF!</definedName>
    <definedName name="일위대가폼">#REF!</definedName>
    <definedName name="일위댓가" localSheetId="4" hidden="1">{#N/A,#N/A,FALSE,"전력간선"}</definedName>
    <definedName name="일위댓가" localSheetId="1" hidden="1">{#N/A,#N/A,FALSE,"전력간선"}</definedName>
    <definedName name="일위댓가" hidden="1">{#N/A,#N/A,FALSE,"전력간선"}</definedName>
    <definedName name="일위댓가301" localSheetId="4" hidden="1">{#N/A,#N/A,FALSE,"전력간선"}</definedName>
    <definedName name="일위댓가301" localSheetId="1" hidden="1">{#N/A,#N/A,FALSE,"전력간선"}</definedName>
    <definedName name="일위댓가301" hidden="1">{#N/A,#N/A,FALSE,"전력간선"}</definedName>
    <definedName name="일위목록">[133]일위목록!$A$7:$J$32</definedName>
    <definedName name="일위산출" localSheetId="4">#REF!</definedName>
    <definedName name="일위산출" localSheetId="1">#REF!</definedName>
    <definedName name="일위산출">#REF!</definedName>
    <definedName name="일위산출1" localSheetId="4">#REF!</definedName>
    <definedName name="일위산출1" localSheetId="1">#REF!</definedName>
    <definedName name="일위산출1">#REF!</definedName>
    <definedName name="일위집계" localSheetId="4">#REF!</definedName>
    <definedName name="일위집계">#REF!</definedName>
    <definedName name="일위호표" localSheetId="4">#REF!</definedName>
    <definedName name="일위호표" localSheetId="1">#REF!</definedName>
    <definedName name="일위호표">#REF!</definedName>
    <definedName name="일의01" localSheetId="4">[108]직노!#REF!</definedName>
    <definedName name="일의01">[108]직노!#REF!</definedName>
    <definedName name="임시" localSheetId="4">[12]Sheet1!#REF!</definedName>
    <definedName name="임시">[12]Sheet1!#REF!</definedName>
    <definedName name="임실보조" localSheetId="4" hidden="1">{#N/A,#N/A,TRUE,"1";#N/A,#N/A,TRUE,"2";#N/A,#N/A,TRUE,"3";#N/A,#N/A,TRUE,"4";#N/A,#N/A,TRUE,"5";#N/A,#N/A,TRUE,"6";#N/A,#N/A,TRUE,"7"}</definedName>
    <definedName name="임실보조" localSheetId="1" hidden="1">{#N/A,#N/A,TRUE,"1";#N/A,#N/A,TRUE,"2";#N/A,#N/A,TRUE,"3";#N/A,#N/A,TRUE,"4";#N/A,#N/A,TRUE,"5";#N/A,#N/A,TRUE,"6";#N/A,#N/A,TRUE,"7"}</definedName>
    <definedName name="임실보조" hidden="1">{#N/A,#N/A,TRUE,"1";#N/A,#N/A,TRUE,"2";#N/A,#N/A,TRUE,"3";#N/A,#N/A,TRUE,"4";#N/A,#N/A,TRUE,"5";#N/A,#N/A,TRUE,"6";#N/A,#N/A,TRUE,"7"}</definedName>
    <definedName name="임직" localSheetId="2" hidden="1">#REF!</definedName>
    <definedName name="임직" localSheetId="4" hidden="1">#REF!</definedName>
    <definedName name="임직" localSheetId="1" hidden="1">#REF!</definedName>
    <definedName name="임직" hidden="1">#REF!</definedName>
    <definedName name="입력현황1" localSheetId="4" hidden="1">{#N/A,#N/A,FALSE,"DAOCM 2차 검토"}</definedName>
    <definedName name="입력현황1" localSheetId="1" hidden="1">{#N/A,#N/A,FALSE,"DAOCM 2차 검토"}</definedName>
    <definedName name="입력현황1" hidden="1">{#N/A,#N/A,FALSE,"DAOCM 2차 검토"}</definedName>
    <definedName name="입안1호" localSheetId="4">#REF!</definedName>
    <definedName name="입안1호" localSheetId="1">#REF!</definedName>
    <definedName name="입안1호">#REF!</definedName>
    <definedName name="입안2호" localSheetId="4">#REF!</definedName>
    <definedName name="입안2호" localSheetId="1">#REF!</definedName>
    <definedName name="입안2호">#REF!</definedName>
    <definedName name="입안3호" localSheetId="4">#REF!</definedName>
    <definedName name="입안3호">#REF!</definedName>
    <definedName name="입안4호" localSheetId="4">#REF!</definedName>
    <definedName name="입안4호">#REF!</definedName>
    <definedName name="입안기존2" localSheetId="4">#REF!</definedName>
    <definedName name="입안기존2">#REF!</definedName>
    <definedName name="ㅈ" localSheetId="4" hidden="1">{#N/A,#N/A,TRUE,"토적및재료집계";#N/A,#N/A,TRUE,"토적및재료집계";#N/A,#N/A,TRUE,"단위량"}</definedName>
    <definedName name="ㅈ" localSheetId="1" hidden="1">{#N/A,#N/A,TRUE,"토적및재료집계";#N/A,#N/A,TRUE,"토적및재료집계";#N/A,#N/A,TRUE,"단위량"}</definedName>
    <definedName name="ㅈ" hidden="1">{#N/A,#N/A,TRUE,"토적및재료집계";#N/A,#N/A,TRUE,"토적및재료집계";#N/A,#N/A,TRUE,"단위량"}</definedName>
    <definedName name="ㅈ56ㅕ" localSheetId="4" hidden="1">{"'용역비'!$A$4:$C$8"}</definedName>
    <definedName name="ㅈ56ㅕ" localSheetId="1" hidden="1">{"'용역비'!$A$4:$C$8"}</definedName>
    <definedName name="ㅈ56ㅕ" hidden="1">{"'용역비'!$A$4:$C$8"}</definedName>
    <definedName name="ㅈㄷㄱ">#REF!</definedName>
    <definedName name="ㅈㄷㄷㄱㅈㅈㄷㄱ" localSheetId="4">#REF!</definedName>
    <definedName name="ㅈㄷㄷㄱㅈㅈㄷㄱ">#REF!</definedName>
    <definedName name="ㅈㄷㄻㅇㄹ" localSheetId="4" hidden="1">#REF!</definedName>
    <definedName name="ㅈㄷㄻㅇㄹ" hidden="1">#REF!</definedName>
    <definedName name="ㅈㄷㄻㅈ" localSheetId="4" hidden="1">#REF!</definedName>
    <definedName name="ㅈㄷㄻㅈ" hidden="1">#REF!</definedName>
    <definedName name="ㅈㄷㅅㅂㅈㅇㄿ" localSheetId="4">#REF!</definedName>
    <definedName name="ㅈㄷㅅㅂㅈㅇㄿ">#REF!</definedName>
    <definedName name="ㅈㅅ그ㅕ" localSheetId="4">BlankMacro1</definedName>
    <definedName name="ㅈㅅ그ㅕ" localSheetId="1">BlankMacro1</definedName>
    <definedName name="ㅈㅅ그ㅕ">BlankMacro1</definedName>
    <definedName name="ㅈㅇㅈ" localSheetId="4">#REF!</definedName>
    <definedName name="ㅈㅇㅈ" localSheetId="1">#REF!</definedName>
    <definedName name="ㅈㅇㅈ">#REF!</definedName>
    <definedName name="ㅈㅈ">#N/A</definedName>
    <definedName name="ㅈㅈㅈ" localSheetId="4" hidden="1">{#N/A,#N/A,TRUE,"토적및재료집계";#N/A,#N/A,TRUE,"토적및재료집계";#N/A,#N/A,TRUE,"단위량"}</definedName>
    <definedName name="ㅈㅈㅈ" localSheetId="1" hidden="1">{#N/A,#N/A,TRUE,"토적및재료집계";#N/A,#N/A,TRUE,"토적및재료집계";#N/A,#N/A,TRUE,"단위량"}</definedName>
    <definedName name="ㅈㅈㅈ" hidden="1">{#N/A,#N/A,TRUE,"토적및재료집계";#N/A,#N/A,TRUE,"토적및재료집계";#N/A,#N/A,TRUE,"단위량"}</definedName>
    <definedName name="자" localSheetId="4" hidden="1">{"'자리배치도'!$AG$1:$CI$28"}</definedName>
    <definedName name="자" localSheetId="1" hidden="1">{"'자리배치도'!$AG$1:$CI$28"}</definedName>
    <definedName name="자" hidden="1">{"'자리배치도'!$AG$1:$CI$28"}</definedName>
    <definedName name="자갈">#REF!</definedName>
    <definedName name="자갈1" localSheetId="4">#REF!</definedName>
    <definedName name="자갈1">#REF!</definedName>
    <definedName name="자동" localSheetId="4" hidden="1">{#N/A,#N/A,FALSE,"전력간선"}</definedName>
    <definedName name="자동" localSheetId="1" hidden="1">{#N/A,#N/A,FALSE,"전력간선"}</definedName>
    <definedName name="자동" hidden="1">{#N/A,#N/A,FALSE,"전력간선"}</definedName>
    <definedName name="자동화재탐지설비" localSheetId="4">#REF!</definedName>
    <definedName name="자동화재탐지설비" localSheetId="1">#REF!</definedName>
    <definedName name="자동화재탐지설비">#REF!</definedName>
    <definedName name="자료">[127]기초자료!$A$3:$X$80</definedName>
    <definedName name="자연수위" localSheetId="4">#REF!</definedName>
    <definedName name="자연수위" localSheetId="1">#REF!</definedName>
    <definedName name="자연수위">#REF!</definedName>
    <definedName name="자재">[134]입력!$A$3:$A$30</definedName>
    <definedName name="자재단가" localSheetId="4">#REF!</definedName>
    <definedName name="자재단가" localSheetId="1">#REF!</definedName>
    <definedName name="자재단가">#REF!</definedName>
    <definedName name="자재단가표" localSheetId="4">#REF!</definedName>
    <definedName name="자재단가표" localSheetId="1">#REF!</definedName>
    <definedName name="자재단가표">#REF!</definedName>
    <definedName name="자재리스트당" localSheetId="4">BlankMacro1</definedName>
    <definedName name="자재리스트당" localSheetId="1">BlankMacro1</definedName>
    <definedName name="자재리스트당">BlankMacro1</definedName>
    <definedName name="자재비" localSheetId="4">[71]집계표!#REF!</definedName>
    <definedName name="자재비" localSheetId="1">[71]집계표!#REF!</definedName>
    <definedName name="자재비">[71]집계표!#REF!</definedName>
    <definedName name="자재비." localSheetId="4">[98]집계표!#REF!</definedName>
    <definedName name="자재비.">[98]집계표!#REF!</definedName>
    <definedName name="작업" localSheetId="4">#REF!</definedName>
    <definedName name="작업" localSheetId="1">#REF!</definedName>
    <definedName name="작업">#REF!</definedName>
    <definedName name="작업반장" localSheetId="4">#REF!</definedName>
    <definedName name="작업반장">#REF!</definedName>
    <definedName name="작업반장1" localSheetId="4">#REF!</definedName>
    <definedName name="작업반장1">#REF!</definedName>
    <definedName name="작업코드" localSheetId="4">#REF!</definedName>
    <definedName name="작업코드">#REF!</definedName>
    <definedName name="잔" localSheetId="2">#REF!</definedName>
    <definedName name="잔" localSheetId="4">#REF!</definedName>
    <definedName name="잔">#REF!</definedName>
    <definedName name="잠수부" localSheetId="4">#REF!</definedName>
    <definedName name="잠수부">#REF!</definedName>
    <definedName name="잠수부1" localSheetId="4">#REF!</definedName>
    <definedName name="잠수부1">#REF!</definedName>
    <definedName name="잡석부설노" localSheetId="4">#REF!</definedName>
    <definedName name="잡석부설노">#REF!</definedName>
    <definedName name="장비" localSheetId="4">#REF!</definedName>
    <definedName name="장비">#REF!</definedName>
    <definedName name="장산1" localSheetId="4">#REF!</definedName>
    <definedName name="장산1">#REF!</definedName>
    <definedName name="장산2" localSheetId="4">#REF!</definedName>
    <definedName name="장산2">#REF!</definedName>
    <definedName name="장산3" localSheetId="4">#REF!</definedName>
    <definedName name="장산3">#REF!</definedName>
    <definedName name="장산교" localSheetId="2">#REF!</definedName>
    <definedName name="장산교" localSheetId="4">#REF!</definedName>
    <definedName name="장산교">#REF!</definedName>
    <definedName name="장영규지후" localSheetId="4" hidden="1">{#N/A,#N/A,FALSE,"전력간선"}</definedName>
    <definedName name="장영규지후" localSheetId="1" hidden="1">{#N/A,#N/A,FALSE,"전력간선"}</definedName>
    <definedName name="장영규지후" hidden="1">{#N/A,#N/A,FALSE,"전력간선"}</definedName>
    <definedName name="장춘" localSheetId="4">#REF!</definedName>
    <definedName name="장춘" localSheetId="1">#REF!</definedName>
    <definedName name="장춘">#REF!</definedName>
    <definedName name="재" localSheetId="4">#REF!</definedName>
    <definedName name="재" localSheetId="1">#REF!</definedName>
    <definedName name="재">#REF!</definedName>
    <definedName name="재료비" localSheetId="4">#REF!</definedName>
    <definedName name="재료비" localSheetId="1">#REF!</definedName>
    <definedName name="재료비">#REF!</definedName>
    <definedName name="재료비2" localSheetId="4">#REF!</definedName>
    <definedName name="재료비2">#REF!</definedName>
    <definedName name="재료비3" localSheetId="4">#REF!</definedName>
    <definedName name="재료비3">#REF!</definedName>
    <definedName name="재료비4" localSheetId="4">#REF!</definedName>
    <definedName name="재료비4">#REF!</definedName>
    <definedName name="재료집계3" localSheetId="2">#REF!</definedName>
    <definedName name="재료집계3" localSheetId="4">#REF!</definedName>
    <definedName name="재료집계3">#REF!</definedName>
    <definedName name="쟈">#N/A</definedName>
    <definedName name="저수조만수위" localSheetId="4">#REF!</definedName>
    <definedName name="저수조만수위" localSheetId="1">#REF!</definedName>
    <definedName name="저수조만수위">#REF!</definedName>
    <definedName name="저압케이블" localSheetId="4">#REF!</definedName>
    <definedName name="저압케이블" localSheetId="1">#REF!</definedName>
    <definedName name="저압케이블">#REF!</definedName>
    <definedName name="저압케이블공">[96]노임단가!$F$21</definedName>
    <definedName name="저압케이블전공" localSheetId="4">#REF!</definedName>
    <definedName name="저압케이블전공" localSheetId="1">#REF!</definedName>
    <definedName name="저압케이블전공">#REF!</definedName>
    <definedName name="저케" localSheetId="4">#REF!</definedName>
    <definedName name="저케">#REF!</definedName>
    <definedName name="적용거리">[85]을부담운반비!$D$2</definedName>
    <definedName name="적용속도">[85]을부담운반비!$D$3</definedName>
    <definedName name="적용톤수">[85]을부담운반비!$D$1</definedName>
    <definedName name="전" localSheetId="4">#REF!</definedName>
    <definedName name="전" localSheetId="1">#REF!</definedName>
    <definedName name="전">#REF!</definedName>
    <definedName name="전기" localSheetId="4">#REF!</definedName>
    <definedName name="전기">#REF!</definedName>
    <definedName name="전기1" localSheetId="2" hidden="1">#REF!</definedName>
    <definedName name="전기1" localSheetId="4" hidden="1">#REF!</definedName>
    <definedName name="전기1" hidden="1">#REF!</definedName>
    <definedName name="전기공사물량산출집계표" localSheetId="2">#REF!</definedName>
    <definedName name="전기공사물량산출집계표" localSheetId="4">#REF!</definedName>
    <definedName name="전기공사물량산출집계표">#REF!</definedName>
    <definedName name="전기내역" localSheetId="4" hidden="1">{#N/A,#N/A,FALSE,"CCTV"}</definedName>
    <definedName name="전기내역" localSheetId="1" hidden="1">{#N/A,#N/A,FALSE,"CCTV"}</definedName>
    <definedName name="전기내역" hidden="1">{#N/A,#N/A,FALSE,"CCTV"}</definedName>
    <definedName name="전기마감" localSheetId="2" hidden="1">#REF!</definedName>
    <definedName name="전기마감" localSheetId="4" hidden="1">#REF!</definedName>
    <definedName name="전기마감" localSheetId="1" hidden="1">#REF!</definedName>
    <definedName name="전기마감" hidden="1">#REF!</definedName>
    <definedName name="전기산출내역" localSheetId="4">#REF!</definedName>
    <definedName name="전기산출내역">#REF!</definedName>
    <definedName name="전기시계" localSheetId="4">#REF!</definedName>
    <definedName name="전기시계">#REF!</definedName>
    <definedName name="전도" localSheetId="4">[135]총괄표!#REF!,[135]총괄표!#REF!,[135]총괄표!#REF!</definedName>
    <definedName name="전도" localSheetId="1">[135]총괄표!#REF!,[135]총괄표!#REF!,[135]총괄표!#REF!</definedName>
    <definedName name="전도">[135]총괄표!#REF!,[135]총괄표!#REF!,[135]총괄표!#REF!</definedName>
    <definedName name="전동기용량" localSheetId="4">#REF!</definedName>
    <definedName name="전동기용량" localSheetId="1">#REF!</definedName>
    <definedName name="전동기용량">#REF!</definedName>
    <definedName name="전등공량" localSheetId="4">#REF!</definedName>
    <definedName name="전등공량" localSheetId="1">#REF!</definedName>
    <definedName name="전등공량">#REF!</definedName>
    <definedName name="전등신설" localSheetId="4">#REF!</definedName>
    <definedName name="전등신설">#REF!</definedName>
    <definedName name="전력간선공사" localSheetId="1">표지!전력간선공사</definedName>
    <definedName name="전력간선공사">#N/A</definedName>
    <definedName name="전력비" localSheetId="4">#REF!</definedName>
    <definedName name="전력비" localSheetId="1">#REF!</definedName>
    <definedName name="전력비">#REF!</definedName>
    <definedName name="전력입니다">'[136]전기내역서(총계)'!$A$2:$L$24</definedName>
    <definedName name="전선_관">[92]!전선_관</definedName>
    <definedName name="전선관랙" localSheetId="4">#REF!</definedName>
    <definedName name="전선관랙" localSheetId="1">#REF!</definedName>
    <definedName name="전선관랙">#REF!</definedName>
    <definedName name="전선관부속품비">[133]요율!$B$2</definedName>
    <definedName name="전선및케이블" localSheetId="4">#REF!</definedName>
    <definedName name="전선및케이블" localSheetId="1">#REF!</definedName>
    <definedName name="전선및케이블">#REF!</definedName>
    <definedName name="전압강하가기">[92]!전압강하가기</definedName>
    <definedName name="전열공량" localSheetId="4">#REF!</definedName>
    <definedName name="전열공량" localSheetId="1">#REF!</definedName>
    <definedName name="전열공량">#REF!</definedName>
    <definedName name="전체" localSheetId="4">#REF!</definedName>
    <definedName name="전체">#REF!</definedName>
    <definedName name="절단공">[96]노임단가!$F$19</definedName>
    <definedName name="점멸기" localSheetId="4">#REF!</definedName>
    <definedName name="점멸기" localSheetId="1">#REF!</definedName>
    <definedName name="점멸기">#REF!</definedName>
    <definedName name="점멸기입력" localSheetId="4">#N/A</definedName>
    <definedName name="점멸기입력" localSheetId="1">표지!점멸기입력</definedName>
    <definedName name="점멸기입력">[0]!점멸기입력</definedName>
    <definedName name="접지" localSheetId="4">#REF!</definedName>
    <definedName name="접지" localSheetId="1">#REF!</definedName>
    <definedName name="접지">#REF!</definedName>
    <definedName name="접지1종합계">[118]접지1종!$S$20</definedName>
    <definedName name="접지수량">[137]접지수량!$A$6:$Q$22</definedName>
    <definedName name="접지용전선" localSheetId="4">#REF!</definedName>
    <definedName name="접지용전선" localSheetId="1">#REF!</definedName>
    <definedName name="접지용전선">#REF!</definedName>
    <definedName name="접지장치" localSheetId="4">#REF!</definedName>
    <definedName name="접지장치" localSheetId="1">#REF!</definedName>
    <definedName name="접지장치">#REF!</definedName>
    <definedName name="정근호" localSheetId="4" hidden="1">{#N/A,#N/A,TRUE,"토적및재료집계";#N/A,#N/A,TRUE,"토적및재료집계";#N/A,#N/A,TRUE,"단위량"}</definedName>
    <definedName name="정근호" localSheetId="1" hidden="1">{#N/A,#N/A,TRUE,"토적및재료집계";#N/A,#N/A,TRUE,"토적및재료집계";#N/A,#N/A,TRUE,"단위량"}</definedName>
    <definedName name="정근호" hidden="1">{#N/A,#N/A,TRUE,"토적및재료집계";#N/A,#N/A,TRUE,"토적및재료집계";#N/A,#N/A,TRUE,"단위량"}</definedName>
    <definedName name="정류기" localSheetId="4">#REF!</definedName>
    <definedName name="정류기" localSheetId="1">#REF!</definedName>
    <definedName name="정류기">#REF!</definedName>
    <definedName name="정화조" localSheetId="4" hidden="1">{#N/A,#N/A,FALSE,"CCTV"}</definedName>
    <definedName name="정화조" localSheetId="1" hidden="1">{#N/A,#N/A,FALSE,"CCTV"}</definedName>
    <definedName name="정화조" hidden="1">{#N/A,#N/A,FALSE,"CCTV"}</definedName>
    <definedName name="제경비계산서" localSheetId="2">#REF!</definedName>
    <definedName name="제경비계산서" localSheetId="4">#REF!</definedName>
    <definedName name="제경비계산서" localSheetId="1">#REF!</definedName>
    <definedName name="제경비계산서">#REF!</definedName>
    <definedName name="제목" localSheetId="4">#REF!</definedName>
    <definedName name="제목">#REF!</definedName>
    <definedName name="제수문" localSheetId="4" hidden="1">#REF!</definedName>
    <definedName name="제수문" localSheetId="1" hidden="1">#REF!</definedName>
    <definedName name="제수문" hidden="1">#REF!</definedName>
    <definedName name="제어케이블" localSheetId="4">#REF!</definedName>
    <definedName name="제어케이블">#REF!</definedName>
    <definedName name="제조" localSheetId="4">#REF!</definedName>
    <definedName name="제조">#REF!</definedName>
    <definedName name="제조원가율">"database+전체!$A$4:$W$825"</definedName>
    <definedName name="져">#N/A</definedName>
    <definedName name="조" localSheetId="4" hidden="1">{"'Firr(선)'!$AS$1:$AY$62","'Firr(사)'!$AS$1:$AY$62","'Firr(회)'!$AS$1:$AY$62","'Firr(선)'!$L$1:$V$62","'Firr(사)'!$L$1:$V$62","'Firr(회)'!$L$1:$V$62"}</definedName>
    <definedName name="조" localSheetId="1" hidden="1">{"'Firr(선)'!$AS$1:$AY$62","'Firr(사)'!$AS$1:$AY$62","'Firr(회)'!$AS$1:$AY$62","'Firr(선)'!$L$1:$V$62","'Firr(사)'!$L$1:$V$62","'Firr(회)'!$L$1:$V$62"}</definedName>
    <definedName name="조" hidden="1">{"'Firr(선)'!$AS$1:$AY$62","'Firr(사)'!$AS$1:$AY$62","'Firr(회)'!$AS$1:$AY$62","'Firr(선)'!$L$1:$V$62","'Firr(사)'!$L$1:$V$62","'Firr(회)'!$L$1:$V$62"}</definedName>
    <definedName name="조달수수료" localSheetId="4">#REF!</definedName>
    <definedName name="조달수수료" localSheetId="1">#REF!</definedName>
    <definedName name="조달수수료">#REF!</definedName>
    <definedName name="조명기구" localSheetId="4">#REF!</definedName>
    <definedName name="조명기구">#REF!</definedName>
    <definedName name="조명장치소계" localSheetId="4">#REF!</definedName>
    <definedName name="조명장치소계" localSheetId="1">#REF!</definedName>
    <definedName name="조명장치소계">#REF!</definedName>
    <definedName name="조수" localSheetId="4">#REF!</definedName>
    <definedName name="조수">#REF!</definedName>
    <definedName name="조장" localSheetId="4">#REF!</definedName>
    <definedName name="조장">#REF!</definedName>
    <definedName name="조적공" localSheetId="4">#REF!</definedName>
    <definedName name="조적공">#REF!</definedName>
    <definedName name="조적공1" localSheetId="4">#REF!</definedName>
    <definedName name="조적공1">#REF!</definedName>
    <definedName name="조차장" localSheetId="4" hidden="1">{#N/A,#N/A,FALSE,"명세표"}</definedName>
    <definedName name="조차장" localSheetId="1" hidden="1">{#N/A,#N/A,FALSE,"명세표"}</definedName>
    <definedName name="조차장" hidden="1">{#N/A,#N/A,FALSE,"명세표"}</definedName>
    <definedName name="조합" localSheetId="4">BlankMacro1</definedName>
    <definedName name="조합" localSheetId="1">BlankMacro1</definedName>
    <definedName name="조합">BlankMacro1</definedName>
    <definedName name="조합견적1" localSheetId="4">BlankMacro1</definedName>
    <definedName name="조합견적1" localSheetId="1">BlankMacro1</definedName>
    <definedName name="조합견적1">BlankMacro1</definedName>
    <definedName name="조합페인트" localSheetId="4">#REF!</definedName>
    <definedName name="조합페인트" localSheetId="1">#REF!</definedName>
    <definedName name="조합페인트">#REF!</definedName>
    <definedName name="조합페인트1" localSheetId="4">#REF!</definedName>
    <definedName name="조합페인트1" localSheetId="1">#REF!</definedName>
    <definedName name="조합페인트1">#REF!</definedName>
    <definedName name="조효" localSheetId="4" hidden="1">{"'Firr(선)'!$AS$1:$AY$62","'Firr(사)'!$AS$1:$AY$62","'Firr(회)'!$AS$1:$AY$62","'Firr(선)'!$L$1:$V$62","'Firr(사)'!$L$1:$V$62","'Firr(회)'!$L$1:$V$62"}</definedName>
    <definedName name="조효" localSheetId="1" hidden="1">{"'Firr(선)'!$AS$1:$AY$62","'Firr(사)'!$AS$1:$AY$62","'Firr(회)'!$AS$1:$AY$62","'Firr(선)'!$L$1:$V$62","'Firr(사)'!$L$1:$V$62","'Firr(회)'!$L$1:$V$62"}</definedName>
    <definedName name="조효" hidden="1">{"'Firr(선)'!$AS$1:$AY$62","'Firr(사)'!$AS$1:$AY$62","'Firr(회)'!$AS$1:$AY$62","'Firr(선)'!$L$1:$V$62","'Firr(사)'!$L$1:$V$62","'Firr(회)'!$L$1:$V$62"}</definedName>
    <definedName name="조효석" localSheetId="4" hidden="1">{"'Firr(선)'!$AS$1:$AY$62","'Firr(사)'!$AS$1:$AY$62","'Firr(회)'!$AS$1:$AY$62","'Firr(선)'!$L$1:$V$62","'Firr(사)'!$L$1:$V$62","'Firr(회)'!$L$1:$V$62"}</definedName>
    <definedName name="조효석" localSheetId="1" hidden="1">{"'Firr(선)'!$AS$1:$AY$62","'Firr(사)'!$AS$1:$AY$62","'Firr(회)'!$AS$1:$AY$62","'Firr(선)'!$L$1:$V$62","'Firr(사)'!$L$1:$V$62","'Firr(회)'!$L$1:$V$62"}</definedName>
    <definedName name="조효석" hidden="1">{"'Firr(선)'!$AS$1:$AY$62","'Firr(사)'!$AS$1:$AY$62","'Firr(회)'!$AS$1:$AY$62","'Firr(선)'!$L$1:$V$62","'Firr(사)'!$L$1:$V$62","'Firr(회)'!$L$1:$V$62"}</definedName>
    <definedName name="종단접속제" localSheetId="4">#REF!</definedName>
    <definedName name="종단접속제" localSheetId="1">#REF!</definedName>
    <definedName name="종단접속제">#REF!</definedName>
    <definedName name="종합결의96.11" localSheetId="4">#REF!</definedName>
    <definedName name="종합결의96.11">#REF!</definedName>
    <definedName name="주경기장" localSheetId="4" hidden="1">{#N/A,#N/A,FALSE,"표지"}</definedName>
    <definedName name="주경기장" localSheetId="1" hidden="1">{#N/A,#N/A,FALSE,"표지"}</definedName>
    <definedName name="주경기장" hidden="1">{#N/A,#N/A,FALSE,"표지"}</definedName>
    <definedName name="주영" localSheetId="2">#REF!</definedName>
    <definedName name="주영" localSheetId="4">#REF!</definedName>
    <definedName name="주영" localSheetId="1">#REF!</definedName>
    <definedName name="주영">#REF!</definedName>
    <definedName name="주영이" localSheetId="2">#REF!,#REF!,#REF!</definedName>
    <definedName name="주영이" localSheetId="4">#REF!,#REF!,#REF!</definedName>
    <definedName name="주영이" localSheetId="1">#REF!,#REF!,#REF!</definedName>
    <definedName name="주영이">#REF!,#REF!,#REF!</definedName>
    <definedName name="주요자재">[78]전기명!$J$326</definedName>
    <definedName name="주요자재집계표" localSheetId="4">#REF!</definedName>
    <definedName name="주요자재집계표" localSheetId="1">#REF!</definedName>
    <definedName name="주요자재집계표">#REF!</definedName>
    <definedName name="주차1" localSheetId="4">#REF!</definedName>
    <definedName name="주차1">#REF!</definedName>
    <definedName name="주차관제" localSheetId="4">#REF!</definedName>
    <definedName name="주차관제">#REF!</definedName>
    <definedName name="준공계" localSheetId="4">#REF!</definedName>
    <definedName name="준공계" localSheetId="1">#REF!</definedName>
    <definedName name="준공계">#REF!</definedName>
    <definedName name="준공기한" localSheetId="4">#REF!</definedName>
    <definedName name="준공기한" localSheetId="1">#REF!</definedName>
    <definedName name="준공기한">#REF!</definedName>
    <definedName name="준공년월일" localSheetId="4">#REF!</definedName>
    <definedName name="준공년월일" localSheetId="1">#REF!</definedName>
    <definedName name="준공년월일">#REF!</definedName>
    <definedName name="중간" localSheetId="4">'[90]토사(PE)'!#REF!</definedName>
    <definedName name="중간">'[90]토사(PE)'!#REF!</definedName>
    <definedName name="중기운전기사">'[87]기계경비(시간당)'!$D$4</definedName>
    <definedName name="중기운전기사1" localSheetId="4">#REF!</definedName>
    <definedName name="중기운전기사1" localSheetId="1">#REF!</definedName>
    <definedName name="중기운전기사1">#REF!</definedName>
    <definedName name="중기운전기사노무비" localSheetId="4">#REF!</definedName>
    <definedName name="중기운전기사노무비">#REF!</definedName>
    <definedName name="중기운전기사노무비1" localSheetId="4">#REF!</definedName>
    <definedName name="중기운전기사노무비1">#REF!</definedName>
    <definedName name="중기운전기사시간" localSheetId="4">#REF!</definedName>
    <definedName name="중기운전기사시간">#REF!</definedName>
    <definedName name="중기운전기사시간1" localSheetId="4">#REF!</definedName>
    <definedName name="중기운전기사시간1">#REF!</definedName>
    <definedName name="중기운전조수">[96]노임단가!$C$6</definedName>
    <definedName name="중기운전조수1" localSheetId="4">#REF!</definedName>
    <definedName name="중기운전조수1" localSheetId="1">#REF!</definedName>
    <definedName name="중기운전조수1">#REF!</definedName>
    <definedName name="중기운전조수노무비" localSheetId="4">#REF!</definedName>
    <definedName name="중기운전조수노무비">#REF!</definedName>
    <definedName name="중기운전조수노무비1" localSheetId="4">#REF!</definedName>
    <definedName name="중기운전조수노무비1">#REF!</definedName>
    <definedName name="중기조장">[96]노임단가!$F$6</definedName>
    <definedName name="중기조장1" localSheetId="4">#REF!</definedName>
    <definedName name="중기조장1" localSheetId="1">#REF!</definedName>
    <definedName name="중기조장1">#REF!</definedName>
    <definedName name="중기조장노무비" localSheetId="4">#REF!</definedName>
    <definedName name="중기조장노무비">#REF!</definedName>
    <definedName name="중기조장노무비1" localSheetId="4">#REF!</definedName>
    <definedName name="중기조장노무비1">#REF!</definedName>
    <definedName name="중기조장시간" localSheetId="4">#REF!</definedName>
    <definedName name="중기조장시간">#REF!</definedName>
    <definedName name="중기조장시간1" localSheetId="4">#REF!</definedName>
    <definedName name="중기조장시간1">#REF!</definedName>
    <definedName name="중량" localSheetId="2">#REF!</definedName>
    <definedName name="중량" localSheetId="4">#REF!</definedName>
    <definedName name="중량">#REF!</definedName>
    <definedName name="중량표" localSheetId="2">#REF!</definedName>
    <definedName name="중량표" localSheetId="4">#REF!</definedName>
    <definedName name="중량표">#REF!</definedName>
    <definedName name="즈">#N/A</definedName>
    <definedName name="증감" localSheetId="4">[0]!BlankMacro1</definedName>
    <definedName name="증감" localSheetId="1">[0]!BlankMacro1</definedName>
    <definedName name="증감">[0]!BlankMacro1</definedName>
    <definedName name="증감대비" localSheetId="4">#REF!</definedName>
    <definedName name="증감대비" localSheetId="1">#REF!</definedName>
    <definedName name="증감대비">#REF!</definedName>
    <definedName name="지" localSheetId="4">#REF!</definedName>
    <definedName name="지">#REF!</definedName>
    <definedName name="지__급__자__재__비" localSheetId="4">#REF!</definedName>
    <definedName name="지__급__자__재__비">#REF!</definedName>
    <definedName name="지동" localSheetId="4">#REF!</definedName>
    <definedName name="지동">#REF!</definedName>
    <definedName name="지디에스" localSheetId="2" hidden="1">#REF!</definedName>
    <definedName name="지디에스" localSheetId="4" hidden="1">#REF!</definedName>
    <definedName name="지디에스" hidden="1">#REF!</definedName>
    <definedName name="지상" localSheetId="4">#REF!</definedName>
    <definedName name="지상">#REF!</definedName>
    <definedName name="지역본부" localSheetId="4" hidden="1">{#N/A,#N/A,FALSE,"DAOCM 2차 검토"}</definedName>
    <definedName name="지역본부" localSheetId="1" hidden="1">{#N/A,#N/A,FALSE,"DAOCM 2차 검토"}</definedName>
    <definedName name="지역본부" hidden="1">{#N/A,#N/A,FALSE,"DAOCM 2차 검토"}</definedName>
    <definedName name="지입자재물량산출서1" localSheetId="4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지입자재물량산출서1" localSheetId="1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지입자재물량산출서1" hidden="1">{#N/A,#N/A,TRUE,"공종단가";#N/A,#N/A,TRUE,"Mtr단가";#N/A,#N/A,TRUE,"170GIS단가";#N/A,#N/A,TRUE,"258GIS단가";#N/A,#N/A,TRUE,"잡단가A";#N/A,#N/A,TRUE,"잡단가B";#N/A,#N/A,TRUE,"잡단가C";#N/A,#N/A,TRUE,"토목방재단가";#N/A,#N/A,TRUE,"MTR품";#N/A,#N/A,TRUE,"170GIS품";#N/A,#N/A,TRUE,"25.8GIS품";#N/A,#N/A,TRUE,"잡설비품";#N/A,#N/A,TRUE,"토목방재";#N/A,#N/A,TRUE,"시중노임"}</definedName>
    <definedName name="지입자재물량산출서3" localSheetId="4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지입자재물량산출서3" localSheetId="1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지입자재물량산출서3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지적기능2">[96]노임단가!$F$16</definedName>
    <definedName name="지적기사1">[96]노임단가!$F$15</definedName>
    <definedName name="지적기사2">[96]노임단가!$C$16</definedName>
    <definedName name="직노비" localSheetId="4">#REF!</definedName>
    <definedName name="직노비" localSheetId="1">#REF!</definedName>
    <definedName name="직노비">#REF!</definedName>
    <definedName name="직매54P" localSheetId="4" hidden="1">{#N/A,#N/A,TRUE,"토적및재료집계";#N/A,#N/A,TRUE,"토적및재료집계";#N/A,#N/A,TRUE,"단위량"}</definedName>
    <definedName name="직매54P" localSheetId="1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직비" localSheetId="4">[83]요율!$C$10</definedName>
    <definedName name="직비" localSheetId="1">[84]요율!$C$10</definedName>
    <definedName name="직비">[84]요율!$C$10</definedName>
    <definedName name="직접경비" localSheetId="4">#REF!</definedName>
    <definedName name="직접경비" localSheetId="1">#REF!</definedName>
    <definedName name="직접경비">#REF!</definedName>
    <definedName name="직접노무비" localSheetId="4">#REF!</definedName>
    <definedName name="직접노무비" localSheetId="1">#REF!</definedName>
    <definedName name="직접노무비">#REF!</definedName>
    <definedName name="직접재료비" localSheetId="4">#REF!</definedName>
    <definedName name="직접재료비" localSheetId="1">#REF!</definedName>
    <definedName name="직접재료비">#REF!</definedName>
    <definedName name="직종" localSheetId="4">#REF!</definedName>
    <definedName name="직종">#REF!</definedName>
    <definedName name="진석" localSheetId="4">#REF!,#REF!</definedName>
    <definedName name="진석" localSheetId="1">#REF!,#REF!</definedName>
    <definedName name="진석">#REF!,#REF!</definedName>
    <definedName name="진짜원가" localSheetId="4">#REF!</definedName>
    <definedName name="진짜원가" localSheetId="1">#REF!</definedName>
    <definedName name="진짜원가">#REF!</definedName>
    <definedName name="집계" localSheetId="4" hidden="1">{#N/A,#N/A,FALSE,"명세표"}</definedName>
    <definedName name="집계" localSheetId="1" hidden="1">{#N/A,#N/A,FALSE,"명세표"}</definedName>
    <definedName name="집계" hidden="1">{#N/A,#N/A,FALSE,"명세표"}</definedName>
    <definedName name="짜장" localSheetId="4">#REF!</definedName>
    <definedName name="짜장" localSheetId="1">#REF!</definedName>
    <definedName name="짜장">#REF!</definedName>
    <definedName name="ㅊ" localSheetId="4">[0]!BlankMacro1</definedName>
    <definedName name="ㅊ" localSheetId="1">[0]!BlankMacro1</definedName>
    <definedName name="ㅊ">[0]!BlankMacro1</definedName>
    <definedName name="ㅊ1555" localSheetId="4">#REF!</definedName>
    <definedName name="ㅊ1555" localSheetId="1">#REF!</definedName>
    <definedName name="ㅊ1555">#REF!</definedName>
    <definedName name="ㅊㄴ" localSheetId="4">#REF!</definedName>
    <definedName name="ㅊㄴ">#REF!</definedName>
    <definedName name="ㅊ모" localSheetId="4">#REF!</definedName>
    <definedName name="ㅊ모" localSheetId="1">#REF!</definedName>
    <definedName name="ㅊ모">#REF!</definedName>
    <definedName name="ㅊㅇㄹ" localSheetId="4">#REF!</definedName>
    <definedName name="ㅊㅇㄹ">#REF!</definedName>
    <definedName name="ㅊㅍ" localSheetId="4" hidden="1">#REF!</definedName>
    <definedName name="ㅊㅍ" hidden="1">#REF!</definedName>
    <definedName name="ㅊㅍㅁㄴㅇㄹ" localSheetId="4">#REF!</definedName>
    <definedName name="ㅊㅍㅁㄴㅇㄹ">#REF!</definedName>
    <definedName name="ㅊㅍㅋㅌㅊㅍㅁㄴ" localSheetId="4">#REF!</definedName>
    <definedName name="ㅊㅍㅋㅌㅊㅍㅁㄴ">#REF!</definedName>
    <definedName name="차" localSheetId="4" hidden="1">{"'자리배치도'!$AG$1:$CI$28"}</definedName>
    <definedName name="차" localSheetId="1" hidden="1">{"'자리배치도'!$AG$1:$CI$28"}</definedName>
    <definedName name="차" hidden="1">{"'자리배치도'!$AG$1:$CI$28"}</definedName>
    <definedName name="차량가격">[85]을부담운반비!$D$4</definedName>
    <definedName name="차선도색" localSheetId="4">#REF!</definedName>
    <definedName name="차선도색" localSheetId="1">#REF!</definedName>
    <definedName name="차선도색">#REF!</definedName>
    <definedName name="착공기한" localSheetId="4">#REF!</definedName>
    <definedName name="착공기한">#REF!</definedName>
    <definedName name="착공년월일" localSheetId="4">#REF!</definedName>
    <definedName name="착공년월일">#REF!</definedName>
    <definedName name="착공일" localSheetId="4">#REF!</definedName>
    <definedName name="착공일">#REF!</definedName>
    <definedName name="착암공">'[87]기계경비(시간당)'!$D$12</definedName>
    <definedName name="착암공1" localSheetId="4">#REF!</definedName>
    <definedName name="착암공1" localSheetId="1">#REF!</definedName>
    <definedName name="착암공1">#REF!</definedName>
    <definedName name="착정심도" localSheetId="4">#REF!</definedName>
    <definedName name="착정심도">#REF!</definedName>
    <definedName name="찰샇기" localSheetId="4" hidden="1">#REF!</definedName>
    <definedName name="찰샇기" hidden="1">#REF!</definedName>
    <definedName name="창호잡철최종" localSheetId="4">[138]대공종!#REF!</definedName>
    <definedName name="창호잡철최종">[138]대공종!#REF!</definedName>
    <definedName name="철가간노" localSheetId="4">#REF!</definedName>
    <definedName name="철가간노" localSheetId="1">#REF!</definedName>
    <definedName name="철가간노">#REF!</definedName>
    <definedName name="철가간재" localSheetId="4">#REF!</definedName>
    <definedName name="철가간재">#REF!</definedName>
    <definedName name="철가복노" localSheetId="4">#REF!</definedName>
    <definedName name="철가복노">#REF!</definedName>
    <definedName name="철가복재" localSheetId="4">#REF!</definedName>
    <definedName name="철가복재">#REF!</definedName>
    <definedName name="철거자재" localSheetId="4">#REF!</definedName>
    <definedName name="철거자재">#REF!</definedName>
    <definedName name="철골공" localSheetId="4">#REF!</definedName>
    <definedName name="철골공">#REF!</definedName>
    <definedName name="철골공1" localSheetId="4">#REF!</definedName>
    <definedName name="철골공1">#REF!</definedName>
    <definedName name="철공">[113]노임!$B$4</definedName>
    <definedName name="철공1" localSheetId="4">#REF!</definedName>
    <definedName name="철공1" localSheetId="1">#REF!</definedName>
    <definedName name="철공1">#REF!</definedName>
    <definedName name="철근">[26]맨홀수량산출!$AE$36</definedName>
    <definedName name="철근13" localSheetId="4">#REF!</definedName>
    <definedName name="철근13" localSheetId="1">#REF!</definedName>
    <definedName name="철근13">#REF!</definedName>
    <definedName name="철근131" localSheetId="4">#REF!</definedName>
    <definedName name="철근131">#REF!</definedName>
    <definedName name="철근16" localSheetId="4">#REF!</definedName>
    <definedName name="철근16">#REF!</definedName>
    <definedName name="철근19" localSheetId="4">#REF!</definedName>
    <definedName name="철근19">#REF!</definedName>
    <definedName name="철근22" localSheetId="4">#REF!</definedName>
    <definedName name="철근22">#REF!</definedName>
    <definedName name="철근25" localSheetId="4">#REF!</definedName>
    <definedName name="철근25">#REF!</definedName>
    <definedName name="철근공">[96]노임단가!$F$8</definedName>
    <definedName name="철근깨기수량" localSheetId="4">#REF!</definedName>
    <definedName name="철근깨기수량" localSheetId="1">#REF!</definedName>
    <definedName name="철근깨기수량">#REF!</definedName>
    <definedName name="철근자료" localSheetId="2" hidden="1">#REF!</definedName>
    <definedName name="철근자료" localSheetId="4" hidden="1">#REF!</definedName>
    <definedName name="철근자료" hidden="1">#REF!</definedName>
    <definedName name="철도2" localSheetId="4">#REF!</definedName>
    <definedName name="철도2">#REF!</definedName>
    <definedName name="철목1호" localSheetId="4">#REF!</definedName>
    <definedName name="철목1호">#REF!</definedName>
    <definedName name="철목2호" localSheetId="4">#REF!</definedName>
    <definedName name="철목2호">#REF!</definedName>
    <definedName name="철목3호" localSheetId="4">#REF!</definedName>
    <definedName name="철목3호">#REF!</definedName>
    <definedName name="철목4호" localSheetId="4">#REF!</definedName>
    <definedName name="철목4호">#REF!</definedName>
    <definedName name="철선" localSheetId="4">#REF!</definedName>
    <definedName name="철선">#REF!</definedName>
    <definedName name="철선1" localSheetId="4">#REF!</definedName>
    <definedName name="철선1">#REF!</definedName>
    <definedName name="철선8" localSheetId="4">#REF!</definedName>
    <definedName name="철선8">#REF!</definedName>
    <definedName name="철주신설공구손료" localSheetId="4">#REF!</definedName>
    <definedName name="철주신설공구손료">#REF!</definedName>
    <definedName name="철주신설공비" localSheetId="4">#REF!</definedName>
    <definedName name="철주신설공비">#REF!</definedName>
    <definedName name="철주신설재료비" localSheetId="4">#REF!</definedName>
    <definedName name="철주신설재료비">#REF!</definedName>
    <definedName name="철판공" localSheetId="4">#REF!</definedName>
    <definedName name="철판공">#REF!</definedName>
    <definedName name="철판공1" localSheetId="4">#REF!</definedName>
    <definedName name="철판공1">#REF!</definedName>
    <definedName name="청">[67]!Macro14</definedName>
    <definedName name="청림1호" localSheetId="4">#REF!</definedName>
    <definedName name="청림1호" localSheetId="1">#REF!</definedName>
    <definedName name="청림1호">#REF!</definedName>
    <definedName name="청림2호" localSheetId="4">#REF!</definedName>
    <definedName name="청림2호" localSheetId="1">#REF!</definedName>
    <definedName name="청림2호">#REF!</definedName>
    <definedName name="청림3호" localSheetId="4">#REF!</definedName>
    <definedName name="청림3호">#REF!</definedName>
    <definedName name="체어몰탈바닥" localSheetId="4">#REF!</definedName>
    <definedName name="체어몰탈바닥">#REF!</definedName>
    <definedName name="체어몰탈벽체" localSheetId="4">#REF!</definedName>
    <definedName name="체어몰탈벽체">#REF!</definedName>
    <definedName name="쳐">#N/A</definedName>
    <definedName name="총______원_______가" localSheetId="4">#REF!</definedName>
    <definedName name="총______원_______가" localSheetId="1">#REF!</definedName>
    <definedName name="총______원_______가">#REF!</definedName>
    <definedName name="총___공____사___비" localSheetId="4">#REF!</definedName>
    <definedName name="총___공____사___비" localSheetId="1">#REF!</definedName>
    <definedName name="총___공____사___비">#REF!</definedName>
    <definedName name="총_원_가" localSheetId="4">[139]손익분석!#REF!</definedName>
    <definedName name="총_원_가" localSheetId="1">[139]손익분석!#REF!</definedName>
    <definedName name="총_원_가">[139]손익분석!#REF!</definedName>
    <definedName name="총계" localSheetId="4">#REF!</definedName>
    <definedName name="총계" localSheetId="1">#REF!</definedName>
    <definedName name="총계">#REF!</definedName>
    <definedName name="총공사원가" localSheetId="4">#REF!</definedName>
    <definedName name="총공사원가" localSheetId="1">#REF!</definedName>
    <definedName name="총공사원가">#REF!</definedName>
    <definedName name="총괄" localSheetId="4" hidden="1">{#N/A,#N/A,FALSE,"전력간선"}</definedName>
    <definedName name="총괄" localSheetId="1" hidden="1">{#N/A,#N/A,FALSE,"전력간선"}</definedName>
    <definedName name="총괄" hidden="1">{#N/A,#N/A,FALSE,"전력간선"}</definedName>
    <definedName name="총괄표" localSheetId="4">#REF!</definedName>
    <definedName name="총괄표" localSheetId="1">#REF!</definedName>
    <definedName name="총괄표">#REF!</definedName>
    <definedName name="총노무" localSheetId="4">#REF!</definedName>
    <definedName name="총노무">#REF!</definedName>
    <definedName name="총높이" localSheetId="4">'[90]토사(PE)'!#REF!</definedName>
    <definedName name="총높이">'[90]토사(PE)'!#REF!</definedName>
    <definedName name="총원가" localSheetId="4">#REF!</definedName>
    <definedName name="총원가" localSheetId="1">#REF!</definedName>
    <definedName name="총원가">#REF!</definedName>
    <definedName name="총원가2" localSheetId="4">#REF!</definedName>
    <definedName name="총원가2" localSheetId="1">#REF!</definedName>
    <definedName name="총원가2">#REF!</definedName>
    <definedName name="총원가격" localSheetId="4">#REF!</definedName>
    <definedName name="총원가격">#REF!</definedName>
    <definedName name="총자재" localSheetId="4">#REF!</definedName>
    <definedName name="총자재">#REF!</definedName>
    <definedName name="추" localSheetId="4">[0]!BlankMacro1</definedName>
    <definedName name="추" localSheetId="1">[0]!BlankMacro1</definedName>
    <definedName name="추">[0]!BlankMacro1</definedName>
    <definedName name="추레이" localSheetId="4">#REF!</definedName>
    <definedName name="추레이" localSheetId="1">#REF!</definedName>
    <definedName name="추레이">#REF!</definedName>
    <definedName name="출" localSheetId="4">#REF!</definedName>
    <definedName name="출">#REF!</definedName>
    <definedName name="츄ㅗㄹㅊㄹ초" localSheetId="4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ㅗㄹㅊㄹ초" localSheetId="1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치">#N/A</definedName>
    <definedName name="치즐" localSheetId="4">#REF!</definedName>
    <definedName name="치즐" localSheetId="1">#REF!</definedName>
    <definedName name="치즐">#REF!</definedName>
    <definedName name="치핑">[26]맨홀수량산출!$AE$33</definedName>
    <definedName name="칠곡" localSheetId="4" hidden="1">{#N/A,#N/A,TRUE,"손익보고"}</definedName>
    <definedName name="칠곡" localSheetId="1" hidden="1">{#N/A,#N/A,TRUE,"손익보고"}</definedName>
    <definedName name="칠곡" hidden="1">{#N/A,#N/A,TRUE,"손익보고"}</definedName>
    <definedName name="ㅋ" localSheetId="4" hidden="1">{#N/A,#N/A,TRUE,"토적및재료집계";#N/A,#N/A,TRUE,"토적및재료집계";#N/A,#N/A,TRUE,"단위량"}</definedName>
    <definedName name="ㅋ" localSheetId="1" hidden="1">{#N/A,#N/A,TRUE,"토적및재료집계";#N/A,#N/A,TRUE,"토적및재료집계";#N/A,#N/A,TRUE,"단위량"}</definedName>
    <definedName name="ㅋ" hidden="1">{#N/A,#N/A,TRUE,"토적및재료집계";#N/A,#N/A,TRUE,"토적및재료집계";#N/A,#N/A,TRUE,"단위량"}</definedName>
    <definedName name="ㅋㄴㅊㅍㅁㄴㅇㄹ" localSheetId="4">#REF!</definedName>
    <definedName name="ㅋㄴㅊㅍㅁㄴㅇㄹ" localSheetId="1">#REF!</definedName>
    <definedName name="ㅋㄴㅊㅍㅁㄴㅇㄹ">#REF!</definedName>
    <definedName name="ㅋ륭ㅎㄹㅇㄹ" localSheetId="4">[0]!BlankMacro1</definedName>
    <definedName name="ㅋ륭ㅎㄹㅇㄹ" localSheetId="1">[0]!BlankMacro1</definedName>
    <definedName name="ㅋ륭ㅎㄹㅇㄹ">[0]!BlankMacro1</definedName>
    <definedName name="ㅋㅇㅁㅇ" localSheetId="4" hidden="1">{"'공사부문'!$A$6:$A$32"}</definedName>
    <definedName name="ㅋㅇㅁㅇ" localSheetId="1" hidden="1">{"'공사부문'!$A$6:$A$32"}</definedName>
    <definedName name="ㅋㅇㅁㅇ" hidden="1">{"'공사부문'!$A$6:$A$32"}</definedName>
    <definedName name="ㅋㅋ" localSheetId="4" hidden="1">{#N/A,#N/A,FALSE,"명세표"}</definedName>
    <definedName name="ㅋㅋ" localSheetId="1" hidden="1">{#N/A,#N/A,FALSE,"명세표"}</definedName>
    <definedName name="ㅋㅋ" hidden="1">{#N/A,#N/A,FALSE,"명세표"}</definedName>
    <definedName name="ㅋㅋㅋ" localSheetId="4" hidden="1">{#N/A,#N/A,FALSE,"단가표지"}</definedName>
    <definedName name="ㅋㅋㅋ" localSheetId="1" hidden="1">{#N/A,#N/A,FALSE,"단가표지"}</definedName>
    <definedName name="ㅋㅋㅋ" hidden="1">{#N/A,#N/A,FALSE,"단가표지"}</definedName>
    <definedName name="ㅋㅌㄹ">#REF!</definedName>
    <definedName name="ㅋㅌㅊㅍㄴ" localSheetId="4">#REF!</definedName>
    <definedName name="ㅋㅌㅊㅍㄴ">#REF!</definedName>
    <definedName name="카" localSheetId="4" hidden="1">{"'자리배치도'!$AG$1:$CI$28"}</definedName>
    <definedName name="카" localSheetId="1" hidden="1">{"'자리배치도'!$AG$1:$CI$28"}</definedName>
    <definedName name="카" hidden="1">{"'자리배치도'!$AG$1:$CI$28"}</definedName>
    <definedName name="카비">[67]!Macro10</definedName>
    <definedName name="카빋">[67]!Macro12</definedName>
    <definedName name="캇타간재">'[87]기계경비(시간당)'!$H$92</definedName>
    <definedName name="캇타기경" localSheetId="4">#REF!</definedName>
    <definedName name="캇타기경" localSheetId="1">#REF!</definedName>
    <definedName name="캇타기경">#REF!</definedName>
    <definedName name="캇타기노" localSheetId="4">#REF!</definedName>
    <definedName name="캇타기노">#REF!</definedName>
    <definedName name="캇타기재" localSheetId="4">#REF!</definedName>
    <definedName name="캇타기재">#REF!</definedName>
    <definedName name="캇타노무">'[87]기계경비(시간당)'!$H$88</definedName>
    <definedName name="캇타손료">'[87]기계경비(시간당)'!$H$87</definedName>
    <definedName name="케이블_1" localSheetId="1">[27]단가!#REF!</definedName>
    <definedName name="케이블_1">[27]단가!#REF!</definedName>
    <definedName name="케이블간지" localSheetId="4" hidden="1">{#N/A,#N/A,TRUE,"토적및재료집계";#N/A,#N/A,TRUE,"토적및재료집계";#N/A,#N/A,TRUE,"단위량"}</definedName>
    <definedName name="케이블간지" localSheetId="1" hidden="1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  <definedName name="케이블공" localSheetId="4">#REF!</definedName>
    <definedName name="케이블공" localSheetId="1">#REF!</definedName>
    <definedName name="케이블공">#REF!</definedName>
    <definedName name="케이블공1" localSheetId="4">#REF!</definedName>
    <definedName name="케이블공1" localSheetId="1">#REF!</definedName>
    <definedName name="케이블공1">#REF!</definedName>
    <definedName name="켜">#N/A</definedName>
    <definedName name="콘120규격" localSheetId="4">[44]SORCE1!$AA$1:$AO$15</definedName>
    <definedName name="콘120규격">[45]SORCE1!$AA$1:$AO$15</definedName>
    <definedName name="콘180규격" localSheetId="4">[44]SORCE1!$AQ$1:$BE$15</definedName>
    <definedName name="콘180규격">[45]SORCE1!$AQ$1:$BE$15</definedName>
    <definedName name="콘25">[111]맨홀수량산출!$AE$14</definedName>
    <definedName name="콘40">[111]맨홀수량산출!$AE$7</definedName>
    <definedName name="콘주철거공구손료" localSheetId="4">#REF!</definedName>
    <definedName name="콘주철거공구손료" localSheetId="1">#REF!</definedName>
    <definedName name="콘주철거공구손료">#REF!</definedName>
    <definedName name="콘주철거공비" localSheetId="4">#REF!</definedName>
    <definedName name="콘주철거공비" localSheetId="1">#REF!</definedName>
    <definedName name="콘주철거공비">#REF!</definedName>
    <definedName name="콘주철거합계" localSheetId="4">#REF!</definedName>
    <definedName name="콘주철거합계" localSheetId="1">#REF!</definedName>
    <definedName name="콘주철거합계">#REF!</definedName>
    <definedName name="콘크" localSheetId="4">#REF!</definedName>
    <definedName name="콘크">#REF!</definedName>
    <definedName name="콘크리트2" localSheetId="4" hidden="1">#REF!</definedName>
    <definedName name="콘크리트2" hidden="1">#REF!</definedName>
    <definedName name="콘크리트공">[113]노임!$B$8</definedName>
    <definedName name="콘크리트공1" localSheetId="4">#REF!</definedName>
    <definedName name="콘크리트공1" localSheetId="1">#REF!</definedName>
    <definedName name="콘크리트공1">#REF!</definedName>
    <definedName name="크">#N/A</definedName>
    <definedName name="크경" localSheetId="4">#REF!</definedName>
    <definedName name="크경" localSheetId="1">#REF!</definedName>
    <definedName name="크경">#REF!</definedName>
    <definedName name="크노" localSheetId="4">#REF!</definedName>
    <definedName name="크노" localSheetId="1">#REF!</definedName>
    <definedName name="크노">#REF!</definedName>
    <definedName name="크레인노" localSheetId="4">#REF!</definedName>
    <definedName name="크레인노">#REF!</definedName>
    <definedName name="크레인재" localSheetId="4">#REF!</definedName>
    <definedName name="크레인재">#REF!</definedName>
    <definedName name="크레인트럭10경" localSheetId="4">#REF!</definedName>
    <definedName name="크레인트럭10경">#REF!</definedName>
    <definedName name="크레인트럭10노" localSheetId="4">#REF!</definedName>
    <definedName name="크레인트럭10노">#REF!</definedName>
    <definedName name="크레인트럭10재" localSheetId="4">#REF!</definedName>
    <definedName name="크레인트럭10재">#REF!</definedName>
    <definedName name="크롤러경비" localSheetId="4">#REF!</definedName>
    <definedName name="크롤러경비">#REF!</definedName>
    <definedName name="크재" localSheetId="4">#REF!</definedName>
    <definedName name="크재">#REF!</definedName>
    <definedName name="키">#N/A</definedName>
    <definedName name="ㅌㅇㄹ" localSheetId="4">#REF!</definedName>
    <definedName name="ㅌㅇㄹ" localSheetId="1">#REF!</definedName>
    <definedName name="ㅌㅇㄹ">#REF!</definedName>
    <definedName name="ㅌㅊㅍㅌㅊㅍㄴㅇㄹ" localSheetId="4">#REF!</definedName>
    <definedName name="ㅌㅊㅍㅌㅊㅍㄴㅇㄹ" localSheetId="1">#REF!</definedName>
    <definedName name="ㅌㅊㅍㅌㅊㅍㄴㅇㄹ">#REF!</definedName>
    <definedName name="ㅌㅊㅍㅌㅊㅍㅌ" localSheetId="4">#REF!</definedName>
    <definedName name="ㅌㅊㅍㅌㅊㅍㅌ">#REF!</definedName>
    <definedName name="ㅌㅋ" localSheetId="4">#REF!</definedName>
    <definedName name="ㅌㅋ">#REF!</definedName>
    <definedName name="ㅌㅍㅊㅇㅌㅎ" localSheetId="4" hidden="1">{#N/A,#N/A,FALSE,"도급대비시행율";#N/A,#N/A,FALSE,"결의서";#N/A,#N/A,FALSE,"내역서";#N/A,#N/A,FALSE,"도급예상"}</definedName>
    <definedName name="ㅌㅍㅊㅇㅌㅎ" localSheetId="1" hidden="1">{#N/A,#N/A,FALSE,"도급대비시행율";#N/A,#N/A,FALSE,"결의서";#N/A,#N/A,FALSE,"내역서";#N/A,#N/A,FALSE,"도급예상"}</definedName>
    <definedName name="ㅌㅍㅊㅇㅌㅎ" hidden="1">{#N/A,#N/A,FALSE,"도급대비시행율";#N/A,#N/A,FALSE,"결의서";#N/A,#N/A,FALSE,"내역서";#N/A,#N/A,FALSE,"도급예상"}</definedName>
    <definedName name="타" localSheetId="4" hidden="1">{"'자리배치도'!$AG$1:$CI$28"}</definedName>
    <definedName name="타" localSheetId="1" hidden="1">{"'자리배치도'!$AG$1:$CI$28"}</definedName>
    <definedName name="타" hidden="1">{"'자리배치도'!$AG$1:$CI$28"}</definedName>
    <definedName name="타내역">#REF!</definedName>
    <definedName name="타이틀">'[140]실행내역 (2)'!$D$67,'[140]실행내역 (2)'!$D$10</definedName>
    <definedName name="태림내역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태림내역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태림내역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태빈" localSheetId="4">#REF!</definedName>
    <definedName name="태빈" localSheetId="1">#REF!</definedName>
    <definedName name="태빈">#REF!</definedName>
    <definedName name="터미날" localSheetId="4">#REF!</definedName>
    <definedName name="터미날">#REF!</definedName>
    <definedName name="터파기계산">[92]!터파기계산</definedName>
    <definedName name="터파기기계0.4경비" localSheetId="4">#REF!</definedName>
    <definedName name="터파기기계0.4경비" localSheetId="1">#REF!</definedName>
    <definedName name="터파기기계0.4경비">#REF!</definedName>
    <definedName name="터파기기계0.4노무비" localSheetId="4">#REF!</definedName>
    <definedName name="터파기기계0.4노무비" localSheetId="1">#REF!</definedName>
    <definedName name="터파기기계0.4노무비">#REF!</definedName>
    <definedName name="터파기기계0.4재료비" localSheetId="4">#REF!</definedName>
    <definedName name="터파기기계0.4재료비">#REF!</definedName>
    <definedName name="테스트" localSheetId="2" hidden="1">#REF!</definedName>
    <definedName name="테스트" localSheetId="4" hidden="1">#REF!</definedName>
    <definedName name="테스트" hidden="1">#REF!</definedName>
    <definedName name="템" localSheetId="4">BlankMacro1</definedName>
    <definedName name="템" localSheetId="1">BlankMacro1</definedName>
    <definedName name="템">BlankMacro1</definedName>
    <definedName name="템1" localSheetId="4">BlankMacro1</definedName>
    <definedName name="템1" localSheetId="1">BlankMacro1</definedName>
    <definedName name="템1">BlankMacro1</definedName>
    <definedName name="템2" localSheetId="4">BlankMacro1</definedName>
    <definedName name="템2" localSheetId="1">BlankMacro1</definedName>
    <definedName name="템2">BlankMacro1</definedName>
    <definedName name="템3" localSheetId="4">BlankMacro1</definedName>
    <definedName name="템3" localSheetId="1">BlankMacro1</definedName>
    <definedName name="템3">BlankMacro1</definedName>
    <definedName name="템4" localSheetId="4">BlankMacro1</definedName>
    <definedName name="템4" localSheetId="1">BlankMacro1</definedName>
    <definedName name="템4">BlankMacro1</definedName>
    <definedName name="템5" localSheetId="4">BlankMacro1</definedName>
    <definedName name="템5" localSheetId="1">BlankMacro1</definedName>
    <definedName name="템5">BlankMacro1</definedName>
    <definedName name="템6" localSheetId="4">BlankMacro1</definedName>
    <definedName name="템6" localSheetId="1">BlankMacro1</definedName>
    <definedName name="템6">BlankMacro1</definedName>
    <definedName name="템9" localSheetId="4">BlankMacro1</definedName>
    <definedName name="템9" localSheetId="1">BlankMacro1</definedName>
    <definedName name="템9">BlankMacro1</definedName>
    <definedName name="템플리트모듈1" localSheetId="4">BlankMacro1</definedName>
    <definedName name="템플리트모듈1" localSheetId="1">BlankMacro1</definedName>
    <definedName name="템플리트모듈1">BlankMacro1</definedName>
    <definedName name="템플리트모듈100" localSheetId="4">BlankMacro1</definedName>
    <definedName name="템플리트모듈100" localSheetId="1">BlankMacro1</definedName>
    <definedName name="템플리트모듈100">BlankMacro1</definedName>
    <definedName name="템플리트모듈101" localSheetId="4">BlankMacro1</definedName>
    <definedName name="템플리트모듈101" localSheetId="1">BlankMacro1</definedName>
    <definedName name="템플리트모듈101">BlankMacro1</definedName>
    <definedName name="템플리트모듈11" localSheetId="4">BlankMacro1</definedName>
    <definedName name="템플리트모듈11" localSheetId="1">BlankMacro1</definedName>
    <definedName name="템플리트모듈11">BlankMacro1</definedName>
    <definedName name="템플리트모듈2" localSheetId="4">BlankMacro1</definedName>
    <definedName name="템플리트모듈2" localSheetId="1">BlankMacro1</definedName>
    <definedName name="템플리트모듈2">BlankMacro1</definedName>
    <definedName name="템플리트모듈3" localSheetId="4">BlankMacro1</definedName>
    <definedName name="템플리트모듈3" localSheetId="1">BlankMacro1</definedName>
    <definedName name="템플리트모듈3">BlankMacro1</definedName>
    <definedName name="템플리트모듈4" localSheetId="4">BlankMacro1</definedName>
    <definedName name="템플리트모듈4" localSheetId="1">BlankMacro1</definedName>
    <definedName name="템플리트모듈4">BlankMacro1</definedName>
    <definedName name="템플리트모듈5" localSheetId="4">BlankMacro1</definedName>
    <definedName name="템플리트모듈5" localSheetId="1">BlankMacro1</definedName>
    <definedName name="템플리트모듈5">BlankMacro1</definedName>
    <definedName name="템플리트모듈6" localSheetId="4">BlankMacro1</definedName>
    <definedName name="템플리트모듈6" localSheetId="1">BlankMacro1</definedName>
    <definedName name="템플리트모듈6">BlankMacro1</definedName>
    <definedName name="텨">#N/A</definedName>
    <definedName name="토" localSheetId="4" hidden="1">{#N/A,#N/A,TRUE,"토적및재료집계";#N/A,#N/A,TRUE,"토적및재료집계";#N/A,#N/A,TRUE,"단위량"}</definedName>
    <definedName name="토" localSheetId="1" hidden="1">{#N/A,#N/A,TRUE,"토적및재료집계";#N/A,#N/A,TRUE,"토적및재료집계";#N/A,#N/A,TRUE,"단위량"}</definedName>
    <definedName name="토" hidden="1">{#N/A,#N/A,TRUE,"토적및재료집계";#N/A,#N/A,TRUE,"토적및재료집계";#N/A,#N/A,TRUE,"단위량"}</definedName>
    <definedName name="토공" localSheetId="4">#REF!</definedName>
    <definedName name="토공" localSheetId="1">#REF!</definedName>
    <definedName name="토공">#REF!</definedName>
    <definedName name="토목설계" localSheetId="4" hidden="1">{#N/A,#N/A,FALSE,"골재소요량";#N/A,#N/A,FALSE,"골재소요량"}</definedName>
    <definedName name="토목설계" localSheetId="1" hidden="1">{#N/A,#N/A,FALSE,"골재소요량";#N/A,#N/A,FALSE,"골재소요량"}</definedName>
    <definedName name="토목설계" hidden="1">{#N/A,#N/A,FALSE,"골재소요량";#N/A,#N/A,FALSE,"골재소요량"}</definedName>
    <definedName name="토목자재">[78]토목명!$O$184</definedName>
    <definedName name="토사천공개소" localSheetId="1">'[46]가시설(TYPE-A)'!#REF!</definedName>
    <definedName name="토사천공개소">'[46]가시설(TYPE-A)'!#REF!</definedName>
    <definedName name="토적집계1" localSheetId="4" hidden="1">{#N/A,#N/A,TRUE,"토적및재료집계";#N/A,#N/A,TRUE,"토적및재료집계";#N/A,#N/A,TRUE,"단위량"}</definedName>
    <definedName name="토적집계1" localSheetId="1" hidden="1">{#N/A,#N/A,TRUE,"토적및재료집계";#N/A,#N/A,TRUE,"토적및재료집계";#N/A,#N/A,TRUE,"단위량"}</definedName>
    <definedName name="토적집계1" hidden="1">{#N/A,#N/A,TRUE,"토적및재료집계";#N/A,#N/A,TRUE,"토적및재료집계";#N/A,#N/A,TRUE,"단위량"}</definedName>
    <definedName name="통" localSheetId="4">#REF!</definedName>
    <definedName name="통" localSheetId="1">#REF!</definedName>
    <definedName name="통">#REF!</definedName>
    <definedName name="통1" localSheetId="4">#REF!</definedName>
    <definedName name="통1" localSheetId="1">#REF!</definedName>
    <definedName name="통1">#REF!</definedName>
    <definedName name="통관비" localSheetId="4">#REF!</definedName>
    <definedName name="통관비">#REF!</definedName>
    <definedName name="통내">[101]노무비!$B$8</definedName>
    <definedName name="통설">[101]노무비!$B$10</definedName>
    <definedName name="통신" localSheetId="4">#REF!</definedName>
    <definedName name="통신" localSheetId="1">#REF!</definedName>
    <definedName name="통신">#REF!</definedName>
    <definedName name="통신관련산업기사">[141]시중노임단가!$B$12</definedName>
    <definedName name="통신기사" localSheetId="4">#REF!</definedName>
    <definedName name="통신기사" localSheetId="1">#REF!</definedName>
    <definedName name="통신기사">#REF!</definedName>
    <definedName name="통신내" localSheetId="4">#REF!</definedName>
    <definedName name="통신내">#REF!</definedName>
    <definedName name="통신내선" localSheetId="4">#REF!</definedName>
    <definedName name="통신내선">#REF!</definedName>
    <definedName name="통신내선공" localSheetId="4">#REF!</definedName>
    <definedName name="통신내선공" localSheetId="1">#REF!</definedName>
    <definedName name="통신내선공">#REF!</definedName>
    <definedName name="통신설비" localSheetId="4">#REF!</definedName>
    <definedName name="통신설비">#REF!</definedName>
    <definedName name="통신설비공">[141]시중노임단가!$B$14</definedName>
    <definedName name="통신외선공">[96]노임단가!$C$12</definedName>
    <definedName name="통신케이블공" localSheetId="4">#REF!</definedName>
    <definedName name="통신케이블공" localSheetId="1">#REF!</definedName>
    <definedName name="통신케이블공">#REF!</definedName>
    <definedName name="통케" localSheetId="4">#REF!</definedName>
    <definedName name="통케">#REF!</definedName>
    <definedName name="통합" localSheetId="4">#N/A</definedName>
    <definedName name="통합" localSheetId="1">표지!통합</definedName>
    <definedName name="통합">[0]!통합</definedName>
    <definedName name="트">#N/A</definedName>
    <definedName name="특고" localSheetId="4">#REF!</definedName>
    <definedName name="특고" localSheetId="1">#REF!</definedName>
    <definedName name="특고">#REF!</definedName>
    <definedName name="특급기술자" localSheetId="4">#REF!,#REF!,#REF!,#REF!,#REF!,#REF!</definedName>
    <definedName name="특급기술자" localSheetId="1">#REF!,#REF!,#REF!,#REF!,#REF!,#REF!</definedName>
    <definedName name="특급기술자">#REF!,#REF!,#REF!,#REF!,#REF!,#REF!</definedName>
    <definedName name="특급자" localSheetId="4">#REF!,#REF!,#REF!,#REF!,#REF!,#REF!</definedName>
    <definedName name="특급자" localSheetId="1">#REF!,#REF!,#REF!,#REF!,#REF!,#REF!</definedName>
    <definedName name="특급자">#REF!,#REF!,#REF!,#REF!,#REF!,#REF!</definedName>
    <definedName name="특별" localSheetId="4">#REF!</definedName>
    <definedName name="특별" localSheetId="1">#REF!</definedName>
    <definedName name="특별">#REF!</definedName>
    <definedName name="특별인부">'[87]기계경비(시간당)'!$D$9</definedName>
    <definedName name="특별인부1" localSheetId="4">#REF!</definedName>
    <definedName name="특별인부1" localSheetId="1">#REF!</definedName>
    <definedName name="특별인부1">#REF!</definedName>
    <definedName name="특수비계공" localSheetId="4">#REF!</definedName>
    <definedName name="특수비계공">#REF!</definedName>
    <definedName name="특수비계공1" localSheetId="4">#REF!</definedName>
    <definedName name="특수비계공1">#REF!</definedName>
    <definedName name="특인" localSheetId="4">#REF!</definedName>
    <definedName name="특인">#REF!</definedName>
    <definedName name="특케" localSheetId="4">#REF!</definedName>
    <definedName name="특케">#REF!</definedName>
    <definedName name="티">#N/A</definedName>
    <definedName name="ㅍ" localSheetId="1" hidden="1">'[142]98수문일위'!$A$1:$P$2004</definedName>
    <definedName name="ㅍ" hidden="1">'[143]98수문일위'!$A$1:$P$2004</definedName>
    <definedName name="ㅍㄴㅇㄹ" localSheetId="4" hidden="1">#REF!</definedName>
    <definedName name="ㅍㄴㅇㄹ" localSheetId="1" hidden="1">#REF!</definedName>
    <definedName name="ㅍㄴㅇㄹ" hidden="1">#REF!</definedName>
    <definedName name="ㅍㅇ" localSheetId="4">#REF!</definedName>
    <definedName name="ㅍㅇ">#REF!</definedName>
    <definedName name="ㅍㅇㄴ" localSheetId="1" hidden="1">'[19]98수문일위'!$A$1:$P$2004</definedName>
    <definedName name="ㅍㅇㄴ" hidden="1">'[20]98수문일위'!$A$1:$P$2004</definedName>
    <definedName name="ㅍㅇㄹㄴㅇㅁ" localSheetId="4">#REF!</definedName>
    <definedName name="ㅍㅇㄹㄴㅇㅁ" localSheetId="1">#REF!</definedName>
    <definedName name="ㅍㅇㄹㄴㅇㅁ">#REF!</definedName>
    <definedName name="ㅍㅋㅌㅊㅍㅇㄷ" localSheetId="1" hidden="1">'[19]98수문일위'!$A$1:$P$2004</definedName>
    <definedName name="ㅍㅋㅌㅊㅍㅇㄷ" hidden="1">'[20]98수문일위'!$A$1:$P$2004</definedName>
    <definedName name="ㅍㅌㅊ" localSheetId="4">#REF!</definedName>
    <definedName name="ㅍㅌㅊ" localSheetId="1">#REF!</definedName>
    <definedName name="ㅍㅌㅊ">#REF!</definedName>
    <definedName name="ㅍㅍ" localSheetId="4">[0]!BlankMacro1</definedName>
    <definedName name="ㅍㅍ" localSheetId="1">[0]!BlankMacro1</definedName>
    <definedName name="ㅍㅍ">[0]!BlankMacro1</definedName>
    <definedName name="ㅍㅍㄹ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ㄹ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ㅍ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ㅍ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ㅍㅍ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파" localSheetId="4" hidden="1">{"'자리배치도'!$AG$1:$CI$28"}</definedName>
    <definedName name="파" localSheetId="1" hidden="1">{"'자리배치도'!$AG$1:$CI$28"}</definedName>
    <definedName name="파" hidden="1">{"'자리배치도'!$AG$1:$CI$28"}</definedName>
    <definedName name="파상형PE전선관" localSheetId="4">#REF!</definedName>
    <definedName name="파상형PE전선관" localSheetId="1">#REF!</definedName>
    <definedName name="파상형PE전선관">#REF!</definedName>
    <definedName name="파이프행가" localSheetId="4">#REF!</definedName>
    <definedName name="파이프행가">#REF!</definedName>
    <definedName name="판넬조립공" localSheetId="4">#REF!</definedName>
    <definedName name="판넬조립공">#REF!</definedName>
    <definedName name="판넬조립공1" localSheetId="4">#REF!</definedName>
    <definedName name="판넬조립공1">#REF!</definedName>
    <definedName name="판재" localSheetId="4">#REF!</definedName>
    <definedName name="판재">#REF!</definedName>
    <definedName name="판재1" localSheetId="4">#REF!</definedName>
    <definedName name="판재1">#REF!</definedName>
    <definedName name="퍼티" localSheetId="4">#REF!</definedName>
    <definedName name="퍼티">#REF!</definedName>
    <definedName name="퍼티1" localSheetId="4">#REF!</definedName>
    <definedName name="퍼티1">#REF!</definedName>
    <definedName name="펌프구경" localSheetId="4">#REF!</definedName>
    <definedName name="펌프구경">#REF!</definedName>
    <definedName name="페이지" localSheetId="4" hidden="1">{"'Firr(선)'!$AS$1:$AY$62","'Firr(사)'!$AS$1:$AY$62","'Firr(회)'!$AS$1:$AY$62","'Firr(선)'!$L$1:$V$62","'Firr(사)'!$L$1:$V$62","'Firr(회)'!$L$1:$V$62"}</definedName>
    <definedName name="페이지" localSheetId="1" hidden="1">{"'Firr(선)'!$AS$1:$AY$62","'Firr(사)'!$AS$1:$AY$62","'Firr(회)'!$AS$1:$AY$62","'Firr(선)'!$L$1:$V$62","'Firr(사)'!$L$1:$V$62","'Firr(회)'!$L$1:$V$62"}</definedName>
    <definedName name="페이지" hidden="1">{"'Firr(선)'!$AS$1:$AY$62","'Firr(사)'!$AS$1:$AY$62","'Firr(회)'!$AS$1:$AY$62","'Firr(선)'!$L$1:$V$62","'Firr(사)'!$L$1:$V$62","'Firr(회)'!$L$1:$V$62"}</definedName>
    <definedName name="펴">#N/A</definedName>
    <definedName name="평균H1">'[46]1-1평균터파기고(1)'!$G$31</definedName>
    <definedName name="평균H2" localSheetId="4">#REF!</definedName>
    <definedName name="평균H2" localSheetId="1">#REF!</definedName>
    <definedName name="평균H2">#REF!</definedName>
    <definedName name="평균높이">[111]맨홀수량산출!$AD$2</definedName>
    <definedName name="폐_기_물___수_수_료" localSheetId="4">#REF!</definedName>
    <definedName name="폐_기_물___수_수_료" localSheetId="1">#REF!</definedName>
    <definedName name="폐_기_물___수_수_료">#REF!</definedName>
    <definedName name="폐_기_물___처_리_비" localSheetId="4">#REF!</definedName>
    <definedName name="폐_기_물___처_리_비">#REF!</definedName>
    <definedName name="폐기물수량산출서" localSheetId="2" hidden="1">#REF!</definedName>
    <definedName name="폐기물수량산출서" localSheetId="4" hidden="1">#REF!</definedName>
    <definedName name="폐기물수량산출서" localSheetId="1" hidden="1">#REF!</definedName>
    <definedName name="폐기물수량산출서" hidden="1">#REF!</definedName>
    <definedName name="포설공">[96]노임단가!$F$17</definedName>
    <definedName name="포설공1" localSheetId="4">#REF!</definedName>
    <definedName name="포설공1" localSheetId="1">#REF!</definedName>
    <definedName name="포설공1">#REF!</definedName>
    <definedName name="포장" localSheetId="4">#REF!</definedName>
    <definedName name="포장">#REF!</definedName>
    <definedName name="포장공" localSheetId="4">#REF!</definedName>
    <definedName name="포장공">#REF!</definedName>
    <definedName name="포장공1" localSheetId="4">#REF!</definedName>
    <definedName name="포장공1">#REF!</definedName>
    <definedName name="폭300" localSheetId="4">[9]대로근거!#REF!</definedName>
    <definedName name="폭300">[9]대로근거!#REF!</definedName>
    <definedName name="폭350" localSheetId="4">[9]대로근거!#REF!</definedName>
    <definedName name="폭350">[9]대로근거!#REF!</definedName>
    <definedName name="폭약" localSheetId="4">#REF!</definedName>
    <definedName name="폭약" localSheetId="1">#REF!</definedName>
    <definedName name="폭약">#REF!</definedName>
    <definedName name="폭약1" localSheetId="4">#REF!</definedName>
    <definedName name="폭약1" localSheetId="1">#REF!</definedName>
    <definedName name="폭약1">#REF!</definedName>
    <definedName name="폼1노" localSheetId="4">#REF!</definedName>
    <definedName name="폼1노">#REF!</definedName>
    <definedName name="폼1재" localSheetId="4">#REF!</definedName>
    <definedName name="폼1재">#REF!</definedName>
    <definedName name="표준명" localSheetId="4">#REF!</definedName>
    <definedName name="표준명">#REF!</definedName>
    <definedName name="표준번호" localSheetId="4">#REF!</definedName>
    <definedName name="표준번호">#REF!</definedName>
    <definedName name="표지" localSheetId="4">#REF!</definedName>
    <definedName name="표지" localSheetId="1">#REF!</definedName>
    <definedName name="표지">#REF!</definedName>
    <definedName name="표지2" localSheetId="4" hidden="1">{#N/A,#N/A,TRUE,"토적및재료집계";#N/A,#N/A,TRUE,"토적및재료집계";#N/A,#N/A,TRUE,"단위량"}</definedName>
    <definedName name="표지2" localSheetId="1" hidden="1">{#N/A,#N/A,TRUE,"토적및재료집계";#N/A,#N/A,TRUE,"토적및재료집계";#N/A,#N/A,TRUE,"단위량"}</definedName>
    <definedName name="표지2" hidden="1">{#N/A,#N/A,TRUE,"토적및재료집계";#N/A,#N/A,TRUE,"토적및재료집계";#N/A,#N/A,TRUE,"단위량"}</definedName>
    <definedName name="풀박스" localSheetId="2">#REF!</definedName>
    <definedName name="풀박스" localSheetId="4">#REF!</definedName>
    <definedName name="풀박스" localSheetId="1">#REF!</definedName>
    <definedName name="풀박스">#REF!</definedName>
    <definedName name="품신">[85]설계산출표지!$B$1</definedName>
    <definedName name="풍전2" localSheetId="4" hidden="1">{#N/A,#N/A,TRUE,"손익보고"}</definedName>
    <definedName name="풍전2" localSheetId="1" hidden="1">{#N/A,#N/A,TRUE,"손익보고"}</definedName>
    <definedName name="풍전2" hidden="1">{#N/A,#N/A,TRUE,"손익보고"}</definedName>
    <definedName name="프린터" localSheetId="2">#REF!</definedName>
    <definedName name="프린터" localSheetId="4">#REF!</definedName>
    <definedName name="프린터" localSheetId="1">#REF!</definedName>
    <definedName name="프린터">#REF!</definedName>
    <definedName name="플랜트" localSheetId="4">#REF!</definedName>
    <definedName name="플랜트">#REF!</definedName>
    <definedName name="플랜트기계설치공">[96]노임단가!$C$18</definedName>
    <definedName name="플랜트배관공">[96]노임단가!$C$20</definedName>
    <definedName name="플랜트용접공">[96]노임단가!$C$19</definedName>
    <definedName name="플랜트재단공">[96]노임단가!$F$18</definedName>
    <definedName name="피">#N/A</definedName>
    <definedName name="피복두께" localSheetId="4">[44]단위수량!$C$12</definedName>
    <definedName name="피복두께">[45]단위수량!$C$12</definedName>
    <definedName name="ㅎ" localSheetId="4">[0]!BlankMacro1</definedName>
    <definedName name="ㅎ" localSheetId="1">[0]!BlankMacro1</definedName>
    <definedName name="ㅎ">[0]!BlankMacro1</definedName>
    <definedName name="ㅎㄴ" hidden="1">'[105]N賃率-職'!$I$5:$I$30</definedName>
    <definedName name="ㅎㄴㅇㅁㄹ" hidden="1">'[144]98수문일위'!$A$1:$P$2004</definedName>
    <definedName name="ㅎㅀㄹ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ㅎㅀㄹ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ㅎㅀㄹ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ㅎ오" localSheetId="4" hidden="1">{"'용역비'!$A$4:$C$8"}</definedName>
    <definedName name="ㅎ오" localSheetId="1" hidden="1">{"'용역비'!$A$4:$C$8"}</definedName>
    <definedName name="ㅎ오" hidden="1">{"'용역비'!$A$4:$C$8"}</definedName>
    <definedName name="ㅎㅎ" localSheetId="4">[0]!BlankMacro1</definedName>
    <definedName name="ㅎㅎ" localSheetId="1">[0]!BlankMacro1</definedName>
    <definedName name="ㅎㅎ">[0]!BlankMacro1</definedName>
    <definedName name="ㅎㅎㅎ" localSheetId="4">BlankMacro1</definedName>
    <definedName name="ㅎㅎㅎ" localSheetId="1">BlankMacro1</definedName>
    <definedName name="ㅎㅎㅎ">BlankMacro1</definedName>
    <definedName name="ㅎㅎㅎㅎ" localSheetId="4">[0]!BlankMacro1</definedName>
    <definedName name="ㅎㅎㅎㅎ" localSheetId="1">[0]!BlankMacro1</definedName>
    <definedName name="ㅎㅎㅎㅎ">[0]!BlankMacro1</definedName>
    <definedName name="하" localSheetId="4" hidden="1">{"'자리배치도'!$AG$1:$CI$28"}</definedName>
    <definedName name="하" localSheetId="1" hidden="1">{"'자리배치도'!$AG$1:$CI$28"}</definedName>
    <definedName name="하" hidden="1">{"'자리배치도'!$AG$1:$CI$28"}</definedName>
    <definedName name="하늘" localSheetId="4" hidden="1">{#N/A,#N/A,FALSE,"전력간선"}</definedName>
    <definedName name="하늘" localSheetId="1" hidden="1">{#N/A,#N/A,FALSE,"전력간선"}</definedName>
    <definedName name="하늘" hidden="1">{#N/A,#N/A,FALSE,"전력간선"}</definedName>
    <definedName name="하늘집" localSheetId="1">표지!하늘집</definedName>
    <definedName name="하늘집">#N/A</definedName>
    <definedName name="하수처리부지터파기" localSheetId="4">BlankMacro1</definedName>
    <definedName name="하수처리부지터파기" localSheetId="1">BlankMacro1</definedName>
    <definedName name="하수처리부지터파기">BlankMacro1</definedName>
    <definedName name="하자보수공종1">OFFSET([145]참조자료!$A$3,0,0,COUNTA([145]참조자료!$A$3:$A$74),1)</definedName>
    <definedName name="하하하" localSheetId="4" hidden="1">{#N/A,#N/A,FALSE,"단가표지"}</definedName>
    <definedName name="하하하" localSheetId="1" hidden="1">{#N/A,#N/A,FALSE,"단가표지"}</definedName>
    <definedName name="하하하" hidden="1">{#N/A,#N/A,FALSE,"단가표지"}</definedName>
    <definedName name="학교" localSheetId="4" hidden="1">{#N/A,#N/A,FALSE,"전력간선"}</definedName>
    <definedName name="학교" localSheetId="1" hidden="1">{#N/A,#N/A,FALSE,"전력간선"}</definedName>
    <definedName name="학교" hidden="1">{#N/A,#N/A,FALSE,"전력간선"}</definedName>
    <definedName name="한교1호" localSheetId="4">#REF!</definedName>
    <definedName name="한교1호" localSheetId="1">#REF!</definedName>
    <definedName name="한교1호">#REF!</definedName>
    <definedName name="한교2호" localSheetId="4">#REF!</definedName>
    <definedName name="한교2호" localSheetId="1">#REF!</definedName>
    <definedName name="한교2호">#REF!</definedName>
    <definedName name="한교3호" localSheetId="4">#REF!</definedName>
    <definedName name="한교3호">#REF!</definedName>
    <definedName name="한전공사비" localSheetId="4">#REF!,#REF!</definedName>
    <definedName name="한전공사비" localSheetId="1">#REF!,#REF!</definedName>
    <definedName name="한전공사비">#REF!,#REF!</definedName>
    <definedName name="한전납입금">[78]전기명!$O$340</definedName>
    <definedName name="한전수탁공사비2" localSheetId="4">#REF!</definedName>
    <definedName name="한전수탁공사비2" localSheetId="1">#REF!</definedName>
    <definedName name="한전수탁공사비2">#REF!</definedName>
    <definedName name="한전수탁비" localSheetId="4">#REF!</definedName>
    <definedName name="한전수탁비">#REF!</definedName>
    <definedName name="한체대1" localSheetId="4" hidden="1">{#N/A,#N/A,TRUE,"1";#N/A,#N/A,TRUE,"2";#N/A,#N/A,TRUE,"3";#N/A,#N/A,TRUE,"4";#N/A,#N/A,TRUE,"5";#N/A,#N/A,TRUE,"6";#N/A,#N/A,TRUE,"7"}</definedName>
    <definedName name="한체대1" localSheetId="1" hidden="1">{#N/A,#N/A,TRUE,"1";#N/A,#N/A,TRUE,"2";#N/A,#N/A,TRUE,"3";#N/A,#N/A,TRUE,"4";#N/A,#N/A,TRUE,"5";#N/A,#N/A,TRUE,"6";#N/A,#N/A,TRUE,"7"}</definedName>
    <definedName name="한체대1" hidden="1">{#N/A,#N/A,TRUE,"1";#N/A,#N/A,TRUE,"2";#N/A,#N/A,TRUE,"3";#N/A,#N/A,TRUE,"4";#N/A,#N/A,TRUE,"5";#N/A,#N/A,TRUE,"6";#N/A,#N/A,TRUE,"7"}</definedName>
    <definedName name="한화">#N/A</definedName>
    <definedName name="할석공">[96]노임단가!$F$22</definedName>
    <definedName name="할석공1" localSheetId="4">#REF!</definedName>
    <definedName name="할석공1" localSheetId="1">#REF!</definedName>
    <definedName name="할석공1">#REF!</definedName>
    <definedName name="함" localSheetId="4">#REF!</definedName>
    <definedName name="함" localSheetId="1">#REF!</definedName>
    <definedName name="함">#REF!</definedName>
    <definedName name="함석공" localSheetId="4">#REF!</definedName>
    <definedName name="함석공">#REF!</definedName>
    <definedName name="함석공1" localSheetId="4">#REF!</definedName>
    <definedName name="함석공1">#REF!</definedName>
    <definedName name="합______________계" localSheetId="4">#REF!</definedName>
    <definedName name="합______________계">#REF!</definedName>
    <definedName name="합거3노" localSheetId="4">#REF!</definedName>
    <definedName name="합거3노">#REF!</definedName>
    <definedName name="합거3재" localSheetId="4">#REF!</definedName>
    <definedName name="합거3재">#REF!</definedName>
    <definedName name="합거4경" localSheetId="4">#REF!</definedName>
    <definedName name="합거4경">#REF!</definedName>
    <definedName name="합거4노" localSheetId="4">#REF!</definedName>
    <definedName name="합거4노">#REF!</definedName>
    <definedName name="합거4소노" localSheetId="4">#REF!</definedName>
    <definedName name="합거4소노">#REF!</definedName>
    <definedName name="합거4소재" localSheetId="4">#REF!</definedName>
    <definedName name="합거4소재">#REF!</definedName>
    <definedName name="합거4재" localSheetId="4">#REF!</definedName>
    <definedName name="합거4재">#REF!</definedName>
    <definedName name="합거6노" localSheetId="4">#REF!</definedName>
    <definedName name="합거6노">#REF!</definedName>
    <definedName name="합거6소노" localSheetId="4">#REF!</definedName>
    <definedName name="합거6소노">#REF!</definedName>
    <definedName name="합거6소재" localSheetId="4">#REF!</definedName>
    <definedName name="합거6소재">#REF!</definedName>
    <definedName name="합거6재" localSheetId="4">#REF!</definedName>
    <definedName name="합거6재">#REF!</definedName>
    <definedName name="합계" localSheetId="4">#REF!</definedName>
    <definedName name="합계" localSheetId="1">#REF!</definedName>
    <definedName name="합계">#REF!</definedName>
    <definedName name="합판12" localSheetId="4">#REF!</definedName>
    <definedName name="합판12">#REF!</definedName>
    <definedName name="합판121" localSheetId="4">#REF!</definedName>
    <definedName name="합판121">#REF!</definedName>
    <definedName name="합판4회" localSheetId="4">'[46]1호맨홀수량산출'!#REF!</definedName>
    <definedName name="합판4회">'[46]1호맨홀수량산출'!#REF!</definedName>
    <definedName name="합판6회" localSheetId="4">'[46]1호맨홀수량산출'!#REF!</definedName>
    <definedName name="합판6회">'[46]1호맨홀수량산출'!#REF!</definedName>
    <definedName name="합판거푸집3노" localSheetId="4">#REF!</definedName>
    <definedName name="합판거푸집3노" localSheetId="1">#REF!</definedName>
    <definedName name="합판거푸집3노">#REF!</definedName>
    <definedName name="항공장애등" localSheetId="4">#REF!</definedName>
    <definedName name="항공장애등">#REF!</definedName>
    <definedName name="행" localSheetId="4">#REF!</definedName>
    <definedName name="행" localSheetId="1">#REF!</definedName>
    <definedName name="행">#REF!</definedName>
    <definedName name="행선안내게시기설비" localSheetId="4">#REF!</definedName>
    <definedName name="행선안내게시기설비">#REF!</definedName>
    <definedName name="혀">#N/A</definedName>
    <definedName name="현장" localSheetId="4">#REF!</definedName>
    <definedName name="현장" localSheetId="1">#REF!</definedName>
    <definedName name="현장">#REF!</definedName>
    <definedName name="현장대리인" localSheetId="4">#REF!</definedName>
    <definedName name="현장대리인">#REF!</definedName>
    <definedName name="현조" localSheetId="2" hidden="1">#REF!</definedName>
    <definedName name="현조" localSheetId="4" hidden="1">#REF!</definedName>
    <definedName name="현조" hidden="1">#REF!</definedName>
    <definedName name="형상">[55]DATE!$D$24:$D$85</definedName>
    <definedName name="형틀" localSheetId="4">#REF!</definedName>
    <definedName name="형틀" localSheetId="1">#REF!</definedName>
    <definedName name="형틀">#REF!</definedName>
    <definedName name="형틀목공">[113]노임!$B$3</definedName>
    <definedName name="형틀목공1" localSheetId="4">#REF!</definedName>
    <definedName name="형틀목공1" localSheetId="1">#REF!</definedName>
    <definedName name="형틀목공1">#REF!</definedName>
    <definedName name="호지니" localSheetId="4">[146]!Macro12</definedName>
    <definedName name="호지니">[147]!Macro12</definedName>
    <definedName name="호표" localSheetId="4">#REF!</definedName>
    <definedName name="호표" localSheetId="1">#REF!</definedName>
    <definedName name="호표">#REF!</definedName>
    <definedName name="호ㅎ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ㅎ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ㅎ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호ㅓ" localSheetId="4" hidden="1">{"'용역비'!$A$4:$C$8"}</definedName>
    <definedName name="호ㅓ" localSheetId="1" hidden="1">{"'용역비'!$A$4:$C$8"}</definedName>
    <definedName name="호ㅓ" hidden="1">{"'용역비'!$A$4:$C$8"}</definedName>
    <definedName name="홍길동">#REF!</definedName>
    <definedName name="홍ㅇ호" localSheetId="4" hidden="1">{"'용역비'!$A$4:$C$8"}</definedName>
    <definedName name="홍ㅇ호" localSheetId="1" hidden="1">{"'용역비'!$A$4:$C$8"}</definedName>
    <definedName name="홍ㅇ호" hidden="1">{"'용역비'!$A$4:$C$8"}</definedName>
    <definedName name="화">#REF!</definedName>
    <definedName name="화신1호" localSheetId="4">#REF!</definedName>
    <definedName name="화신1호">#REF!</definedName>
    <definedName name="화신2호" localSheetId="4">#REF!</definedName>
    <definedName name="화신2호">#REF!</definedName>
    <definedName name="화신기존1" localSheetId="4">#REF!</definedName>
    <definedName name="화신기존1">#REF!</definedName>
    <definedName name="화신기존2" localSheetId="4">#REF!</definedName>
    <definedName name="화신기존2">#REF!</definedName>
    <definedName name="화약공" localSheetId="4">#REF!</definedName>
    <definedName name="화약공">#REF!</definedName>
    <definedName name="화약공1" localSheetId="4">#REF!</definedName>
    <definedName name="화약공1">#REF!</definedName>
    <definedName name="화약취급공">[96]노임단가!$C$11</definedName>
    <definedName name="화원고무교체" localSheetId="4">#REF!</definedName>
    <definedName name="화원고무교체" localSheetId="1">#REF!</definedName>
    <definedName name="화원고무교체">#REF!</definedName>
    <definedName name="환율">'[87]기계경비(시간당)'!$D$21</definedName>
    <definedName name="환율1" localSheetId="4">#REF!</definedName>
    <definedName name="환율1" localSheetId="1">#REF!</definedName>
    <definedName name="환율1">#REF!</definedName>
    <definedName name="황" localSheetId="4">#N/A</definedName>
    <definedName name="황" localSheetId="1">표지!황</definedName>
    <definedName name="황">[0]!황</definedName>
    <definedName name="황룡강배수개선사업" localSheetId="4">#REF!</definedName>
    <definedName name="황룡강배수개선사업" localSheetId="1">#REF!</definedName>
    <definedName name="황룡강배수개선사업">#REF!</definedName>
    <definedName name="황룡지구" localSheetId="4">#REF!</definedName>
    <definedName name="황룡지구" localSheetId="1">#REF!</definedName>
    <definedName name="황룡지구">#REF!</definedName>
    <definedName name="황우석" localSheetId="4">#N/A</definedName>
    <definedName name="황우석" localSheetId="1">표지!황우석</definedName>
    <definedName name="황우석">[0]!황우석</definedName>
    <definedName name="회사명" localSheetId="4">#REF!</definedName>
    <definedName name="회사명" localSheetId="1">#REF!</definedName>
    <definedName name="회사명">#REF!</definedName>
    <definedName name="회수공수" localSheetId="4">#REF!</definedName>
    <definedName name="회수공수" localSheetId="1">#REF!</definedName>
    <definedName name="회수공수">#REF!</definedName>
    <definedName name="회시1호" localSheetId="4">#REF!</definedName>
    <definedName name="회시1호">#REF!</definedName>
    <definedName name="회시2호" localSheetId="4">#REF!</definedName>
    <definedName name="회시2호">#REF!</definedName>
    <definedName name="효석" localSheetId="4" hidden="1">{"'Firr(선)'!$AS$1:$AY$62","'Firr(사)'!$AS$1:$AY$62","'Firr(회)'!$AS$1:$AY$62","'Firr(선)'!$L$1:$V$62","'Firr(사)'!$L$1:$V$62","'Firr(회)'!$L$1:$V$62"}</definedName>
    <definedName name="효석" localSheetId="1" hidden="1">{"'Firr(선)'!$AS$1:$AY$62","'Firr(사)'!$AS$1:$AY$62","'Firr(회)'!$AS$1:$AY$62","'Firr(선)'!$L$1:$V$62","'Firr(사)'!$L$1:$V$62","'Firr(회)'!$L$1:$V$62"}</definedName>
    <definedName name="효석" hidden="1">{"'Firr(선)'!$AS$1:$AY$62","'Firr(사)'!$AS$1:$AY$62","'Firr(회)'!$AS$1:$AY$62","'Firr(선)'!$L$1:$V$62","'Firr(사)'!$L$1:$V$62","'Firr(회)'!$L$1:$V$62"}</definedName>
    <definedName name="후">#N/A</definedName>
    <definedName name="후렉시블" localSheetId="4" hidden="1">{"'자리배치도'!$AG$1:$CI$28"}</definedName>
    <definedName name="후렉시블" localSheetId="1" hidden="1">{"'자리배치도'!$AG$1:$CI$28"}</definedName>
    <definedName name="후렉시블" hidden="1">{"'자리배치도'!$AG$1:$CI$28"}</definedName>
    <definedName name="후렉시블전선관" localSheetId="2">#REF!</definedName>
    <definedName name="후렉시블전선관" localSheetId="4">#REF!</definedName>
    <definedName name="후렉시블전선관">#REF!</definedName>
    <definedName name="휘발유" localSheetId="4">#REF!</definedName>
    <definedName name="휘발유">#REF!</definedName>
    <definedName name="휘발유1" localSheetId="4">#REF!</definedName>
    <definedName name="휘발유1">#REF!</definedName>
    <definedName name="흄관1000" localSheetId="4">#REF!</definedName>
    <definedName name="흄관1000">#REF!</definedName>
    <definedName name="흄관1200" localSheetId="4">#REF!</definedName>
    <definedName name="흄관1200">#REF!</definedName>
    <definedName name="흄관1500" localSheetId="4">#REF!</definedName>
    <definedName name="흄관1500">#REF!</definedName>
    <definedName name="흄관1800" localSheetId="4">#REF!</definedName>
    <definedName name="흄관1800">#REF!</definedName>
    <definedName name="흄관300" localSheetId="4">#REF!</definedName>
    <definedName name="흄관300">#REF!</definedName>
    <definedName name="흄관450" localSheetId="4">#REF!</definedName>
    <definedName name="흄관450">#REF!</definedName>
    <definedName name="흄관600" localSheetId="4">#REF!</definedName>
    <definedName name="흄관600">#REF!</definedName>
    <definedName name="흄관800" localSheetId="4">#REF!</definedName>
    <definedName name="흄관800">#REF!</definedName>
    <definedName name="흄관900" localSheetId="4">#REF!</definedName>
    <definedName name="흄관900">#REF!</definedName>
    <definedName name="흐">#N/A</definedName>
    <definedName name="히팅케이블" localSheetId="4">#REF!</definedName>
    <definedName name="히팅케이블" localSheetId="1">#REF!</definedName>
    <definedName name="히팅케이블">#REF!</definedName>
    <definedName name="ㅏ576" localSheetId="4">'[148]1.수인터널'!#REF!</definedName>
    <definedName name="ㅏ576" localSheetId="1">'[148]1.수인터널'!#REF!</definedName>
    <definedName name="ㅏ576">'[148]1.수인터널'!#REF!</definedName>
    <definedName name="ㅏㅓㅏ" localSheetId="4" hidden="1">{#N/A,#N/A,FALSE,"물가변동 (2)";#N/A,#N/A,FALSE,"공사비";#N/A,#N/A,FALSE,"사급";#N/A,#N/A,FALSE,"도급집계";#N/A,#N/A,FALSE,"재료비";#N/A,#N/A,FALSE,"노무비";#N/A,#N/A,FALSE,"경비"}</definedName>
    <definedName name="ㅏㅓㅏ" localSheetId="1" hidden="1">{#N/A,#N/A,FALSE,"물가변동 (2)";#N/A,#N/A,FALSE,"공사비";#N/A,#N/A,FALSE,"사급";#N/A,#N/A,FALSE,"도급집계";#N/A,#N/A,FALSE,"재료비";#N/A,#N/A,FALSE,"노무비";#N/A,#N/A,FALSE,"경비"}</definedName>
    <definedName name="ㅏㅓㅏ" hidden="1">{#N/A,#N/A,FALSE,"물가변동 (2)";#N/A,#N/A,FALSE,"공사비";#N/A,#N/A,FALSE,"사급";#N/A,#N/A,FALSE,"도급집계";#N/A,#N/A,FALSE,"재료비";#N/A,#N/A,FALSE,"노무비";#N/A,#N/A,FALSE,"경비"}</definedName>
    <definedName name="ㅏㅕ라ㅕ" hidden="1">[36]Sheet14!$Q$48:$AT$48</definedName>
    <definedName name="ㅏㅗ" localSheetId="4">[0]!BlankMacro1</definedName>
    <definedName name="ㅏㅗ" localSheetId="1">[0]!BlankMacro1</definedName>
    <definedName name="ㅏㅗ">[0]!BlankMacro1</definedName>
    <definedName name="ㅏㅢ" localSheetId="4">[0]!BlankMacro1</definedName>
    <definedName name="ㅏㅢ" localSheetId="1">[0]!BlankMacro1</definedName>
    <definedName name="ㅏㅢ">[0]!BlankMacro1</definedName>
    <definedName name="ㅐ15" localSheetId="2">#REF!</definedName>
    <definedName name="ㅐ15" localSheetId="4">#REF!</definedName>
    <definedName name="ㅐ15" localSheetId="1">#REF!</definedName>
    <definedName name="ㅐ15">#REF!</definedName>
    <definedName name="ㅐ520" localSheetId="4">#REF!</definedName>
    <definedName name="ㅐ520">#REF!</definedName>
    <definedName name="ㅐㅏ" localSheetId="4">[0]!BlankMacro1</definedName>
    <definedName name="ㅐㅏ" localSheetId="1">[0]!BlankMacro1</definedName>
    <definedName name="ㅐㅏ">[0]!BlankMacro1</definedName>
    <definedName name="ㅑㅕㅑ" localSheetId="4" hidden="1">{#N/A,#N/A,FALSE,"전력간선"}</definedName>
    <definedName name="ㅑㅕㅑ" localSheetId="1" hidden="1">{#N/A,#N/A,FALSE,"전력간선"}</definedName>
    <definedName name="ㅑㅕㅑ" hidden="1">{#N/A,#N/A,FALSE,"전력간선"}</definedName>
    <definedName name="ㅓ" localSheetId="4" hidden="1">{"'자리배치도'!$AG$1:$CI$28"}</definedName>
    <definedName name="ㅓ" localSheetId="1" hidden="1">{"'자리배치도'!$AG$1:$CI$28"}</definedName>
    <definedName name="ㅓ" hidden="1">{"'자리배치도'!$AG$1:$CI$28"}</definedName>
    <definedName name="ㅓㅎ" localSheetId="4">[0]!BlankMacro1</definedName>
    <definedName name="ㅓㅎ" localSheetId="1">[0]!BlankMacro1</definedName>
    <definedName name="ㅓㅎ">[0]!BlankMacro1</definedName>
    <definedName name="ㅓㅏ" localSheetId="4">#N/A</definedName>
    <definedName name="ㅓㅏ" localSheetId="1">표지!ㅓㅏ</definedName>
    <definedName name="ㅓㅏ">[0]!ㅓㅏ</definedName>
    <definedName name="ㅓㅓ" localSheetId="4">BlankMacro1</definedName>
    <definedName name="ㅓㅓ" localSheetId="1">BlankMacro1</definedName>
    <definedName name="ㅓㅓ">BlankMacro1</definedName>
    <definedName name="ㅓㅓㅓ" localSheetId="4" hidden="1">{#N/A,#N/A,FALSE,"전력간선"}</definedName>
    <definedName name="ㅓㅓㅓ" localSheetId="1" hidden="1">{#N/A,#N/A,FALSE,"전력간선"}</definedName>
    <definedName name="ㅓㅓㅓ" hidden="1">{#N/A,#N/A,FALSE,"전력간선"}</definedName>
    <definedName name="ㅓㅓㅓㅓㅓㅓ" localSheetId="4">[0]!BlankMacro1</definedName>
    <definedName name="ㅓㅓㅓㅓㅓㅓ" localSheetId="1">[0]!BlankMacro1</definedName>
    <definedName name="ㅓㅓㅓㅓㅓㅓ">[0]!BlankMacro1</definedName>
    <definedName name="ㅓㅓㅓㅓㅓㅓㅓ" localSheetId="4">[0]!BlankMacro1</definedName>
    <definedName name="ㅓㅓㅓㅓㅓㅓㅓ" localSheetId="1">[0]!BlankMacro1</definedName>
    <definedName name="ㅓㅓㅓㅓㅓㅓㅓ">[0]!BlankMacro1</definedName>
    <definedName name="ㅓㅘㅓㅅ" localSheetId="4">BlankMacro1</definedName>
    <definedName name="ㅓㅘㅓㅅ" localSheetId="1">BlankMacro1</definedName>
    <definedName name="ㅓㅘㅓㅅ">BlankMacro1</definedName>
    <definedName name="ㅔ" localSheetId="4">[9]대로근거!#REF!</definedName>
    <definedName name="ㅔ" localSheetId="1">[9]대로근거!#REF!</definedName>
    <definedName name="ㅔ">[9]대로근거!#REF!</definedName>
    <definedName name="ㅔㅔㅔ" localSheetId="4" hidden="1">{#N/A,#N/A,TRUE,"토적및재료집계";#N/A,#N/A,TRUE,"토적및재료집계";#N/A,#N/A,TRUE,"단위량"}</definedName>
    <definedName name="ㅔㅔㅔ" localSheetId="1" hidden="1">{#N/A,#N/A,TRUE,"토적및재료집계";#N/A,#N/A,TRUE,"토적및재료집계";#N/A,#N/A,TRUE,"단위량"}</definedName>
    <definedName name="ㅔㅔㅔ" hidden="1">{#N/A,#N/A,TRUE,"토적및재료집계";#N/A,#N/A,TRUE,"토적및재료집계";#N/A,#N/A,TRUE,"단위량"}</definedName>
    <definedName name="ㅗ1019" localSheetId="4">#REF!</definedName>
    <definedName name="ㅗ1019" localSheetId="1">#REF!</definedName>
    <definedName name="ㅗ1019">#REF!</definedName>
    <definedName name="ㅗ315" localSheetId="4">[149]신우!#REF!</definedName>
    <definedName name="ㅗ315" localSheetId="1">[150]신우!#REF!</definedName>
    <definedName name="ㅗ315">[150]신우!#REF!</definedName>
    <definedName name="ㅗ415" localSheetId="4">#REF!</definedName>
    <definedName name="ㅗ415" localSheetId="1">#REF!</definedName>
    <definedName name="ㅗ415">#REF!</definedName>
    <definedName name="ㅗ461" localSheetId="4">#REF!</definedName>
    <definedName name="ㅗ461">#REF!</definedName>
    <definedName name="ㅗㄹ" localSheetId="4">#REF!</definedName>
    <definedName name="ㅗㄹ">#REF!</definedName>
    <definedName name="ㅗㅎ" localSheetId="4">[0]!BlankMacro1</definedName>
    <definedName name="ㅗㅎ" localSheetId="1">[0]!BlankMacro1</definedName>
    <definedName name="ㅗㅎ">[0]!BlankMacro1</definedName>
    <definedName name="ㅗㅎㅅ" localSheetId="4" hidden="1">{"'공사부문'!$A$6:$A$32"}</definedName>
    <definedName name="ㅗㅎㅅ" localSheetId="1" hidden="1">{"'공사부문'!$A$6:$A$32"}</definedName>
    <definedName name="ㅗㅎㅅ" hidden="1">{"'공사부문'!$A$6:$A$32"}</definedName>
    <definedName name="ㅗㅎ오ㅌㄱ러" localSheetId="4">BlankMacro1</definedName>
    <definedName name="ㅗㅎ오ㅌㄱ러" localSheetId="1">BlankMacro1</definedName>
    <definedName name="ㅗㅎ오ㅌㄱ러">BlankMacro1</definedName>
    <definedName name="ㅗㅗ" localSheetId="4" hidden="1">{#N/A,#N/A,TRUE,"토적및재료집계";#N/A,#N/A,TRUE,"토적및재료집계";#N/A,#N/A,TRUE,"단위량"}</definedName>
    <definedName name="ㅗㅗ" localSheetId="1" hidden="1">{#N/A,#N/A,TRUE,"토적및재료집계";#N/A,#N/A,TRUE,"토적및재료집계";#N/A,#N/A,TRUE,"단위량"}</definedName>
    <definedName name="ㅗㅗ" hidden="1">{#N/A,#N/A,TRUE,"토적및재료집계";#N/A,#N/A,TRUE,"토적및재료집계";#N/A,#N/A,TRUE,"단위량"}</definedName>
    <definedName name="ㅗㅗㅗ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ㅗㅗㅗ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ㅗㅗㅗ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ㅘㅓ" localSheetId="4">#REF!</definedName>
    <definedName name="ㅘㅓ" localSheetId="1">#REF!</definedName>
    <definedName name="ㅘㅓ">#REF!</definedName>
    <definedName name="ㅛ쇼ㅐㅗ" localSheetId="4">#REF!</definedName>
    <definedName name="ㅛ쇼ㅐㅗ" localSheetId="1">#REF!</definedName>
    <definedName name="ㅛ쇼ㅐㅗ">#REF!</definedName>
    <definedName name="ㅛㅕㅑ" hidden="1">'[125]N賃率-職'!$I$5:$I$30</definedName>
    <definedName name="ㅛㅛㅛㅛ" hidden="1">[69]수량산출!$A$1:$A$8561</definedName>
    <definedName name="ㅜ" localSheetId="1">[72]정공공사!#REF!</definedName>
    <definedName name="ㅜ" hidden="1">[76]수량산출!#REF!</definedName>
    <definedName name="ㅠ632">[151]기계경비!$J$61</definedName>
    <definedName name="ㅠㄴㅀㅎ" hidden="1">[36]Sheet13!$N$131:$N$201</definedName>
    <definedName name="ㅠㄹㅇㄶㅈㅁㄹ" localSheetId="4">#REF!</definedName>
    <definedName name="ㅠㄹㅇㄶㅈㅁㄹ" localSheetId="1">#REF!</definedName>
    <definedName name="ㅠㄹㅇㄶㅈㅁㄹ">#REF!</definedName>
    <definedName name="ㅠㅁㄹㅇㄹ" hidden="1">[36]Sheet13!$N$272:$N$341</definedName>
    <definedName name="ㅠ뮤ㅐ" localSheetId="4" hidden="1">#REF!</definedName>
    <definedName name="ㅠ뮤ㅐ" localSheetId="1" hidden="1">#REF!</definedName>
    <definedName name="ㅠ뮤ㅐ" hidden="1">#REF!</definedName>
    <definedName name="ㅠㅇㅁㄹㅇㅁ" hidden="1">[36]Sheet13!$N$202:$N$271</definedName>
    <definedName name="ㅠㅍ" localSheetId="4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ㅠㅍ" localSheetId="1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ㅠㅍ" hidden="1">{#N/A,#N/A,FALSE,"하중 계산 (1)";#N/A,#N/A,FALSE,"토압계수계산";#N/A,#N/A,FALSE,"횡토압계산";#N/A,#N/A,FALSE,"전도에 대한 안정";#N/A,#N/A,FALSE,"활동에 대한 안정";#N/A,#N/A,FALSE,"지지력 검토";#N/A,#N/A,FALSE,"PILE 계산";#N/A,#N/A,FALSE,"PILE계산결과";#N/A,#N/A,FALSE,"PILE검토";#N/A,#N/A,FALSE,"벽체의 설계"}</definedName>
    <definedName name="ㅠㅠㅠ" hidden="1">[36]Sheet13!$S$48:$AV$48</definedName>
    <definedName name="ㅡㅁㅊ개14">[53]!Macro13</definedName>
    <definedName name="ㅢㅏ" localSheetId="4">[0]!BlankMacro1</definedName>
    <definedName name="ㅢㅏ" localSheetId="1">[0]!BlankMacro1</definedName>
    <definedName name="ㅢㅏ">[0]!BlankMacro1</definedName>
    <definedName name="ㅣ15" localSheetId="4">#REF!</definedName>
    <definedName name="ㅣ15" localSheetId="1">#REF!</definedName>
    <definedName name="ㅣ15">#REF!</definedName>
    <definedName name="ㅣㅋ팇러밍ㄹㄴㅇㄹ" localSheetId="4">#REF!</definedName>
    <definedName name="ㅣㅋ팇러밍ㄹㄴㅇㄹ">#REF!</definedName>
    <definedName name="ㅣㅏㅁㄴ러ㅣㅏㅁㄴㅇ" localSheetId="4">BlankMacro1</definedName>
    <definedName name="ㅣㅏㅁㄴ러ㅣㅏㅁㄴㅇ" localSheetId="1">BlankMacro1</definedName>
    <definedName name="ㅣㅏㅁㄴ러ㅣㅏㅁㄴㅇ">BlankMacro1</definedName>
    <definedName name="ㅣㅏㅚㅗㅓ" hidden="1">[36]Sheet14!$L$61:$L$130</definedName>
    <definedName name="ㅣㅏㅣㅣㅏㅣㅏㅏㅣ" localSheetId="4">BlankMacro1</definedName>
    <definedName name="ㅣㅏㅣㅣㅏㅣㅏㅏㅣ" localSheetId="1">BlankMacro1</definedName>
    <definedName name="ㅣㅏㅣㅣㅏㅣㅏㅏㅣ">BlankMacro1</definedName>
    <definedName name="ㅣㅑㅑ" localSheetId="4" hidden="1">{#N/A,#N/A,FALSE,"단가표지"}</definedName>
    <definedName name="ㅣㅑㅑ" localSheetId="1" hidden="1">{#N/A,#N/A,FALSE,"단가표지"}</definedName>
    <definedName name="ㅣㅑㅑ" hidden="1">{#N/A,#N/A,FALSE,"단가표지"}</definedName>
    <definedName name="ㅣㅓㅓㅑ" localSheetId="4">#REF!</definedName>
    <definedName name="ㅣㅓㅓㅑ" localSheetId="1">#REF!</definedName>
    <definedName name="ㅣㅓㅓㅑ">#REF!</definedName>
    <definedName name="ㅣㅣ">[67]!Macro10</definedName>
  </definedNames>
  <calcPr calcId="191029"/>
  <customWorkbookViews>
    <customWorkbookView name="유틸왕국 - 기본 보기" guid="{4A1A5B58-3094-42A2-B413-5F42508512CC}" mergeInterval="0" changesSavedWin="1" personalView="1" maximized="1" windowWidth="828" windowHeight="867" tabRatio="907" activeSheetId="34" showComments="commNone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5" i="39107" l="1"/>
  <c r="H19" i="39222"/>
  <c r="I19" i="39222" s="1"/>
  <c r="H18" i="39222"/>
  <c r="I18" i="39222" s="1"/>
  <c r="I20" i="39222" s="1"/>
  <c r="R6" i="39216" l="1"/>
  <c r="Q6" i="39216"/>
  <c r="P6" i="39216"/>
  <c r="O6" i="39216"/>
  <c r="M6" i="39216"/>
  <c r="L6" i="39216"/>
  <c r="K6" i="39216"/>
  <c r="J6" i="39216"/>
  <c r="I6" i="39216"/>
  <c r="H6" i="39216"/>
  <c r="G6" i="39216"/>
  <c r="F6" i="39216"/>
  <c r="E6" i="39216"/>
  <c r="D6" i="39216"/>
  <c r="C6" i="39216"/>
  <c r="N10" i="39216" l="1"/>
  <c r="N6" i="39216" s="1"/>
  <c r="B14" i="39118" l="1"/>
  <c r="B16" i="39107" s="1"/>
  <c r="B13" i="39118"/>
  <c r="B15" i="39107" s="1"/>
  <c r="B12" i="39118"/>
  <c r="B13" i="39217" s="1"/>
  <c r="B9" i="39118"/>
  <c r="B11" i="39107" s="1"/>
  <c r="B8" i="39118"/>
  <c r="B9" i="39217" s="1"/>
  <c r="B5" i="39118"/>
  <c r="B7" i="39107" s="1"/>
  <c r="B4" i="39118"/>
  <c r="B14" i="39217" l="1"/>
  <c r="B10" i="39217"/>
  <c r="B6" i="39217"/>
  <c r="B14" i="39107"/>
  <c r="B10" i="39107"/>
  <c r="B15" i="39217"/>
  <c r="C10" i="39221"/>
  <c r="B11" i="39118" l="1"/>
  <c r="B12" i="39217" l="1"/>
  <c r="B13" i="39107"/>
  <c r="H20" i="39217"/>
  <c r="F21" i="39107" s="1"/>
  <c r="H19" i="39217"/>
  <c r="F20" i="39107" s="1"/>
  <c r="H18" i="39217"/>
  <c r="F19" i="39107" s="1"/>
  <c r="H17" i="39217"/>
  <c r="F18" i="39107" s="1"/>
  <c r="H16" i="39217"/>
  <c r="F17" i="39107" s="1"/>
  <c r="H15" i="39217"/>
  <c r="F16" i="39107" s="1"/>
  <c r="H14" i="39217"/>
  <c r="F15" i="39107" s="1"/>
  <c r="H13" i="39217"/>
  <c r="F14" i="39107" s="1"/>
  <c r="H12" i="39217"/>
  <c r="F13" i="39107" s="1"/>
  <c r="H11" i="39217"/>
  <c r="F12" i="39107" s="1"/>
  <c r="H10" i="39217"/>
  <c r="F11" i="39107" s="1"/>
  <c r="H9" i="39217"/>
  <c r="F10" i="39107" s="1"/>
  <c r="H8" i="39217"/>
  <c r="F9" i="39107" s="1"/>
  <c r="H7" i="39217"/>
  <c r="F8" i="39107" s="1"/>
  <c r="H6" i="39217"/>
  <c r="F7" i="39107" s="1"/>
  <c r="H5" i="39217"/>
  <c r="F6" i="39107" l="1"/>
  <c r="M13" i="39107"/>
  <c r="H31" i="39222"/>
  <c r="I31" i="39222" s="1"/>
  <c r="H30" i="39222"/>
  <c r="I30" i="39222" s="1"/>
  <c r="M10" i="39107"/>
  <c r="D8" i="39118"/>
  <c r="C8" i="39118"/>
  <c r="E8" i="39118"/>
  <c r="E10" i="39107" s="1"/>
  <c r="G10" i="39107" s="1"/>
  <c r="E11" i="39118"/>
  <c r="E13" i="39107" s="1"/>
  <c r="G13" i="39107" s="1"/>
  <c r="D11" i="39118"/>
  <c r="C11" i="39118"/>
  <c r="M20" i="39107"/>
  <c r="M19" i="39107"/>
  <c r="I32" i="39222" l="1"/>
  <c r="D9" i="39217"/>
  <c r="D10" i="39107"/>
  <c r="C13" i="39107"/>
  <c r="C12" i="39217"/>
  <c r="D12" i="39217"/>
  <c r="D13" i="39107"/>
  <c r="C9" i="39217"/>
  <c r="C10" i="39107"/>
  <c r="H13" i="39107"/>
  <c r="I13" i="39107" s="1"/>
  <c r="L13" i="39107" l="1"/>
  <c r="M21" i="39107"/>
  <c r="M18" i="39107"/>
  <c r="M17" i="39107"/>
  <c r="M15" i="39107"/>
  <c r="M14" i="39107"/>
  <c r="M12" i="39107"/>
  <c r="M11" i="39107"/>
  <c r="M9" i="39107"/>
  <c r="H63" i="39222"/>
  <c r="H58" i="39222"/>
  <c r="I58" i="39222" s="1"/>
  <c r="I59" i="39222" s="1"/>
  <c r="H53" i="39222"/>
  <c r="H48" i="39222"/>
  <c r="H43" i="39222"/>
  <c r="I43" i="39222" s="1"/>
  <c r="H42" i="39222"/>
  <c r="I42" i="39222" s="1"/>
  <c r="I44" i="39222" s="1"/>
  <c r="H37" i="39222"/>
  <c r="I37" i="39222" s="1"/>
  <c r="H36" i="39222"/>
  <c r="I36" i="39222" s="1"/>
  <c r="I38" i="39222" s="1"/>
  <c r="H25" i="39222"/>
  <c r="I25" i="39222" s="1"/>
  <c r="H24" i="39222"/>
  <c r="I24" i="39222" s="1"/>
  <c r="H13" i="39222"/>
  <c r="I13" i="39222" s="1"/>
  <c r="H12" i="39222"/>
  <c r="I12" i="39222" s="1"/>
  <c r="H7" i="39222"/>
  <c r="I7" i="39222" s="1"/>
  <c r="I8" i="39222" s="1"/>
  <c r="I26" i="39222" l="1"/>
  <c r="I48" i="39222"/>
  <c r="I49" i="39222" s="1"/>
  <c r="H17" i="39107" s="1"/>
  <c r="I63" i="39222"/>
  <c r="I64" i="39222" s="1"/>
  <c r="H21" i="39107" s="1"/>
  <c r="I53" i="39222"/>
  <c r="I54" i="39222" s="1"/>
  <c r="H18" i="39107" s="1"/>
  <c r="H19" i="39107"/>
  <c r="I14" i="39222"/>
  <c r="H15" i="39107"/>
  <c r="H14" i="39107"/>
  <c r="D52" i="39222"/>
  <c r="C52" i="39222"/>
  <c r="H9" i="39107"/>
  <c r="D19" i="39118"/>
  <c r="D18" i="39118"/>
  <c r="D17" i="39118"/>
  <c r="D16" i="39118"/>
  <c r="D15" i="39118"/>
  <c r="D14" i="39118"/>
  <c r="D13" i="39118"/>
  <c r="D12" i="39118"/>
  <c r="D10" i="39118"/>
  <c r="D9" i="39118"/>
  <c r="D7" i="39118"/>
  <c r="D6" i="39118"/>
  <c r="C19" i="39118"/>
  <c r="C18" i="39118"/>
  <c r="C17" i="39118"/>
  <c r="C16" i="39118"/>
  <c r="C15" i="39118"/>
  <c r="C14" i="39118"/>
  <c r="C13" i="39118"/>
  <c r="C12" i="39118"/>
  <c r="C10" i="39118"/>
  <c r="C9" i="39118"/>
  <c r="C7" i="39118"/>
  <c r="C6" i="39118"/>
  <c r="B19" i="39118"/>
  <c r="B18" i="39118"/>
  <c r="B17" i="39118"/>
  <c r="B16" i="39118"/>
  <c r="B15" i="39118"/>
  <c r="B10" i="39118"/>
  <c r="B7" i="39118"/>
  <c r="B6" i="39118"/>
  <c r="B6" i="39107"/>
  <c r="E15" i="39118"/>
  <c r="E17" i="39107" s="1"/>
  <c r="E4" i="39118"/>
  <c r="E6" i="39118"/>
  <c r="E8" i="39107" s="1"/>
  <c r="G8" i="39107" s="1"/>
  <c r="L8" i="39107" s="1"/>
  <c r="E7" i="39118"/>
  <c r="E9" i="39118"/>
  <c r="E11" i="39107" s="1"/>
  <c r="E10" i="39118"/>
  <c r="E12" i="39107" s="1"/>
  <c r="E12" i="39118"/>
  <c r="E14" i="39107" s="1"/>
  <c r="E13" i="39118"/>
  <c r="E15" i="39107" s="1"/>
  <c r="E14" i="39118"/>
  <c r="E16" i="39107" s="1"/>
  <c r="G16" i="39107" s="1"/>
  <c r="E16" i="39118"/>
  <c r="E18" i="39107" s="1"/>
  <c r="E17" i="39118"/>
  <c r="E19" i="39107" s="1"/>
  <c r="E18" i="39118"/>
  <c r="E20" i="39107" s="1"/>
  <c r="E19" i="39118"/>
  <c r="E21" i="39107" s="1"/>
  <c r="G20" i="39107" l="1"/>
  <c r="I19" i="39107"/>
  <c r="G19" i="39107"/>
  <c r="I15" i="39107"/>
  <c r="G15" i="39107"/>
  <c r="G12" i="39107"/>
  <c r="H20" i="39107"/>
  <c r="I20" i="39107" s="1"/>
  <c r="I17" i="39107"/>
  <c r="G17" i="39107"/>
  <c r="I21" i="39107"/>
  <c r="G21" i="39107"/>
  <c r="I18" i="39107"/>
  <c r="G18" i="39107"/>
  <c r="I14" i="39107"/>
  <c r="G14" i="39107"/>
  <c r="I11" i="39107"/>
  <c r="G11" i="39107"/>
  <c r="B9" i="39107"/>
  <c r="B8" i="39217"/>
  <c r="B20" i="39217"/>
  <c r="B21" i="39107"/>
  <c r="C15" i="39107"/>
  <c r="C14" i="39217"/>
  <c r="C21" i="39107"/>
  <c r="C20" i="39217"/>
  <c r="D14" i="39217"/>
  <c r="D15" i="39107"/>
  <c r="D20" i="39217"/>
  <c r="D21" i="39107"/>
  <c r="B12" i="39107"/>
  <c r="B11" i="39217"/>
  <c r="C8" i="39107"/>
  <c r="C7" i="39217"/>
  <c r="C16" i="39107"/>
  <c r="C15" i="39217"/>
  <c r="D8" i="39107"/>
  <c r="D7" i="39217"/>
  <c r="D16" i="39107"/>
  <c r="D15" i="39217"/>
  <c r="B16" i="39217"/>
  <c r="B17" i="39107"/>
  <c r="C9" i="39107"/>
  <c r="C8" i="39217"/>
  <c r="C17" i="39107"/>
  <c r="C16" i="39217"/>
  <c r="D9" i="39107"/>
  <c r="D8" i="39217"/>
  <c r="D16" i="39217"/>
  <c r="D17" i="39107"/>
  <c r="B17" i="39217"/>
  <c r="B18" i="39107"/>
  <c r="C11" i="39107"/>
  <c r="C10" i="39217"/>
  <c r="C17" i="39217"/>
  <c r="C18" i="39107"/>
  <c r="D10" i="39217"/>
  <c r="D11" i="39107"/>
  <c r="D17" i="39217"/>
  <c r="D18" i="39107"/>
  <c r="B19" i="39107"/>
  <c r="B18" i="39217"/>
  <c r="C12" i="39107"/>
  <c r="C11" i="39217"/>
  <c r="C19" i="39107"/>
  <c r="C18" i="39217"/>
  <c r="D12" i="39107"/>
  <c r="D11" i="39217"/>
  <c r="D18" i="39217"/>
  <c r="D19" i="39107"/>
  <c r="B8" i="39107"/>
  <c r="B7" i="39217"/>
  <c r="B20" i="39107"/>
  <c r="B19" i="39217"/>
  <c r="C13" i="39217"/>
  <c r="C14" i="39107"/>
  <c r="C20" i="39107"/>
  <c r="C19" i="39217"/>
  <c r="D13" i="39217"/>
  <c r="D14" i="39107"/>
  <c r="D20" i="39107"/>
  <c r="D19" i="39217"/>
  <c r="E9" i="39107"/>
  <c r="H10" i="39107"/>
  <c r="E6" i="39107"/>
  <c r="G6" i="39107" s="1"/>
  <c r="H11" i="39107"/>
  <c r="B5" i="39217"/>
  <c r="H12" i="39107"/>
  <c r="I12" i="39107" s="1"/>
  <c r="I9" i="39107" l="1"/>
  <c r="G9" i="39107"/>
  <c r="L6" i="39107"/>
  <c r="I10" i="39107"/>
  <c r="L10" i="39107" s="1"/>
  <c r="L15" i="39107"/>
  <c r="L17" i="39107"/>
  <c r="L14" i="39107"/>
  <c r="L21" i="39107"/>
  <c r="L11" i="39107"/>
  <c r="L18" i="39107"/>
  <c r="L19" i="39107"/>
  <c r="L20" i="39107"/>
  <c r="L12" i="39107"/>
  <c r="D5" i="39118"/>
  <c r="C5" i="39118"/>
  <c r="E5" i="39118"/>
  <c r="I5" i="39107" l="1"/>
  <c r="L9" i="39107"/>
  <c r="C7" i="39107"/>
  <c r="C6" i="39217"/>
  <c r="D6" i="39217"/>
  <c r="D7" i="39107"/>
  <c r="E7" i="39107"/>
  <c r="G7" i="39107" s="1"/>
  <c r="L16" i="39107"/>
  <c r="L7" i="39107" l="1"/>
  <c r="G22" i="39107"/>
  <c r="G5" i="39107"/>
  <c r="L22" i="39107"/>
  <c r="L5" i="39107" l="1"/>
  <c r="D4" i="39118"/>
  <c r="D6" i="39107" s="1"/>
  <c r="C4" i="39118"/>
  <c r="C6" i="39107" s="1"/>
  <c r="C5" i="39217" l="1"/>
  <c r="D5" i="39217"/>
  <c r="E7" i="231" l="1"/>
  <c r="E8" i="231"/>
  <c r="J20" i="231"/>
  <c r="I20" i="231" s="1"/>
  <c r="D6" i="39212" l="1"/>
  <c r="D7" i="39212" l="1"/>
  <c r="D8" i="39212" s="1"/>
  <c r="D4" i="39212"/>
  <c r="D5" i="39212" s="1"/>
  <c r="D14" i="39212" s="1"/>
  <c r="E6" i="39212"/>
  <c r="D17" i="39212" l="1"/>
  <c r="D16" i="39212"/>
  <c r="D15" i="39212"/>
  <c r="E15" i="39212" s="1"/>
  <c r="D11" i="39212"/>
  <c r="E11" i="39212" s="1"/>
  <c r="D9" i="39212"/>
  <c r="D18" i="39212" s="1"/>
  <c r="D19" i="39212" s="1"/>
  <c r="E8" i="39212"/>
  <c r="E4" i="39212"/>
  <c r="E5" i="39212"/>
  <c r="E18" i="39212" l="1"/>
  <c r="E19" i="39212"/>
  <c r="D20" i="39212" l="1"/>
  <c r="D21" i="39212" s="1"/>
  <c r="E20" i="39212" l="1"/>
  <c r="E21" i="39212"/>
  <c r="D22" i="39212" l="1"/>
  <c r="E22" i="39212" s="1"/>
  <c r="X7" i="39221" l="1"/>
  <c r="N7" i="39221" s="1"/>
  <c r="D23" i="39212"/>
  <c r="D24" i="39212" s="1"/>
  <c r="E24" i="39212" s="1"/>
  <c r="X6" i="39221" l="1"/>
  <c r="N6" i="39221" s="1"/>
  <c r="E23" i="39212"/>
  <c r="J18" i="231"/>
  <c r="J16" i="231" s="1"/>
  <c r="I16" i="231" s="1"/>
  <c r="X8" i="39221"/>
  <c r="N8" i="39221" s="1"/>
  <c r="I18" i="231" l="1"/>
</calcChain>
</file>

<file path=xl/sharedStrings.xml><?xml version="1.0" encoding="utf-8"?>
<sst xmlns="http://schemas.openxmlformats.org/spreadsheetml/2006/main" count="297" uniqueCount="202">
  <si>
    <t>一  金</t>
  </si>
  <si>
    <t>과   장</t>
    <phoneticPr fontId="5" type="noConversion"/>
  </si>
  <si>
    <t>담   당</t>
    <phoneticPr fontId="5" type="noConversion"/>
  </si>
  <si>
    <t>심   사</t>
    <phoneticPr fontId="5" type="noConversion"/>
  </si>
  <si>
    <t>설   계   자</t>
    <phoneticPr fontId="5" type="noConversion"/>
  </si>
  <si>
    <t>설 계 년 월 일</t>
    <phoneticPr fontId="5" type="noConversion"/>
  </si>
  <si>
    <t>공 사 개 요 :</t>
    <phoneticPr fontId="5" type="noConversion"/>
  </si>
  <si>
    <t>)</t>
  </si>
  <si>
    <t>단위</t>
  </si>
  <si>
    <t>수량</t>
  </si>
  <si>
    <t>비 고</t>
    <phoneticPr fontId="5" type="noConversion"/>
  </si>
  <si>
    <t>총   사   업   비 :</t>
    <phoneticPr fontId="5" type="noConversion"/>
  </si>
  <si>
    <t>위         치 :</t>
    <phoneticPr fontId="5" type="noConversion"/>
  </si>
  <si>
    <t>도 급   공 사 비 :</t>
    <phoneticPr fontId="5" type="noConversion"/>
  </si>
  <si>
    <t>관 급   자 재 비 :</t>
    <phoneticPr fontId="5" type="noConversion"/>
  </si>
  <si>
    <t>공   사   설   계   예   산   서</t>
    <phoneticPr fontId="5" type="noConversion"/>
  </si>
  <si>
    <t>연번</t>
    <phoneticPr fontId="5" type="noConversion"/>
  </si>
  <si>
    <t>사   업   명 :</t>
    <phoneticPr fontId="5" type="noConversion"/>
  </si>
  <si>
    <t>소   계</t>
    <phoneticPr fontId="5" type="noConversion"/>
  </si>
  <si>
    <t>재료비</t>
    <phoneticPr fontId="5" type="noConversion"/>
  </si>
  <si>
    <t>재료비</t>
    <phoneticPr fontId="5" type="noConversion"/>
  </si>
  <si>
    <t>소   계</t>
    <phoneticPr fontId="5" type="noConversion"/>
  </si>
  <si>
    <t>직접노무비</t>
    <phoneticPr fontId="5" type="noConversion"/>
  </si>
  <si>
    <t>간접노무비</t>
    <phoneticPr fontId="5" type="noConversion"/>
  </si>
  <si>
    <t>산재보험료</t>
    <phoneticPr fontId="5" type="noConversion"/>
  </si>
  <si>
    <t>고용보험료</t>
    <phoneticPr fontId="5" type="noConversion"/>
  </si>
  <si>
    <t>계</t>
    <phoneticPr fontId="5" type="noConversion"/>
  </si>
  <si>
    <t>일반관리비</t>
    <phoneticPr fontId="5" type="noConversion"/>
  </si>
  <si>
    <t>부가가치세</t>
    <phoneticPr fontId="5" type="noConversion"/>
  </si>
  <si>
    <t>노무비</t>
    <phoneticPr fontId="5" type="noConversion"/>
  </si>
  <si>
    <t>순 공 사 비</t>
    <phoneticPr fontId="5" type="noConversion"/>
  </si>
  <si>
    <t>비목</t>
    <phoneticPr fontId="5" type="noConversion"/>
  </si>
  <si>
    <t>구  분</t>
    <phoneticPr fontId="5" type="noConversion"/>
  </si>
  <si>
    <t xml:space="preserve">생활안전 CCTV 설치공사 - 1식 </t>
    <phoneticPr fontId="5" type="noConversion"/>
  </si>
  <si>
    <t xml:space="preserve">생활안전 CCTV 구매설치 - 1식 </t>
    <phoneticPr fontId="5" type="noConversion"/>
  </si>
  <si>
    <t>절감액</t>
    <phoneticPr fontId="5" type="noConversion"/>
  </si>
  <si>
    <t>금   액</t>
    <phoneticPr fontId="5" type="noConversion"/>
  </si>
  <si>
    <t>도급공사비</t>
    <phoneticPr fontId="5" type="noConversion"/>
  </si>
  <si>
    <t>원가계산서</t>
    <phoneticPr fontId="5" type="noConversion"/>
  </si>
  <si>
    <t>산출집계표</t>
    <phoneticPr fontId="5" type="noConversion"/>
  </si>
  <si>
    <t xml:space="preserve">단  가 </t>
  </si>
  <si>
    <t>금   액</t>
  </si>
  <si>
    <t>직종분류</t>
    <phoneticPr fontId="5" type="noConversion"/>
  </si>
  <si>
    <t>통신설비공</t>
    <phoneticPr fontId="5" type="noConversion"/>
  </si>
  <si>
    <t>보통인부</t>
    <phoneticPr fontId="5" type="noConversion"/>
  </si>
  <si>
    <t>단위</t>
    <phoneticPr fontId="5" type="noConversion"/>
  </si>
  <si>
    <t>품명</t>
    <phoneticPr fontId="5" type="noConversion"/>
  </si>
  <si>
    <t>수량</t>
    <phoneticPr fontId="5" type="noConversion"/>
  </si>
  <si>
    <t>비고</t>
    <phoneticPr fontId="5" type="noConversion"/>
  </si>
  <si>
    <t>연번</t>
    <phoneticPr fontId="5" type="noConversion"/>
  </si>
  <si>
    <t>통신케이블공</t>
    <phoneticPr fontId="5" type="noConversion"/>
  </si>
  <si>
    <t>통신내선공</t>
    <phoneticPr fontId="5" type="noConversion"/>
  </si>
  <si>
    <t>설 계 내 역 서</t>
    <phoneticPr fontId="5" type="noConversion"/>
  </si>
  <si>
    <t>단가표 번호</t>
    <phoneticPr fontId="5" type="noConversion"/>
  </si>
  <si>
    <t>기타경비</t>
    <phoneticPr fontId="5" type="noConversion"/>
  </si>
  <si>
    <t>산업안전보건관리비</t>
    <phoneticPr fontId="5" type="noConversion"/>
  </si>
  <si>
    <t>(노무비+경비+일반관리비) * 15%</t>
    <phoneticPr fontId="5" type="noConversion"/>
  </si>
  <si>
    <t>경비</t>
    <phoneticPr fontId="5" type="noConversion"/>
  </si>
  <si>
    <t>광케이블설치사</t>
    <phoneticPr fontId="5" type="noConversion"/>
  </si>
  <si>
    <t>특별인부</t>
    <phoneticPr fontId="5" type="noConversion"/>
  </si>
  <si>
    <t>구  분</t>
    <phoneticPr fontId="216" type="noConversion"/>
  </si>
  <si>
    <t>비    고</t>
    <phoneticPr fontId="216" type="noConversion"/>
  </si>
  <si>
    <t>합  계</t>
    <phoneticPr fontId="216" type="noConversion"/>
  </si>
  <si>
    <t>一金</t>
    <phoneticPr fontId="216" type="noConversion"/>
  </si>
  <si>
    <t>(</t>
    <phoneticPr fontId="216" type="noConversion"/>
  </si>
  <si>
    <t>)</t>
    <phoneticPr fontId="216" type="noConversion"/>
  </si>
  <si>
    <t>공사비</t>
    <phoneticPr fontId="216" type="noConversion"/>
  </si>
  <si>
    <t>부가가치세</t>
    <phoneticPr fontId="216" type="noConversion"/>
  </si>
  <si>
    <t>합계</t>
    <phoneticPr fontId="5" type="noConversion"/>
  </si>
  <si>
    <t>개</t>
    <phoneticPr fontId="5" type="noConversion"/>
  </si>
  <si>
    <t>규격</t>
    <phoneticPr fontId="5" type="noConversion"/>
  </si>
  <si>
    <t>단가</t>
    <phoneticPr fontId="5" type="noConversion"/>
  </si>
  <si>
    <t>경비</t>
    <phoneticPr fontId="5" type="noConversion"/>
  </si>
  <si>
    <t>단가</t>
    <phoneticPr fontId="5" type="noConversion"/>
  </si>
  <si>
    <t>금액</t>
    <phoneticPr fontId="5" type="noConversion"/>
  </si>
  <si>
    <t>규격</t>
    <phoneticPr fontId="5" type="noConversion"/>
  </si>
  <si>
    <t>이          윤</t>
    <phoneticPr fontId="5" type="noConversion"/>
  </si>
  <si>
    <t>총   원   가</t>
    <phoneticPr fontId="5" type="noConversion"/>
  </si>
  <si>
    <t>연금보험료</t>
    <phoneticPr fontId="5" type="noConversion"/>
  </si>
  <si>
    <t>건강보험료</t>
    <phoneticPr fontId="5" type="noConversion"/>
  </si>
  <si>
    <t>노인장기요양보험료</t>
    <phoneticPr fontId="5" type="noConversion"/>
  </si>
  <si>
    <t>금   액</t>
    <phoneticPr fontId="216" type="noConversion"/>
  </si>
  <si>
    <t>(재료비 + 노무비) * 4.6%</t>
    <phoneticPr fontId="5" type="noConversion"/>
  </si>
  <si>
    <t>(노무비) * 3.56%</t>
    <phoneticPr fontId="5" type="noConversion"/>
  </si>
  <si>
    <t>(노무비) * 1.01%</t>
    <phoneticPr fontId="5" type="noConversion"/>
  </si>
  <si>
    <t>노임단가표(2026년 상반기)</t>
    <phoneticPr fontId="5" type="noConversion"/>
  </si>
  <si>
    <t>(재료비+노무비+경비) * 8%</t>
    <phoneticPr fontId="5" type="noConversion"/>
  </si>
  <si>
    <t>연번</t>
    <phoneticPr fontId="5" type="noConversion"/>
  </si>
  <si>
    <t xml:space="preserve"> 품  명 </t>
    <phoneticPr fontId="5" type="noConversion"/>
  </si>
  <si>
    <t xml:space="preserve"> 규  격 </t>
    <phoneticPr fontId="5" type="noConversion"/>
  </si>
  <si>
    <t xml:space="preserve"> 단위</t>
    <phoneticPr fontId="5" type="noConversion"/>
  </si>
  <si>
    <t>비교 견적</t>
    <phoneticPr fontId="5" type="noConversion"/>
  </si>
  <si>
    <t xml:space="preserve"> 적용단가 </t>
    <phoneticPr fontId="5" type="noConversion"/>
  </si>
  <si>
    <t>견적단가1</t>
    <phoneticPr fontId="5" type="noConversion"/>
  </si>
  <si>
    <t>견적단가2</t>
    <phoneticPr fontId="5" type="noConversion"/>
  </si>
  <si>
    <t>견적단가3</t>
    <phoneticPr fontId="5" type="noConversion"/>
  </si>
  <si>
    <t>정보통신실</t>
    <phoneticPr fontId="5" type="noConversion"/>
  </si>
  <si>
    <t>부속실</t>
    <phoneticPr fontId="5" type="noConversion"/>
  </si>
  <si>
    <t>소회의실</t>
    <phoneticPr fontId="5" type="noConversion"/>
  </si>
  <si>
    <t>대회의실</t>
    <phoneticPr fontId="5" type="noConversion"/>
  </si>
  <si>
    <t>광모듈</t>
    <phoneticPr fontId="5" type="noConversion"/>
  </si>
  <si>
    <t>SC-LC 10M</t>
    <phoneticPr fontId="5" type="noConversion"/>
  </si>
  <si>
    <t>SC-LC 30M</t>
    <phoneticPr fontId="5" type="noConversion"/>
  </si>
  <si>
    <t>SC-LC 3M</t>
    <phoneticPr fontId="5" type="noConversion"/>
  </si>
  <si>
    <t>UTP 케이블</t>
    <phoneticPr fontId="5" type="noConversion"/>
  </si>
  <si>
    <t>전선관</t>
    <phoneticPr fontId="5" type="noConversion"/>
  </si>
  <si>
    <t>CD 22mm</t>
    <phoneticPr fontId="5" type="noConversion"/>
  </si>
  <si>
    <t>닥트</t>
    <phoneticPr fontId="5" type="noConversion"/>
  </si>
  <si>
    <t>PVC 중</t>
    <phoneticPr fontId="5" type="noConversion"/>
  </si>
  <si>
    <t>RJ-45</t>
    <phoneticPr fontId="5" type="noConversion"/>
  </si>
  <si>
    <t>개</t>
    <phoneticPr fontId="5" type="noConversion"/>
  </si>
  <si>
    <t>m</t>
    <phoneticPr fontId="5" type="noConversion"/>
  </si>
  <si>
    <t>m</t>
    <phoneticPr fontId="5" type="noConversion"/>
  </si>
  <si>
    <t>대</t>
    <phoneticPr fontId="5" type="noConversion"/>
  </si>
  <si>
    <t>대</t>
    <phoneticPr fontId="5" type="noConversion"/>
  </si>
  <si>
    <t>SM</t>
    <phoneticPr fontId="5" type="noConversion"/>
  </si>
  <si>
    <t>통신랙</t>
    <phoneticPr fontId="5" type="noConversion"/>
  </si>
  <si>
    <t>몰드</t>
    <phoneticPr fontId="5" type="noConversion"/>
  </si>
  <si>
    <t>작업종별</t>
    <phoneticPr fontId="5" type="noConversion"/>
  </si>
  <si>
    <t>규     격</t>
    <phoneticPr fontId="5" type="noConversion"/>
  </si>
  <si>
    <t>단위</t>
    <phoneticPr fontId="5" type="noConversion"/>
  </si>
  <si>
    <t>수 량</t>
    <phoneticPr fontId="5" type="noConversion"/>
  </si>
  <si>
    <t>재  료  비</t>
    <phoneticPr fontId="5" type="noConversion"/>
  </si>
  <si>
    <t>노  무  비</t>
    <phoneticPr fontId="15" type="noConversion"/>
  </si>
  <si>
    <t>비 고</t>
    <phoneticPr fontId="5" type="noConversion"/>
  </si>
  <si>
    <t>통신 4-1-3</t>
    <phoneticPr fontId="211" type="noConversion"/>
  </si>
  <si>
    <t>12코아 이하</t>
    <phoneticPr fontId="5" type="noConversion"/>
  </si>
  <si>
    <t>m</t>
    <phoneticPr fontId="5" type="noConversion"/>
  </si>
  <si>
    <t>광케이블설치사</t>
    <phoneticPr fontId="5" type="noConversion"/>
  </si>
  <si>
    <t>인</t>
    <phoneticPr fontId="5" type="noConversion"/>
  </si>
  <si>
    <t>특별인부</t>
    <phoneticPr fontId="5" type="noConversion"/>
  </si>
  <si>
    <t>계</t>
    <phoneticPr fontId="212" type="noConversion"/>
  </si>
  <si>
    <t>통신 4-1-2-2</t>
    <phoneticPr fontId="211" type="noConversion"/>
  </si>
  <si>
    <t>광점퍼코드 포설</t>
    <phoneticPr fontId="5" type="noConversion"/>
  </si>
  <si>
    <t>10m</t>
    <phoneticPr fontId="5" type="noConversion"/>
  </si>
  <si>
    <t>통신 4-3-3</t>
    <phoneticPr fontId="211" type="noConversion"/>
  </si>
  <si>
    <t>통신설비공</t>
    <phoneticPr fontId="5" type="noConversion"/>
  </si>
  <si>
    <t>통신케이블공</t>
    <phoneticPr fontId="5" type="noConversion"/>
  </si>
  <si>
    <t>통신 4-3-1</t>
    <phoneticPr fontId="211" type="noConversion"/>
  </si>
  <si>
    <t>UTP 커넥터</t>
    <phoneticPr fontId="5" type="noConversion"/>
  </si>
  <si>
    <t>통신 4-3-2</t>
    <phoneticPr fontId="211" type="noConversion"/>
  </si>
  <si>
    <t>통신내선공</t>
    <phoneticPr fontId="5" type="noConversion"/>
  </si>
  <si>
    <t>PVC</t>
    <phoneticPr fontId="5" type="noConversion"/>
  </si>
  <si>
    <t>500mm</t>
    <phoneticPr fontId="5" type="noConversion"/>
  </si>
  <si>
    <t>통신내선공</t>
    <phoneticPr fontId="5" type="noConversion"/>
  </si>
  <si>
    <t>22mm</t>
    <phoneticPr fontId="5" type="noConversion"/>
  </si>
  <si>
    <t>m</t>
    <phoneticPr fontId="5" type="noConversion"/>
  </si>
  <si>
    <t>통신 3-1-1</t>
    <phoneticPr fontId="211" type="noConversion"/>
  </si>
  <si>
    <t>SC-LC 40M</t>
    <phoneticPr fontId="5" type="noConversion"/>
  </si>
  <si>
    <t>개</t>
    <phoneticPr fontId="5" type="noConversion"/>
  </si>
  <si>
    <t>4Port</t>
    <phoneticPr fontId="5" type="noConversion"/>
  </si>
  <si>
    <t>SM 4C</t>
    <phoneticPr fontId="5" type="noConversion"/>
  </si>
  <si>
    <t>직접노무비 * 15%</t>
    <phoneticPr fontId="5" type="noConversion"/>
  </si>
  <si>
    <t>구분</t>
    <phoneticPr fontId="5" type="noConversion"/>
  </si>
  <si>
    <t>L2 스위치</t>
    <phoneticPr fontId="5" type="noConversion"/>
  </si>
  <si>
    <t>광점퍼 케이블</t>
    <phoneticPr fontId="5" type="noConversion"/>
  </si>
  <si>
    <t>Pig Tail</t>
    <phoneticPr fontId="5" type="noConversion"/>
  </si>
  <si>
    <t>Cat.5e, 4P</t>
    <phoneticPr fontId="5" type="noConversion"/>
  </si>
  <si>
    <t>물량내역서</t>
    <phoneticPr fontId="5" type="noConversion"/>
  </si>
  <si>
    <t>자재단가표</t>
    <phoneticPr fontId="5" type="noConversion"/>
  </si>
  <si>
    <t>2.2m 미만</t>
  </si>
  <si>
    <t>구내광섬유케이블</t>
    <phoneticPr fontId="5" type="noConversion"/>
  </si>
  <si>
    <t>광섬유케이블포설</t>
    <phoneticPr fontId="5" type="noConversion"/>
  </si>
  <si>
    <t>19″ RACK</t>
    <phoneticPr fontId="5" type="noConversion"/>
  </si>
  <si>
    <t>광분배함(반) 및 성단 등</t>
    <phoneticPr fontId="5" type="noConversion"/>
  </si>
  <si>
    <t>광분배반(FDF)</t>
    <phoneticPr fontId="5" type="noConversion"/>
  </si>
  <si>
    <t>인</t>
    <phoneticPr fontId="5" type="noConversion"/>
  </si>
  <si>
    <t>성단</t>
    <phoneticPr fontId="5" type="noConversion"/>
  </si>
  <si>
    <t>광점퍼코드(광패치코드) 포설</t>
    <phoneticPr fontId="5" type="noConversion"/>
  </si>
  <si>
    <t>꼬임케이블 포설</t>
    <phoneticPr fontId="5" type="noConversion"/>
  </si>
  <si>
    <t>UTP</t>
    <phoneticPr fontId="5" type="noConversion"/>
  </si>
  <si>
    <t>m</t>
    <phoneticPr fontId="5" type="noConversion"/>
  </si>
  <si>
    <t>커넥터 및 Jack 접속</t>
    <phoneticPr fontId="5" type="noConversion"/>
  </si>
  <si>
    <t>Modular</t>
    <phoneticPr fontId="5" type="noConversion"/>
  </si>
  <si>
    <t>본품의 80% 적용</t>
    <phoneticPr fontId="5" type="noConversion"/>
  </si>
  <si>
    <t>구내통신배관</t>
    <phoneticPr fontId="5" type="noConversion"/>
  </si>
  <si>
    <t>합성수지전선관</t>
    <phoneticPr fontId="5" type="noConversion"/>
  </si>
  <si>
    <t>몰딩</t>
    <phoneticPr fontId="5" type="noConversion"/>
  </si>
  <si>
    <t>PVC 몰딩</t>
    <phoneticPr fontId="5" type="noConversion"/>
  </si>
  <si>
    <t>통신 3-5-3</t>
    <phoneticPr fontId="211" type="noConversion"/>
  </si>
  <si>
    <t>잡자재비</t>
    <phoneticPr fontId="5" type="noConversion"/>
  </si>
  <si>
    <t>식</t>
    <phoneticPr fontId="5" type="noConversion"/>
  </si>
  <si>
    <t>설계내역서</t>
    <phoneticPr fontId="5" type="noConversion"/>
  </si>
  <si>
    <t>일위대가표</t>
    <phoneticPr fontId="5" type="noConversion"/>
  </si>
  <si>
    <t>24Port PoE, 
4Port SFP</t>
    <phoneticPr fontId="5" type="noConversion"/>
  </si>
  <si>
    <t>8Port Giga, 
2Port SFP</t>
    <phoneticPr fontId="5" type="noConversion"/>
  </si>
  <si>
    <t>광케이블</t>
    <phoneticPr fontId="5" type="noConversion"/>
  </si>
  <si>
    <t>광분배함</t>
    <phoneticPr fontId="5" type="noConversion"/>
  </si>
  <si>
    <t>정보통신
개선공사</t>
    <phoneticPr fontId="5" type="noConversion"/>
  </si>
  <si>
    <t>선거상황실</t>
    <phoneticPr fontId="5" type="noConversion"/>
  </si>
  <si>
    <t>1-389 계약심사단가</t>
    <phoneticPr fontId="5" type="noConversion"/>
  </si>
  <si>
    <t>1G, BiDi</t>
    <phoneticPr fontId="5" type="noConversion"/>
  </si>
  <si>
    <t>▣ 위치: 대회의실, 소회의실, 부속실, 선거상황실</t>
    <phoneticPr fontId="5" type="noConversion"/>
  </si>
  <si>
    <t>대</t>
    <phoneticPr fontId="5" type="noConversion"/>
  </si>
  <si>
    <t>코어당</t>
    <phoneticPr fontId="5" type="noConversion"/>
  </si>
  <si>
    <t>대회의실, 소회의실 정보통신시설 개선 공사</t>
    <phoneticPr fontId="216" type="noConversion"/>
  </si>
  <si>
    <t>구성도</t>
    <phoneticPr fontId="5" type="noConversion"/>
  </si>
  <si>
    <t>(재료비+직접노무비) * 2.07%</t>
    <phoneticPr fontId="5" type="noConversion"/>
  </si>
  <si>
    <t>석면분담금</t>
    <phoneticPr fontId="5" type="noConversion"/>
  </si>
  <si>
    <t>임금채권부담금</t>
    <phoneticPr fontId="5" type="noConversion"/>
  </si>
  <si>
    <t>(노무비) * 0.006%</t>
    <phoneticPr fontId="5" type="noConversion"/>
  </si>
  <si>
    <t>(노무비) * 0.09%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</si>
</sst>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4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#,##0_ "/>
    <numFmt numFmtId="177" formatCode="0.0"/>
    <numFmt numFmtId="178" formatCode="0_);[Red]\(0\)"/>
    <numFmt numFmtId="179" formatCode="#,##0.0_);[Red]\(#,##0.0\)"/>
    <numFmt numFmtId="180" formatCode="0_ "/>
    <numFmt numFmtId="181" formatCode="_-* #,##0.0_-;\-* #,##0.0_-;_-* &quot;-&quot;_-;_-@_-"/>
    <numFmt numFmtId="182" formatCode="_(* #,##0_);_(* \(#,##0\);_(* &quot;-&quot;_);_(@_)"/>
    <numFmt numFmtId="183" formatCode="_ * #,##0.00_ ;_ * \-#,##0.00_ ;_ * &quot;-&quot;??_ ;_ @_ "/>
    <numFmt numFmtId="184" formatCode="[Red]#,###.###"/>
    <numFmt numFmtId="185" formatCode="yyyy&quot;-&quot;m&quot;-&quot;d\ h:mm\ AM/PM"/>
    <numFmt numFmtId="186" formatCode="##\)"/>
    <numFmt numFmtId="187" formatCode="&quot;$&quot;#,##0"/>
    <numFmt numFmtId="188" formatCode="&quot;$&quot;#,##0.00;[Red]&quot;$&quot;#,##0.00"/>
    <numFmt numFmtId="189" formatCode="&quot;￡&quot;#,##0;\-&quot;￡&quot;#,##0"/>
    <numFmt numFmtId="190" formatCode="_ * #,##0_ ;_ * \-#,##0_ ;_ * &quot;-&quot;_ ;_ @_ "/>
    <numFmt numFmtId="191" formatCode="_(&quot;$&quot;* #,##0_);_(&quot;$&quot;* &quot;₩&quot;&quot;₩&quot;&quot;₩&quot;&quot;₩&quot;&quot;₩&quot;\(#,##0&quot;₩&quot;&quot;₩&quot;&quot;₩&quot;&quot;₩&quot;&quot;₩&quot;\);_(&quot;$&quot;* &quot;-&quot;_);_(@_)"/>
    <numFmt numFmtId="192" formatCode="&quot;?#,##0.0;&quot;\&quot;&quot;₩&quot;&quot;₩&quot;&quot;₩&quot;\(&quot;?#,##0.0&quot;\&quot;&quot;₩&quot;&quot;₩&quot;&quot;₩&quot;\)"/>
    <numFmt numFmtId="193" formatCode="0&quot;만원&quot;"/>
    <numFmt numFmtId="194" formatCode="#,##0.000\ &quot;㎥ &quot;"/>
    <numFmt numFmtId="195" formatCode="#,##0.000\ &quot;㎏ &quot;"/>
    <numFmt numFmtId="196" formatCode="#,##0.000\ &quot;EA &quot;"/>
    <numFmt numFmtId="197" formatCode="#,##0.000\ &quot;㎡ &quot;"/>
    <numFmt numFmtId="198" formatCode="#,##0.000\ &quot;ton &quot;"/>
    <numFmt numFmtId="199" formatCode="&quot;  &quot;@"/>
    <numFmt numFmtId="200" formatCode="#,###\ &quot;개&quot;"/>
    <numFmt numFmtId="201" formatCode="#,##0.000\ &quot;m  &quot;"/>
    <numFmt numFmtId="202" formatCode=";;;"/>
    <numFmt numFmtId="203" formatCode="&quot;     &quot;@"/>
    <numFmt numFmtId="204" formatCode="#,##0.000\ &quot;10공/㎥ &quot;"/>
    <numFmt numFmtId="205" formatCode="#,##0.0\ &quot;개소 &quot;"/>
    <numFmt numFmtId="206" formatCode="#,##0.00\ &quot;개 &quot;"/>
    <numFmt numFmtId="207" formatCode="#,###.00\ &quot;매 &quot;"/>
    <numFmt numFmtId="208" formatCode="#,##0.00\ &quot;a &quot;"/>
    <numFmt numFmtId="209" formatCode="#,##0.00\ &quot;ℓ &quot;"/>
    <numFmt numFmtId="210" formatCode="##\/##\/##"/>
    <numFmt numFmtId="211" formatCode="&quot;$&quot;#,##0_);[Red]\(&quot;$&quot;#,##0\)"/>
    <numFmt numFmtId="212" formatCode="#,##0.00\ &quot;Pts&quot;;\-#,##0.00\ &quot;Pts&quot;"/>
    <numFmt numFmtId="213" formatCode="&quot;₩&quot;#,##0"/>
    <numFmt numFmtId="214" formatCode="0.000"/>
    <numFmt numFmtId="215" formatCode="#,##0;[Red]&quot;-&quot;#,##0"/>
    <numFmt numFmtId="216" formatCode="#."/>
    <numFmt numFmtId="217" formatCode="#,###.000\ &quot;M&quot;"/>
    <numFmt numFmtId="218" formatCode="#,##0.0"/>
    <numFmt numFmtId="219" formatCode="#,##0.000"/>
    <numFmt numFmtId="220" formatCode="&quot;₩&quot;\!\$#\!\,##0_);[Red]&quot;₩&quot;\!\(&quot;₩&quot;\!\$#\!\,##0&quot;₩&quot;\!\)"/>
    <numFmt numFmtId="221" formatCode="0\!.0000000000000000"/>
    <numFmt numFmtId="222" formatCode="&quot;$&quot;#\!\,##0\!.00_);[Red]&quot;₩&quot;\!\(&quot;$&quot;#\!\,##0\!.00&quot;₩&quot;\!\)"/>
    <numFmt numFmtId="223" formatCode="[Blue]\+0%;[Red]\-0%;0%"/>
    <numFmt numFmtId="224" formatCode="&quot;(&quot;###.00&quot;)&quot;"/>
    <numFmt numFmtId="225" formatCode="[Blue]\+#,##0\ ;[Red]\-#,##0\ ;#,##0\ "/>
    <numFmt numFmtId="226" formatCode="#,##0;[Red]&quot;△&quot;#,##0"/>
    <numFmt numFmtId="227" formatCode="#,##0_ ;[Red]&quot;△&quot;#,##0\ "/>
    <numFmt numFmtId="228" formatCode="#.00"/>
    <numFmt numFmtId="229" formatCode="_(&quot;$&quot;* #,##0_);_(&quot;$&quot;* \(#,##0\);_(&quot;$&quot;* &quot;-&quot;_);_(@_)"/>
    <numFmt numFmtId="230" formatCode="_-* #,##0.0_-;&quot;₩&quot;\!\-* #,##0.0_-;_-* &quot;-&quot;_-;_-@_-"/>
    <numFmt numFmtId="231" formatCode="00&quot;K&quot;000"/>
    <numFmt numFmtId="232" formatCode="00&quot;K&quot;000.0########"/>
    <numFmt numFmtId="233" formatCode="#,##0.00_);[Red]\(#,##0.00\)"/>
    <numFmt numFmtId="234" formatCode="_ &quot;₩&quot;* #,##0.00_ ;_ &quot;₩&quot;* \-#,##0.00_ ;_ &quot;₩&quot;* &quot;-&quot;??_ ;_ @_ "/>
    <numFmt numFmtId="235" formatCode="0.0%;[Red]&quot;△&quot;0.0%"/>
    <numFmt numFmtId="236" formatCode="0.00%;[Red]&quot;△&quot;0.00%"/>
    <numFmt numFmtId="237" formatCode="0.00\ &quot;)&quot;"/>
    <numFmt numFmtId="238" formatCode="0.00\ &quot;)]&quot;"/>
    <numFmt numFmtId="239" formatCode="#\!\,##0;&quot;₩&quot;\!\-#\!\,##0\!.00"/>
    <numFmt numFmtId="240" formatCode="#,##0;\-#,##0.00"/>
    <numFmt numFmtId="241" formatCode="#,##0;&quot;-&quot;#,##0"/>
    <numFmt numFmtId="242" formatCode="000.000"/>
    <numFmt numFmtId="243" formatCode="&quot;*&quot;#,##0\ &quot;일 (월)&quot;\ \ "/>
    <numFmt numFmtId="244" formatCode="&quot;?#,##0.00;\-&quot;&quot;?&quot;#,##0.00"/>
    <numFmt numFmtId="245" formatCode="0.000\ &quot;²&quot;"/>
    <numFmt numFmtId="246" formatCode="&quot;(&quot;\ 0.00"/>
    <numFmt numFmtId="247" formatCode="&quot;[(&quot;\ 0.00"/>
    <numFmt numFmtId="248" formatCode="_ * #,##0_ ;_ * &quot;₩&quot;&quot;₩&quot;&quot;₩&quot;&quot;₩&quot;\-#,##0_ ;_ * &quot;-&quot;_ ;_ @_ "/>
    <numFmt numFmtId="249" formatCode="&quot;₩&quot;#,##0.00;&quot;₩&quot;\-#,##0.00"/>
    <numFmt numFmtId="250" formatCode="&quot;$&quot;#,##0.00_);\(&quot;$&quot;#,##0.00\)"/>
    <numFmt numFmtId="251" formatCode="%#.00"/>
    <numFmt numFmtId="252" formatCode="#,##0."/>
    <numFmt numFmtId="253" formatCode="\$#.00"/>
    <numFmt numFmtId="254" formatCode="\$#."/>
    <numFmt numFmtId="255" formatCode="#,##0.0000;[Red]\-#,##0.0000"/>
    <numFmt numFmtId="256" formatCode="_*\ ??_-"/>
    <numFmt numFmtId="257" formatCode="#,##0\ &quot;DM&quot;;[Red]\-#,##0\ &quot;DM&quot;"/>
    <numFmt numFmtId="258" formatCode="#,##0.00\ &quot;DM&quot;;[Red]\-#,##0.00\ &quot;DM&quot;"/>
    <numFmt numFmtId="259" formatCode="&quot;₩&quot;#,##0;&quot;₩&quot;&quot;₩&quot;&quot;₩&quot;&quot;₩&quot;&quot;₩&quot;&quot;₩&quot;&quot;₩&quot;&quot;₩&quot;&quot;₩&quot;&quot;₩&quot;\-&quot;₩&quot;#,##0"/>
    <numFmt numFmtId="260" formatCode="_-* #,##0.0000_-;\-* #,##0.0000_-;_-* &quot;-&quot;??_-;_-@_-"/>
    <numFmt numFmtId="261" formatCode="&quot;(&quot;\ #,##0&quot;)&quot;"/>
    <numFmt numFmtId="262" formatCode="\ &quot;~~ &quot;@"/>
    <numFmt numFmtId="263" formatCode="&quot;$&quot;#,##0.00_);[Red]\(&quot;$&quot;#,##0.00\)"/>
    <numFmt numFmtId="264" formatCode="&quot;제&quot;0&quot;호표&quot;"/>
    <numFmt numFmtId="265" formatCode="_-* #,##0.0;\-* #,##0.0;_-* &quot;-&quot;.0;_-@"/>
    <numFmt numFmtId="266" formatCode="0.0000%"/>
    <numFmt numFmtId="267" formatCode="#,##0&quot; 원&quot;"/>
    <numFmt numFmtId="268" formatCode="&quot;직&quot;&quot;원&quot;\ ##\ &quot;인&quot;"/>
    <numFmt numFmtId="269" formatCode="&quot;₩&quot;#,##0.00;[Red]&quot;₩&quot;\-#,##0.00"/>
    <numFmt numFmtId="270" formatCode="&quot;₩&quot;#,##0;[Red]&quot;₩&quot;\-#,##0"/>
    <numFmt numFmtId="271" formatCode="0.0%"/>
    <numFmt numFmtId="272" formatCode="#,##0;\(\-#,##0\)"/>
    <numFmt numFmtId="273" formatCode="_-* #,##0.00_-;&quot;₩&quot;&quot;₩&quot;&quot;₩&quot;&quot;₩&quot;&quot;₩&quot;&quot;₩&quot;&quot;₩&quot;&quot;₩&quot;&quot;₩&quot;&quot;₩&quot;\-* #,##0.00_-;_-* &quot;-&quot;??_-;_-@_-"/>
    <numFmt numFmtId="274" formatCode="_-* #,##0_-;&quot;₩&quot;&quot;₩&quot;&quot;₩&quot;&quot;₩&quot;&quot;₩&quot;&quot;₩&quot;\-* #,##0_-;_-* &quot;-&quot;_-;_-@_-"/>
    <numFmt numFmtId="275" formatCode="yyyy&quot;/&quot;m&quot;/&quot;d"/>
    <numFmt numFmtId="276" formatCode="_ &quot;₩&quot;* #,##0.00_ ;_ &quot;₩&quot;* &quot;₩&quot;&quot;₩&quot;&quot;₩&quot;&quot;₩&quot;&quot;₩&quot;&quot;₩&quot;&quot;₩&quot;&quot;₩&quot;&quot;₩&quot;&quot;₩&quot;&quot;₩&quot;\-#,##0.00_ ;_ &quot;₩&quot;* &quot;-&quot;??_ ;_ @_ "/>
    <numFmt numFmtId="277" formatCode="0.0_);[Red]\(0.0\)"/>
    <numFmt numFmtId="278" formatCode="yy&quot;₩&quot;&quot;₩&quot;&quot;₩&quot;&quot;₩&quot;&quot;₩&quot;&quot;₩&quot;&quot;₩&quot;&quot;₩&quot;&quot;₩&quot;&quot;₩&quot;\-m&quot;₩&quot;&quot;₩&quot;&quot;₩&quot;&quot;₩&quot;&quot;₩&quot;&quot;₩&quot;&quot;₩&quot;&quot;₩&quot;&quot;₩&quot;&quot;₩&quot;\-d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&quot;₩&quot;\ h:mm"/>
    <numFmt numFmtId="279" formatCode="0;[Red]0"/>
    <numFmt numFmtId="280" formatCode="_ * #,##0_ ;_ * &quot;₩&quot;&quot;₩&quot;&quot;₩&quot;&quot;₩&quot;&quot;₩&quot;&quot;₩&quot;&quot;₩&quot;&quot;₩&quot;&quot;₩&quot;&quot;₩&quot;&quot;₩&quot;\-#,##0_ ;_ * &quot;-&quot;_ ;_ @_ "/>
    <numFmt numFmtId="281" formatCode="_-* #,##0_-;&quot;₩&quot;&quot;₩&quot;&quot;₩&quot;&quot;₩&quot;&quot;₩&quot;&quot;₩&quot;&quot;₩&quot;&quot;₩&quot;\-* #,##0_-;_-* &quot;-&quot;_-;_-@_-"/>
    <numFmt numFmtId="282" formatCode="&quot;₩&quot;\!\$#,##0_);[Red]&quot;₩&quot;\!\(&quot;₩&quot;\!\$#,##0&quot;₩&quot;\!\)"/>
    <numFmt numFmtId="283" formatCode="_-* #,##0.00_-;&quot;₩&quot;&quot;₩&quot;&quot;₩&quot;&quot;₩&quot;&quot;₩&quot;&quot;₩&quot;&quot;₩&quot;&quot;₩&quot;&quot;₩&quot;\-* #,##0.00_-;_-* &quot;-&quot;??_-;_-@_-"/>
    <numFmt numFmtId="284" formatCode="_ * #,##0.00_ ;_ * \-#,##0.00_ ;_ * &quot;-&quot;_ ;_ @_ "/>
    <numFmt numFmtId="285" formatCode="&quot;₩&quot;#,##0.00;&quot;₩&quot;&quot;₩&quot;&quot;₩&quot;&quot;₩&quot;\-&quot;₩&quot;#,##0.00"/>
    <numFmt numFmtId="286" formatCode="_-* #,##0.00_-;&quot;₩&quot;&quot;₩&quot;&quot;₩&quot;\-* #,##0.00_-;_-* &quot;-&quot;??_-;_-@_-"/>
    <numFmt numFmtId="287" formatCode="_-&quot;$&quot;* #,##0_-;\-&quot;$&quot;* #,##0_-;_-&quot;$&quot;* &quot;-&quot;_-;_-@_-"/>
    <numFmt numFmtId="288" formatCode="&quot;순&quot;&quot;공&quot;&quot;사&quot;&quot;비&quot;&quot;의&quot;\ #.##\ %"/>
    <numFmt numFmtId="289" formatCode="General_)"/>
    <numFmt numFmtId="290" formatCode="#,##0.0_);\(#,##0.0\)"/>
    <numFmt numFmtId="291" formatCode="_(* #,##0.0000_);_(* \(#,##0.0000\);_(* &quot;-&quot;??_);_(@_)"/>
    <numFmt numFmtId="292" formatCode="0.00000&quot;  &quot;"/>
    <numFmt numFmtId="293" formatCode="_-* #,##0.00\ &quot;$&quot;_-;\-* #,##0.00\ &quot;$&quot;_-;_-* &quot;-&quot;??\ &quot;$&quot;_-;_-@_-"/>
    <numFmt numFmtId="294" formatCode="0.0%;\(0.0%\)"/>
    <numFmt numFmtId="295" formatCode="&quot;$&quot;#,##0;[Red]\-&quot;$&quot;#,##0"/>
    <numFmt numFmtId="296" formatCode="_ * #,##0_ ;_ * &quot;₩&quot;&quot;₩&quot;&quot;₩&quot;&quot;₩&quot;&quot;₩&quot;\-#,##0_ ;_ * &quot;-&quot;_ ;_ @_ "/>
    <numFmt numFmtId="297" formatCode="mmm\.yy"/>
    <numFmt numFmtId="298" formatCode="0.00&quot;  &quot;"/>
    <numFmt numFmtId="299" formatCode="_(&quot;RM&quot;* #,##0.00_);_(&quot;RM&quot;* \(#,##0.00\);_(&quot;RM&quot;* &quot;-&quot;??_);_(@_)"/>
    <numFmt numFmtId="300" formatCode="&quot;₩&quot;\!\(#,##0.000&quot;₩&quot;\!\)"/>
    <numFmt numFmtId="301" formatCode="\(#,##0.000\)"/>
    <numFmt numFmtId="302" formatCode="#,##0.000000"/>
    <numFmt numFmtId="303" formatCode="0.0000000"/>
    <numFmt numFmtId="304" formatCode="#,##0_);[Red]&quot;₩&quot;\!\-#,##0"/>
    <numFmt numFmtId="305" formatCode="_ &quot;₩&quot;* #,##0_ ;_ &quot;₩&quot;* \-#,##0_ ;_ &quot;₩&quot;* &quot;-&quot;_ ;_ @_ "/>
    <numFmt numFmtId="306" formatCode="#,##0.00;&quot;-&quot;#,##0.00"/>
    <numFmt numFmtId="307" formatCode="&quot;$&quot;#,##0.00_);[Red]&quot;₩&quot;&quot;₩&quot;&quot;₩&quot;&quot;₩&quot;&quot;₩&quot;\(&quot;$&quot;#,##0.00&quot;₩&quot;&quot;₩&quot;&quot;₩&quot;&quot;₩&quot;&quot;₩&quot;\)"/>
    <numFmt numFmtId="308" formatCode="&quot;₩&quot;#,##0;&quot;₩&quot;\-#,##0\ "/>
    <numFmt numFmtId="309" formatCode="&quot;₩&quot;#,##0;[Red]&quot;₩&quot;&quot;₩&quot;&quot;₩&quot;&quot;₩&quot;&quot;₩&quot;\-#,##0"/>
    <numFmt numFmtId="310" formatCode="#,##0,&quot;₩&quot;\!\+000"/>
    <numFmt numFmtId="311" formatCode="&quot;₩&quot;#,##0.00;[Red]&quot;₩&quot;&quot;₩&quot;&quot;₩&quot;&quot;₩&quot;&quot;₩&quot;\-#,##0.00"/>
    <numFmt numFmtId="312" formatCode="&quot;₩&quot;#,##0.00;[Red]&quot;₩&quot;&quot;₩&quot;&quot;₩&quot;&quot;₩&quot;&quot;₩&quot;&quot;₩&quot;&quot;₩&quot;\-&quot;₩&quot;#,##0.00"/>
    <numFmt numFmtId="313" formatCode="0.0000"/>
    <numFmt numFmtId="314" formatCode="#,##0_);\(#,##0\)"/>
  </numFmts>
  <fonts count="23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굴림"/>
      <family val="3"/>
      <charset val="129"/>
    </font>
    <font>
      <sz val="11"/>
      <name val="굴림체"/>
      <family val="3"/>
      <charset val="129"/>
    </font>
    <font>
      <sz val="12"/>
      <name val="굴림체"/>
      <family val="3"/>
      <charset val="129"/>
    </font>
    <font>
      <sz val="9"/>
      <name val="굴림체"/>
      <family val="3"/>
      <charset val="129"/>
    </font>
    <font>
      <sz val="12"/>
      <name val="바탕체"/>
      <family val="1"/>
      <charset val="129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12"/>
      <name val="¹UAAA¼"/>
      <family val="1"/>
      <charset val="129"/>
    </font>
    <font>
      <sz val="10"/>
      <name val="Arial"/>
      <family val="2"/>
    </font>
    <font>
      <sz val="11"/>
      <name val="바탕체"/>
      <family val="1"/>
      <charset val="129"/>
    </font>
    <font>
      <b/>
      <sz val="10"/>
      <name val="Helv"/>
      <family val="2"/>
    </font>
    <font>
      <i/>
      <sz val="12"/>
      <name val="굴림체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b/>
      <sz val="12"/>
      <name val="바탕체"/>
      <family val="1"/>
      <charset val="129"/>
    </font>
    <font>
      <sz val="8"/>
      <name val="바탕체"/>
      <family val="1"/>
      <charset val="129"/>
    </font>
    <font>
      <sz val="10"/>
      <name val="MS Sans Serif"/>
      <family val="2"/>
    </font>
    <font>
      <sz val="10"/>
      <name val="바탕체"/>
      <family val="1"/>
      <charset val="129"/>
    </font>
    <font>
      <sz val="10"/>
      <name val="명조"/>
      <family val="3"/>
      <charset val="129"/>
    </font>
    <font>
      <sz val="12"/>
      <name val="견고딕"/>
      <family val="1"/>
      <charset val="129"/>
    </font>
    <font>
      <sz val="12"/>
      <name val="명조"/>
      <family val="3"/>
      <charset val="129"/>
    </font>
    <font>
      <sz val="12"/>
      <name val="¹ÙÅÁÃ¼"/>
      <family val="1"/>
      <charset val="129"/>
    </font>
    <font>
      <sz val="12"/>
      <name val="μ¸¿oA¼"/>
      <family val="3"/>
      <charset val="129"/>
    </font>
    <font>
      <sz val="10"/>
      <color indexed="24"/>
      <name val="Arial"/>
      <family val="2"/>
    </font>
    <font>
      <sz val="10"/>
      <name val="Times New Roman"/>
      <family val="1"/>
    </font>
    <font>
      <sz val="12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7"/>
      <name val="Small Fonts"/>
      <family val="2"/>
    </font>
    <font>
      <b/>
      <sz val="8"/>
      <name val="Times New Roman"/>
      <family val="1"/>
    </font>
    <font>
      <sz val="9"/>
      <name val="바탕체"/>
      <family val="1"/>
      <charset val="129"/>
    </font>
    <font>
      <b/>
      <u/>
      <sz val="13"/>
      <name val="굴림체"/>
      <family val="3"/>
      <charset val="129"/>
    </font>
    <font>
      <sz val="11"/>
      <name val="HY울릉도L"/>
      <family val="1"/>
      <charset val="129"/>
    </font>
    <font>
      <sz val="14"/>
      <name val="굴림체"/>
      <family val="3"/>
      <charset val="129"/>
    </font>
    <font>
      <sz val="14"/>
      <name val="돋움"/>
      <family val="3"/>
      <charset val="129"/>
    </font>
    <font>
      <sz val="16"/>
      <name val="굴림체"/>
      <family val="3"/>
      <charset val="129"/>
    </font>
    <font>
      <sz val="11"/>
      <name val="HY견고딕"/>
      <family val="1"/>
      <charset val="129"/>
    </font>
    <font>
      <sz val="13"/>
      <name val="HY견고딕"/>
      <family val="1"/>
      <charset val="129"/>
    </font>
    <font>
      <b/>
      <sz val="12"/>
      <name val="HY견고딕"/>
      <family val="1"/>
      <charset val="129"/>
    </font>
    <font>
      <sz val="12"/>
      <name val="HY견고딕"/>
      <family val="1"/>
      <charset val="129"/>
    </font>
    <font>
      <b/>
      <sz val="20"/>
      <name val="HY견고딕"/>
      <family val="1"/>
      <charset val="129"/>
    </font>
    <font>
      <sz val="14"/>
      <name val="HY견고딕"/>
      <family val="1"/>
      <charset val="129"/>
    </font>
    <font>
      <b/>
      <sz val="14"/>
      <name val="HY견고딕"/>
      <family val="1"/>
      <charset val="129"/>
    </font>
    <font>
      <b/>
      <sz val="13"/>
      <name val="돋움"/>
      <family val="3"/>
      <charset val="129"/>
    </font>
    <font>
      <sz val="10"/>
      <name val="굴림체"/>
      <family val="3"/>
      <charset val="129"/>
    </font>
    <font>
      <b/>
      <sz val="22"/>
      <name val="바탕체"/>
      <family val="1"/>
      <charset val="129"/>
    </font>
    <font>
      <sz val="12"/>
      <name val="¹????¼"/>
      <family val="1"/>
      <charset val="129"/>
    </font>
    <font>
      <sz val="12"/>
      <name val="System"/>
      <family val="2"/>
      <charset val="129"/>
    </font>
    <font>
      <sz val="10"/>
      <name val="Helv"/>
      <family val="2"/>
    </font>
    <font>
      <sz val="10"/>
      <name val="Arial Narrow"/>
      <family val="2"/>
    </font>
    <font>
      <sz val="1"/>
      <color indexed="8"/>
      <name val="Courier"/>
      <family val="3"/>
    </font>
    <font>
      <sz val="12"/>
      <name val="Times New Roman"/>
      <family val="1"/>
    </font>
    <font>
      <b/>
      <sz val="12"/>
      <color indexed="16"/>
      <name val="±¼¸²A¼"/>
      <family val="1"/>
      <charset val="129"/>
    </font>
    <font>
      <sz val="10"/>
      <color indexed="12"/>
      <name val="굴림체"/>
      <family val="3"/>
      <charset val="129"/>
    </font>
    <font>
      <sz val="12"/>
      <name val="견명조"/>
      <family val="1"/>
      <charset val="129"/>
    </font>
    <font>
      <sz val="7"/>
      <name val="바탕체"/>
      <family val="1"/>
      <charset val="129"/>
    </font>
    <font>
      <sz val="1"/>
      <color indexed="18"/>
      <name val="Courier"/>
      <family val="3"/>
    </font>
    <font>
      <sz val="12"/>
      <name val="¹ÙÅÁÃ¼"/>
      <family val="1"/>
    </font>
    <font>
      <sz val="1"/>
      <color indexed="18"/>
      <name val="Courier"/>
      <family val="3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2"/>
      <name val="Arial"/>
      <family val="2"/>
    </font>
    <font>
      <sz val="11"/>
      <color indexed="10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sz val="10"/>
      <name val="태-물방울B"/>
      <family val="1"/>
      <charset val="129"/>
    </font>
    <font>
      <sz val="9"/>
      <color indexed="8"/>
      <name val="굴림체"/>
      <family val="3"/>
      <charset val="129"/>
    </font>
    <font>
      <sz val="11"/>
      <color indexed="20"/>
      <name val="맑은 고딕"/>
      <family val="3"/>
      <charset val="129"/>
    </font>
    <font>
      <i/>
      <sz val="10"/>
      <name val="바탕체"/>
      <family val="1"/>
      <charset val="129"/>
    </font>
    <font>
      <u/>
      <sz val="11"/>
      <color indexed="20"/>
      <name val="돋움"/>
      <family val="3"/>
      <charset val="129"/>
    </font>
    <font>
      <b/>
      <u/>
      <sz val="16"/>
      <name val="굴림"/>
      <family val="3"/>
      <charset val="129"/>
    </font>
    <font>
      <sz val="11"/>
      <color indexed="19"/>
      <name val="맑은 고딕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2"/>
      <name val="궁서체"/>
      <family val="1"/>
      <charset val="129"/>
    </font>
    <font>
      <sz val="18"/>
      <name val="궁서체"/>
      <family val="1"/>
      <charset val="129"/>
    </font>
    <font>
      <sz val="8"/>
      <name val="돋움체"/>
      <family val="3"/>
      <charset val="129"/>
    </font>
    <font>
      <sz val="8"/>
      <name val="#중고딕"/>
      <family val="3"/>
      <charset val="129"/>
    </font>
    <font>
      <b/>
      <sz val="11"/>
      <color indexed="8"/>
      <name val="맑은 고딕"/>
      <family val="3"/>
      <charset val="129"/>
    </font>
    <font>
      <sz val="9"/>
      <name val="돋움"/>
      <family val="3"/>
      <charset val="129"/>
    </font>
    <font>
      <sz val="10"/>
      <name val="궁서(English)"/>
      <family val="3"/>
      <charset val="129"/>
    </font>
    <font>
      <sz val="11"/>
      <color indexed="62"/>
      <name val="맑은 고딕"/>
      <family val="3"/>
      <charset val="129"/>
    </font>
    <font>
      <sz val="12"/>
      <color indexed="24"/>
      <name val="바탕체"/>
      <family val="1"/>
      <charset val="129"/>
    </font>
    <font>
      <sz val="9"/>
      <name val="Arial"/>
      <family val="2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u/>
      <sz val="9"/>
      <color indexed="36"/>
      <name val="Helv"/>
      <family val="2"/>
    </font>
    <font>
      <sz val="12"/>
      <name val="ⓒoUAAA¨u"/>
      <family val="1"/>
      <charset val="129"/>
    </font>
    <font>
      <sz val="12"/>
      <name val="©öUAAA¨ù"/>
      <family val="1"/>
      <charset val="129"/>
    </font>
    <font>
      <sz val="11"/>
      <name val="￥i￠￢￠?o"/>
      <family val="3"/>
      <charset val="129"/>
    </font>
    <font>
      <sz val="11"/>
      <name val="¡¾¨u￠￢ⓒ÷A¨u"/>
      <family val="3"/>
      <charset val="129"/>
    </font>
    <font>
      <sz val="12"/>
      <name val="¡¾¨ù¢¬©÷A¨ù"/>
      <family val="3"/>
      <charset val="129"/>
    </font>
    <font>
      <sz val="12"/>
      <name val="¡§IoUAAA￠R¡×u"/>
      <family val="3"/>
      <charset val="129"/>
    </font>
    <font>
      <sz val="11"/>
      <name val="±¼¸²Ã¼"/>
      <family val="3"/>
      <charset val="129"/>
    </font>
    <font>
      <sz val="11"/>
      <name val="µ¸¿ò"/>
      <family val="3"/>
      <charset val="129"/>
    </font>
    <font>
      <sz val="8"/>
      <name val="©öUAAA¨ù"/>
      <family val="1"/>
      <charset val="129"/>
    </font>
    <font>
      <sz val="12"/>
      <name val="¥ì¢¬¢¯oA¨ù"/>
      <family val="3"/>
      <charset val="129"/>
    </font>
    <font>
      <sz val="10"/>
      <name val="¡¾¨ù¢¬©÷A¨ù"/>
      <family val="3"/>
      <charset val="129"/>
    </font>
    <font>
      <sz val="10"/>
      <name val="©öUAAA¨ù"/>
      <family val="1"/>
      <charset val="129"/>
    </font>
    <font>
      <sz val="11"/>
      <name val="¹UAAA¼"/>
      <family val="1"/>
    </font>
    <font>
      <sz val="11"/>
      <name val="¹ÙÅÁÃ¼"/>
      <family val="1"/>
    </font>
    <font>
      <sz val="12"/>
      <name val="±¼¸²Ã¼"/>
      <family val="1"/>
    </font>
    <font>
      <sz val="12"/>
      <name val="¹UAAA¼"/>
      <family val="1"/>
    </font>
    <font>
      <u/>
      <sz val="10"/>
      <color indexed="12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b/>
      <i/>
      <sz val="11"/>
      <name val="Times New Roman"/>
      <family val="1"/>
    </font>
    <font>
      <b/>
      <sz val="10"/>
      <name val="Arial"/>
      <family val="2"/>
    </font>
    <font>
      <b/>
      <i/>
      <sz val="10"/>
      <name val="Times New Roman"/>
      <family val="1"/>
    </font>
    <font>
      <sz val="10"/>
      <name val="Univers (WN)"/>
      <family val="2"/>
    </font>
    <font>
      <sz val="10"/>
      <color indexed="12"/>
      <name val="Arial"/>
      <family val="2"/>
    </font>
    <font>
      <u/>
      <sz val="8"/>
      <color indexed="12"/>
      <name val="Times New Roman"/>
      <family val="1"/>
    </font>
    <font>
      <sz val="12"/>
      <name val="Helv"/>
      <family val="2"/>
    </font>
    <font>
      <b/>
      <sz val="12"/>
      <name val="Book Antiqua"/>
      <family val="1"/>
    </font>
    <font>
      <sz val="8"/>
      <name val="Helv"/>
      <family val="2"/>
    </font>
    <font>
      <i/>
      <sz val="10"/>
      <color indexed="8"/>
      <name val="궁서체"/>
      <family val="1"/>
      <charset val="129"/>
    </font>
    <font>
      <b/>
      <i/>
      <sz val="14"/>
      <name val="Arial"/>
      <family val="2"/>
    </font>
    <font>
      <b/>
      <sz val="8"/>
      <color indexed="8"/>
      <name val="Helv"/>
      <family val="2"/>
    </font>
    <font>
      <b/>
      <sz val="14"/>
      <name val="Arial"/>
      <family val="2"/>
    </font>
    <font>
      <sz val="8"/>
      <color indexed="12"/>
      <name val="Arial"/>
      <family val="2"/>
    </font>
    <font>
      <u/>
      <sz val="10"/>
      <color indexed="36"/>
      <name val="Arial"/>
      <family val="2"/>
    </font>
    <font>
      <u/>
      <sz val="9"/>
      <color indexed="12"/>
      <name val="Helv"/>
      <family val="2"/>
    </font>
    <font>
      <sz val="12"/>
      <name val="±¼¸²A¼"/>
      <family val="1"/>
      <charset val="129"/>
    </font>
    <font>
      <sz val="1"/>
      <color indexed="8"/>
      <name val="Courier"/>
      <family val="3"/>
    </font>
    <font>
      <sz val="10"/>
      <name val="굴림"/>
      <family val="3"/>
      <charset val="129"/>
    </font>
    <font>
      <sz val="10"/>
      <color indexed="10"/>
      <name val="바탕체"/>
      <family val="1"/>
      <charset val="129"/>
    </font>
    <font>
      <b/>
      <sz val="12"/>
      <name val="???"/>
      <family val="1"/>
    </font>
    <font>
      <sz val="12"/>
      <name val="COUR"/>
      <family val="3"/>
    </font>
    <font>
      <sz val="11"/>
      <name val=" "/>
      <family val="1"/>
    </font>
    <font>
      <sz val="11"/>
      <name val="μ¸¿o"/>
      <family val="3"/>
      <charset val="129"/>
    </font>
    <font>
      <u/>
      <sz val="8.5"/>
      <color indexed="36"/>
      <name val="바탕체"/>
      <family val="1"/>
      <charset val="129"/>
    </font>
    <font>
      <b/>
      <sz val="24"/>
      <name val="맑은 고딕"/>
      <family val="3"/>
      <charset val="129"/>
      <scheme val="major"/>
    </font>
    <font>
      <sz val="12"/>
      <name val="돋움체"/>
      <family val="3"/>
      <charset val="129"/>
    </font>
    <font>
      <i/>
      <sz val="12"/>
      <name val="바탕체"/>
      <family val="1"/>
      <charset val="129"/>
    </font>
    <font>
      <sz val="11"/>
      <color indexed="8"/>
      <name val="맑은 고딕"/>
      <family val="3"/>
    </font>
    <font>
      <sz val="11"/>
      <color indexed="9"/>
      <name val="맑은 고딕"/>
      <family val="3"/>
    </font>
    <font>
      <sz val="12"/>
      <name val="¨ÏoUAAA¡§u"/>
      <family val="1"/>
    </font>
    <font>
      <sz val="11"/>
      <color indexed="20"/>
      <name val="맑은 고딕"/>
      <family val="3"/>
    </font>
    <font>
      <sz val="24"/>
      <name val="Helv"/>
      <family val="2"/>
    </font>
    <font>
      <sz val="11"/>
      <name val="Times New Roman"/>
      <family val="1"/>
    </font>
    <font>
      <b/>
      <sz val="11"/>
      <color indexed="52"/>
      <name val="맑은 고딕"/>
      <family val="3"/>
    </font>
    <font>
      <b/>
      <sz val="11"/>
      <color indexed="9"/>
      <name val="맑은 고딕"/>
      <family val="3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1"/>
      <name val="??"/>
      <family val="3"/>
    </font>
    <font>
      <i/>
      <sz val="11"/>
      <color indexed="23"/>
      <name val="맑은 고딕"/>
      <family val="3"/>
    </font>
    <font>
      <sz val="11"/>
      <color indexed="17"/>
      <name val="맑은 고딕"/>
      <family val="3"/>
    </font>
    <font>
      <b/>
      <sz val="11"/>
      <color indexed="56"/>
      <name val="맑은 고딕"/>
      <family val="3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b/>
      <sz val="9"/>
      <name val="Arial"/>
      <family val="2"/>
    </font>
    <font>
      <sz val="11"/>
      <color indexed="60"/>
      <name val="맑은 고딕"/>
      <family val="3"/>
    </font>
    <font>
      <b/>
      <sz val="11"/>
      <color indexed="63"/>
      <name val="맑은 고딕"/>
      <family val="3"/>
    </font>
    <font>
      <sz val="11"/>
      <color indexed="10"/>
      <name val="맑은 고딕"/>
      <family val="3"/>
    </font>
    <font>
      <b/>
      <sz val="11"/>
      <color indexed="52"/>
      <name val="맑은 고딕"/>
      <family val="3"/>
      <charset val="129"/>
    </font>
    <font>
      <sz val="12"/>
      <name val="굴림"/>
      <family val="3"/>
      <charset val="129"/>
    </font>
    <font>
      <sz val="14"/>
      <name val="뼥?ⓒ"/>
      <family val="3"/>
      <charset val="129"/>
    </font>
    <font>
      <sz val="11"/>
      <color indexed="60"/>
      <name val="맑은 고딕"/>
      <family val="3"/>
      <charset val="129"/>
    </font>
    <font>
      <sz val="14"/>
      <name val="뼻뮝"/>
      <family val="3"/>
      <charset val="129"/>
    </font>
    <font>
      <b/>
      <sz val="18"/>
      <name val="돋움체"/>
      <family val="3"/>
      <charset val="129"/>
    </font>
    <font>
      <sz val="12"/>
      <name val="돋움"/>
      <family val="3"/>
      <charset val="129"/>
    </font>
    <font>
      <sz val="11"/>
      <color indexed="5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name val="굴림체"/>
      <family val="3"/>
      <charset val="129"/>
    </font>
    <font>
      <sz val="12"/>
      <name val="Courier"/>
      <family val="3"/>
    </font>
    <font>
      <sz val="10"/>
      <name val="돋움"/>
      <family val="3"/>
      <charset val="129"/>
    </font>
    <font>
      <sz val="1"/>
      <color indexed="16"/>
      <name val="Courier"/>
      <family val="3"/>
    </font>
    <font>
      <sz val="10"/>
      <name val="±¼¸²Ã¼"/>
      <family val="3"/>
      <charset val="129"/>
    </font>
    <font>
      <sz val="10"/>
      <name val="¹UAAA¼"/>
      <family val="1"/>
      <charset val="129"/>
    </font>
    <font>
      <sz val="10"/>
      <name val="¹ÙÅÁÃ¼"/>
      <family val="1"/>
      <charset val="129"/>
    </font>
    <font>
      <u/>
      <sz val="12"/>
      <color indexed="36"/>
      <name val="바탕체"/>
      <family val="1"/>
      <charset val="129"/>
    </font>
    <font>
      <u/>
      <sz val="12"/>
      <color indexed="12"/>
      <name val="바탕체"/>
      <family val="1"/>
      <charset val="129"/>
    </font>
    <font>
      <sz val="1"/>
      <color indexed="0"/>
      <name val="Courier"/>
      <family val="3"/>
    </font>
    <font>
      <sz val="11"/>
      <color theme="1"/>
      <name val="맑은 고딕"/>
      <family val="3"/>
      <charset val="129"/>
      <scheme val="minor"/>
    </font>
    <font>
      <sz val="6"/>
      <name val="굴림"/>
      <family val="3"/>
      <charset val="129"/>
    </font>
    <font>
      <sz val="12"/>
      <name val="¹UAAA¼"/>
      <family val="3"/>
      <charset val="129"/>
    </font>
    <font>
      <sz val="11"/>
      <name val="돋움체"/>
      <family val="3"/>
      <charset val="129"/>
    </font>
    <font>
      <sz val="10"/>
      <name val="한양중고딕"/>
      <family val="1"/>
      <charset val="129"/>
    </font>
    <font>
      <sz val="11"/>
      <name val="μ¸¿oA¼"/>
      <family val="3"/>
      <charset val="129"/>
    </font>
    <font>
      <sz val="12"/>
      <name val="Courier New"/>
      <family val="3"/>
    </font>
    <font>
      <sz val="24"/>
      <name val="Courier New"/>
      <family val="3"/>
    </font>
    <font>
      <b/>
      <sz val="12"/>
      <name val="AppleGothic"/>
      <family val="1"/>
    </font>
    <font>
      <sz val="10"/>
      <name val="PragmaticaCTT"/>
      <family val="1"/>
    </font>
    <font>
      <b/>
      <sz val="12"/>
      <name val="굴림"/>
      <family val="3"/>
      <charset val="129"/>
    </font>
    <font>
      <b/>
      <sz val="12"/>
      <name val="굴림체"/>
      <family val="3"/>
      <charset val="129"/>
    </font>
    <font>
      <b/>
      <sz val="12"/>
      <color indexed="16"/>
      <name val="굴림체"/>
      <family val="3"/>
      <charset val="129"/>
    </font>
    <font>
      <u/>
      <sz val="11"/>
      <color indexed="36"/>
      <name val="돋움"/>
      <family val="3"/>
      <charset val="129"/>
    </font>
    <font>
      <sz val="10"/>
      <color indexed="10"/>
      <name val="돋움체"/>
      <family val="3"/>
      <charset val="129"/>
    </font>
    <font>
      <sz val="12"/>
      <color indexed="8"/>
      <name val="돋움체"/>
      <family val="3"/>
      <charset val="129"/>
    </font>
    <font>
      <b/>
      <sz val="12"/>
      <color indexed="8"/>
      <name val="돋움체"/>
      <family val="3"/>
      <charset val="129"/>
    </font>
    <font>
      <b/>
      <sz val="24"/>
      <color theme="1"/>
      <name val="맑은 고딕"/>
      <family val="3"/>
      <charset val="129"/>
      <scheme val="minor"/>
    </font>
    <font>
      <b/>
      <sz val="24"/>
      <name val="굴림체"/>
      <family val="3"/>
      <charset val="129"/>
    </font>
    <font>
      <sz val="11"/>
      <color indexed="10"/>
      <name val="굴림체"/>
      <family val="3"/>
      <charset val="129"/>
    </font>
    <font>
      <sz val="8"/>
      <name val="굴림체"/>
      <family val="3"/>
      <charset val="129"/>
    </font>
    <font>
      <sz val="7"/>
      <name val="Arial"/>
      <family val="2"/>
    </font>
    <font>
      <b/>
      <sz val="25"/>
      <name val="맑은 고딕"/>
      <family val="3"/>
      <charset val="129"/>
      <scheme val="major"/>
    </font>
    <font>
      <b/>
      <sz val="11"/>
      <name val="굴림체"/>
      <family val="3"/>
      <charset val="129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5"/>
      <name val="굴림"/>
      <family val="3"/>
      <charset val="129"/>
    </font>
    <font>
      <b/>
      <sz val="15"/>
      <name val="굴림"/>
      <family val="3"/>
      <charset val="129"/>
    </font>
    <font>
      <sz val="12"/>
      <color indexed="8"/>
      <name val="굴림"/>
      <family val="3"/>
      <charset val="129"/>
    </font>
    <font>
      <b/>
      <sz val="25"/>
      <color theme="1"/>
      <name val="맑은 고딕"/>
      <family val="3"/>
      <charset val="129"/>
      <scheme val="minor"/>
    </font>
    <font>
      <b/>
      <sz val="12"/>
      <name val=" 굴림"/>
      <family val="3"/>
      <charset val="129"/>
    </font>
    <font>
      <sz val="12"/>
      <name val=" 굴림"/>
      <family val="3"/>
      <charset val="129"/>
    </font>
    <font>
      <b/>
      <sz val="15"/>
      <color indexed="8"/>
      <name val="굴림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2"/>
      <name val="돋움"/>
      <family val="3"/>
      <charset val="129"/>
    </font>
  </fonts>
  <fills count="3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37"/>
        <bgColor indexed="64"/>
      </patternFill>
    </fill>
    <fill>
      <patternFill patternType="gray0625">
        <fgColor indexed="21"/>
      </patternFill>
    </fill>
    <fill>
      <patternFill patternType="solid">
        <fgColor theme="5" tint="0.79998168889431442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thick">
        <color indexed="51"/>
      </left>
      <right/>
      <top style="thick">
        <color indexed="51"/>
      </top>
      <bottom style="thick">
        <color indexed="51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</borders>
  <cellStyleXfs count="7360">
    <xf numFmtId="0" fontId="0" fillId="0" borderId="0"/>
    <xf numFmtId="216" fontId="13" fillId="0" borderId="0">
      <protection locked="0"/>
    </xf>
    <xf numFmtId="0" fontId="10" fillId="0" borderId="0">
      <protection locked="0"/>
    </xf>
    <xf numFmtId="0" fontId="26" fillId="0" borderId="0"/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25" fillId="0" borderId="1">
      <alignment horizontal="center"/>
    </xf>
    <xf numFmtId="0" fontId="54" fillId="0" borderId="0">
      <alignment vertical="center"/>
    </xf>
    <xf numFmtId="0" fontId="26" fillId="0" borderId="2">
      <alignment horizontal="centerContinuous" vertical="center"/>
    </xf>
    <xf numFmtId="217" fontId="11" fillId="0" borderId="0" applyFont="0" applyFill="0" applyBorder="0" applyAlignment="0" applyProtection="0">
      <alignment horizontal="center" vertical="center"/>
    </xf>
    <xf numFmtId="3" fontId="10" fillId="0" borderId="0">
      <alignment vertical="center"/>
    </xf>
    <xf numFmtId="218" fontId="10" fillId="0" borderId="0">
      <alignment vertical="center"/>
    </xf>
    <xf numFmtId="4" fontId="10" fillId="0" borderId="0">
      <alignment vertical="center"/>
    </xf>
    <xf numFmtId="219" fontId="10" fillId="0" borderId="0">
      <alignment vertical="center"/>
    </xf>
    <xf numFmtId="0" fontId="140" fillId="0" borderId="2">
      <alignment horizontal="centerContinuous" vertical="center"/>
    </xf>
    <xf numFmtId="0" fontId="6" fillId="0" borderId="2">
      <alignment horizontal="centerContinuous" vertical="center"/>
    </xf>
    <xf numFmtId="0" fontId="2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220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21" fontId="4" fillId="0" borderId="0" applyNumberFormat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22" fontId="4" fillId="0" borderId="0" applyNumberFormat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21" fontId="4" fillId="0" borderId="0" applyNumberFormat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22" fontId="4" fillId="0" borderId="0" applyNumberFormat="0" applyFont="0" applyFill="0" applyBorder="0" applyAlignment="0" applyProtection="0"/>
    <xf numFmtId="24" fontId="25" fillId="0" borderId="0" applyFont="0" applyFill="0" applyBorder="0" applyAlignment="0" applyProtection="0"/>
    <xf numFmtId="223" fontId="11" fillId="0" borderId="0" applyFont="0" applyFill="0" applyBorder="0" applyAlignment="0" applyProtection="0">
      <alignment vertical="center"/>
    </xf>
    <xf numFmtId="224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8" fillId="0" borderId="0">
      <alignment vertical="center"/>
    </xf>
    <xf numFmtId="38" fontId="10" fillId="0" borderId="3">
      <alignment horizontal="right"/>
    </xf>
    <xf numFmtId="202" fontId="26" fillId="0" borderId="4">
      <alignment vertical="center"/>
    </xf>
    <xf numFmtId="0" fontId="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0" fillId="0" borderId="0"/>
    <xf numFmtId="0" fontId="10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14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42" fillId="2" borderId="0"/>
    <xf numFmtId="0" fontId="8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15" fillId="0" borderId="0"/>
    <xf numFmtId="40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0" fontId="7" fillId="0" borderId="5">
      <alignment vertical="center"/>
    </xf>
    <xf numFmtId="0" fontId="7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4" fillId="0" borderId="5">
      <alignment vertical="center"/>
    </xf>
    <xf numFmtId="0" fontId="15" fillId="0" borderId="0"/>
    <xf numFmtId="0" fontId="57" fillId="0" borderId="0"/>
    <xf numFmtId="9" fontId="58" fillId="0" borderId="0" applyFont="0" applyFill="0" applyBorder="0" applyAlignment="0" applyProtection="0"/>
    <xf numFmtId="0" fontId="5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15" fillId="0" borderId="0"/>
    <xf numFmtId="0" fontId="25" fillId="0" borderId="0"/>
    <xf numFmtId="0" fontId="15" fillId="0" borderId="0"/>
    <xf numFmtId="0" fontId="10" fillId="0" borderId="0"/>
    <xf numFmtId="0" fontId="15" fillId="0" borderId="0"/>
    <xf numFmtId="0" fontId="15" fillId="0" borderId="0"/>
    <xf numFmtId="0" fontId="10" fillId="0" borderId="0"/>
    <xf numFmtId="9" fontId="5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0" fillId="0" borderId="0"/>
    <xf numFmtId="0" fontId="57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15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15" fillId="0" borderId="0"/>
    <xf numFmtId="0" fontId="15" fillId="0" borderId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10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7" fillId="0" borderId="0"/>
    <xf numFmtId="0" fontId="15" fillId="0" borderId="0"/>
    <xf numFmtId="0" fontId="5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10" fillId="0" borderId="0"/>
    <xf numFmtId="0" fontId="15" fillId="0" borderId="0"/>
    <xf numFmtId="0" fontId="15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3" fillId="0" borderId="0" applyFont="0" applyFill="0" applyBorder="0" applyAlignment="0" applyProtection="0"/>
    <xf numFmtId="0" fontId="25" fillId="0" borderId="0"/>
    <xf numFmtId="0" fontId="15" fillId="0" borderId="0"/>
    <xf numFmtId="0" fontId="15" fillId="0" borderId="0"/>
    <xf numFmtId="0" fontId="4" fillId="0" borderId="0"/>
    <xf numFmtId="0" fontId="53" fillId="0" borderId="0" applyFont="0" applyFill="0" applyBorder="0" applyAlignment="0" applyProtection="0"/>
    <xf numFmtId="0" fontId="57" fillId="0" borderId="0"/>
    <xf numFmtId="0" fontId="4" fillId="0" borderId="0"/>
    <xf numFmtId="0" fontId="4" fillId="0" borderId="0"/>
    <xf numFmtId="0" fontId="4" fillId="0" borderId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25" fillId="0" borderId="0"/>
    <xf numFmtId="0" fontId="53" fillId="0" borderId="0" applyFont="0" applyFill="0" applyBorder="0" applyAlignment="0" applyProtection="0"/>
    <xf numFmtId="0" fontId="15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3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" fillId="0" borderId="0"/>
    <xf numFmtId="0" fontId="15" fillId="0" borderId="0"/>
    <xf numFmtId="0" fontId="15" fillId="0" borderId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25" fillId="0" borderId="0"/>
    <xf numFmtId="0" fontId="4" fillId="0" borderId="0"/>
    <xf numFmtId="0" fontId="15" fillId="0" borderId="0"/>
    <xf numFmtId="0" fontId="53" fillId="0" borderId="0" applyFont="0" applyFill="0" applyBorder="0" applyAlignment="0" applyProtection="0"/>
    <xf numFmtId="0" fontId="53" fillId="0" borderId="0"/>
    <xf numFmtId="0" fontId="53" fillId="0" borderId="0"/>
    <xf numFmtId="0" fontId="53" fillId="0" borderId="0" applyFont="0" applyFill="0" applyBorder="0" applyAlignment="0" applyProtection="0"/>
    <xf numFmtId="0" fontId="53" fillId="0" borderId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10" fillId="0" borderId="0"/>
    <xf numFmtId="0" fontId="4" fillId="0" borderId="0"/>
    <xf numFmtId="216" fontId="59" fillId="0" borderId="0">
      <protection locked="0"/>
    </xf>
    <xf numFmtId="216" fontId="13" fillId="0" borderId="0">
      <protection locked="0"/>
    </xf>
    <xf numFmtId="216" fontId="13" fillId="0" borderId="0">
      <protection locked="0"/>
    </xf>
    <xf numFmtId="216" fontId="13" fillId="0" borderId="0">
      <protection locked="0"/>
    </xf>
    <xf numFmtId="216" fontId="13" fillId="0" borderId="0">
      <protection locked="0"/>
    </xf>
    <xf numFmtId="216" fontId="13" fillId="0" borderId="0">
      <protection locked="0"/>
    </xf>
    <xf numFmtId="216" fontId="13" fillId="0" borderId="0">
      <protection locked="0"/>
    </xf>
    <xf numFmtId="216" fontId="13" fillId="0" borderId="0">
      <protection locked="0"/>
    </xf>
    <xf numFmtId="38" fontId="25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15" fillId="0" borderId="0"/>
    <xf numFmtId="0" fontId="57" fillId="0" borderId="0"/>
    <xf numFmtId="0" fontId="4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3" fillId="0" borderId="0" applyFont="0" applyFill="0" applyBorder="0" applyAlignment="0" applyProtection="0"/>
    <xf numFmtId="0" fontId="15" fillId="0" borderId="0"/>
    <xf numFmtId="9" fontId="58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3" fillId="0" borderId="0" applyFont="0" applyFill="0" applyBorder="0" applyAlignment="0" applyProtection="0"/>
    <xf numFmtId="0" fontId="10" fillId="0" borderId="0"/>
    <xf numFmtId="0" fontId="57" fillId="0" borderId="0"/>
    <xf numFmtId="0" fontId="15" fillId="0" borderId="0"/>
    <xf numFmtId="0" fontId="4" fillId="0" borderId="0"/>
    <xf numFmtId="0" fontId="57" fillId="0" borderId="0"/>
    <xf numFmtId="0" fontId="57" fillId="0" borderId="0"/>
    <xf numFmtId="0" fontId="57" fillId="0" borderId="0"/>
    <xf numFmtId="38" fontId="25" fillId="0" borderId="0" applyFont="0" applyFill="0" applyBorder="0" applyAlignment="0" applyProtection="0"/>
    <xf numFmtId="0" fontId="15" fillId="0" borderId="0"/>
    <xf numFmtId="0" fontId="4" fillId="0" borderId="0"/>
    <xf numFmtId="0" fontId="4" fillId="0" borderId="0"/>
    <xf numFmtId="0" fontId="5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58" fillId="0" borderId="0" applyFont="0" applyFill="0" applyBorder="0" applyAlignment="0" applyProtection="0"/>
    <xf numFmtId="0" fontId="10" fillId="0" borderId="0" applyFont="0" applyFill="0" applyBorder="0" applyAlignment="0" applyProtection="0"/>
    <xf numFmtId="41" fontId="58" fillId="0" borderId="0" applyFont="0" applyFill="0" applyBorder="0" applyAlignment="0" applyProtection="0"/>
    <xf numFmtId="0" fontId="10" fillId="0" borderId="0"/>
    <xf numFmtId="0" fontId="15" fillId="0" borderId="0"/>
    <xf numFmtId="0" fontId="53" fillId="0" borderId="0" applyFont="0" applyFill="0" applyBorder="0" applyAlignment="0" applyProtection="0"/>
    <xf numFmtId="0" fontId="53" fillId="0" borderId="0"/>
    <xf numFmtId="0" fontId="15" fillId="0" borderId="0"/>
    <xf numFmtId="0" fontId="10" fillId="0" borderId="0"/>
    <xf numFmtId="210" fontId="4" fillId="0" borderId="0" applyFont="0" applyFill="0" applyBorder="0" applyAlignment="0" applyProtection="0"/>
    <xf numFmtId="190" fontId="10" fillId="0" borderId="0" applyFont="0" applyFill="0" applyBorder="0" applyAlignment="0" applyProtection="0"/>
    <xf numFmtId="0" fontId="15" fillId="0" borderId="0"/>
    <xf numFmtId="0" fontId="15" fillId="0" borderId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10" fillId="0" borderId="0"/>
    <xf numFmtId="0" fontId="4" fillId="0" borderId="0"/>
    <xf numFmtId="0" fontId="4" fillId="0" borderId="0"/>
    <xf numFmtId="0" fontId="53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4" fillId="0" borderId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15" fillId="0" borderId="0"/>
    <xf numFmtId="0" fontId="10" fillId="0" borderId="0"/>
    <xf numFmtId="0" fontId="15" fillId="0" borderId="0"/>
    <xf numFmtId="0" fontId="10" fillId="0" borderId="0"/>
    <xf numFmtId="0" fontId="15" fillId="0" borderId="0"/>
    <xf numFmtId="0" fontId="15" fillId="0" borderId="0"/>
    <xf numFmtId="0" fontId="4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/>
    <xf numFmtId="216" fontId="138" fillId="0" borderId="0">
      <protection locked="0"/>
    </xf>
    <xf numFmtId="216" fontId="13" fillId="0" borderId="0">
      <protection locked="0"/>
    </xf>
    <xf numFmtId="216" fontId="13" fillId="0" borderId="0">
      <protection locked="0"/>
    </xf>
    <xf numFmtId="0" fontId="53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53" fillId="0" borderId="0" applyFont="0" applyFill="0" applyBorder="0" applyAlignment="0" applyProtection="0"/>
    <xf numFmtId="0" fontId="10" fillId="0" borderId="0"/>
    <xf numFmtId="0" fontId="53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" fillId="0" borderId="0"/>
    <xf numFmtId="0" fontId="15" fillId="0" borderId="0"/>
    <xf numFmtId="0" fontId="60" fillId="0" borderId="0"/>
    <xf numFmtId="0" fontId="13" fillId="0" borderId="0">
      <protection locked="0"/>
    </xf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225" fontId="11" fillId="0" borderId="0" applyFont="0" applyFill="0" applyBorder="0" applyAlignment="0" applyProtection="0">
      <alignment vertical="center"/>
    </xf>
    <xf numFmtId="226" fontId="11" fillId="0" borderId="0">
      <alignment vertical="center"/>
    </xf>
    <xf numFmtId="227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228" fontId="13" fillId="0" borderId="0">
      <protection locked="0"/>
    </xf>
    <xf numFmtId="0" fontId="13" fillId="0" borderId="0">
      <protection locked="0"/>
    </xf>
    <xf numFmtId="0" fontId="13" fillId="0" borderId="0">
      <protection locked="0"/>
    </xf>
    <xf numFmtId="9" fontId="26" fillId="0" borderId="0">
      <alignment vertical="center"/>
    </xf>
    <xf numFmtId="229" fontId="15" fillId="0" borderId="0" applyFont="0" applyFill="0" applyBorder="0" applyAlignment="0" applyProtection="0"/>
    <xf numFmtId="0" fontId="26" fillId="0" borderId="0">
      <alignment vertical="center"/>
    </xf>
    <xf numFmtId="10" fontId="26" fillId="0" borderId="0">
      <alignment vertical="center"/>
    </xf>
    <xf numFmtId="0" fontId="26" fillId="0" borderId="0">
      <alignment vertical="center"/>
    </xf>
    <xf numFmtId="230" fontId="4" fillId="0" borderId="0">
      <alignment vertical="center"/>
    </xf>
    <xf numFmtId="231" fontId="11" fillId="0" borderId="0" applyFont="0" applyFill="0" applyBorder="0" applyProtection="0">
      <alignment vertical="center"/>
    </xf>
    <xf numFmtId="232" fontId="11" fillId="0" borderId="0" applyFont="0" applyFill="0" applyBorder="0" applyProtection="0">
      <alignment vertical="center"/>
    </xf>
    <xf numFmtId="215" fontId="61" fillId="0" borderId="0">
      <alignment vertical="center"/>
    </xf>
    <xf numFmtId="0" fontId="7" fillId="0" borderId="0">
      <alignment horizontal="center" vertical="center"/>
    </xf>
    <xf numFmtId="0" fontId="53" fillId="0" borderId="4">
      <alignment horizontal="left" vertical="center" indent="1"/>
    </xf>
    <xf numFmtId="38" fontId="62" fillId="0" borderId="6" applyNumberFormat="0">
      <alignment horizontal="left" vertical="center"/>
    </xf>
    <xf numFmtId="0" fontId="8" fillId="0" borderId="0"/>
    <xf numFmtId="0" fontId="8" fillId="0" borderId="0"/>
    <xf numFmtId="182" fontId="10" fillId="0" borderId="0">
      <alignment horizontal="center" vertical="center"/>
    </xf>
    <xf numFmtId="214" fontId="63" fillId="0" borderId="0">
      <alignment horizontal="center" vertical="center"/>
    </xf>
    <xf numFmtId="265" fontId="4" fillId="0" borderId="0">
      <alignment vertical="center"/>
    </xf>
    <xf numFmtId="266" fontId="4" fillId="0" borderId="0">
      <alignment vertical="center"/>
    </xf>
    <xf numFmtId="267" fontId="4" fillId="0" borderId="0">
      <alignment vertical="center"/>
    </xf>
    <xf numFmtId="267" fontId="4" fillId="0" borderId="0">
      <alignment vertical="center"/>
    </xf>
    <xf numFmtId="268" fontId="4" fillId="0" borderId="0">
      <alignment vertical="center"/>
    </xf>
    <xf numFmtId="268" fontId="4" fillId="0" borderId="0">
      <alignment vertical="center"/>
    </xf>
    <xf numFmtId="267" fontId="4" fillId="0" borderId="0">
      <alignment vertical="center"/>
    </xf>
    <xf numFmtId="0" fontId="25" fillId="0" borderId="7"/>
    <xf numFmtId="204" fontId="26" fillId="0" borderId="8" applyBorder="0">
      <alignment vertical="center" wrapText="1"/>
    </xf>
    <xf numFmtId="4" fontId="64" fillId="0" borderId="9">
      <alignment vertical="center"/>
    </xf>
    <xf numFmtId="0" fontId="15" fillId="0" borderId="0" applyNumberFormat="0" applyFill="0" applyBorder="0" applyAlignment="0" applyProtection="0"/>
    <xf numFmtId="0" fontId="10" fillId="0" borderId="0"/>
    <xf numFmtId="233" fontId="10" fillId="0" borderId="0">
      <protection locked="0"/>
    </xf>
    <xf numFmtId="263" fontId="4" fillId="0" borderId="0">
      <protection locked="0"/>
    </xf>
    <xf numFmtId="216" fontId="65" fillId="0" borderId="0">
      <protection locked="0"/>
    </xf>
    <xf numFmtId="9" fontId="66" fillId="0" borderId="0" applyFont="0" applyFill="0" applyBorder="0" applyAlignment="0" applyProtection="0"/>
    <xf numFmtId="216" fontId="67" fillId="0" borderId="0">
      <protection locked="0"/>
    </xf>
    <xf numFmtId="0" fontId="10" fillId="0" borderId="10">
      <alignment horizontal="center"/>
    </xf>
    <xf numFmtId="0" fontId="68" fillId="3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5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7" borderId="0" applyNumberFormat="0" applyBorder="0" applyAlignment="0" applyProtection="0">
      <alignment vertical="center"/>
    </xf>
    <xf numFmtId="0" fontId="68" fillId="5" borderId="0" applyNumberFormat="0" applyBorder="0" applyAlignment="0" applyProtection="0">
      <alignment vertical="center"/>
    </xf>
    <xf numFmtId="0" fontId="13" fillId="0" borderId="0">
      <protection locked="0"/>
    </xf>
    <xf numFmtId="0" fontId="68" fillId="7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8" borderId="0" applyNumberFormat="0" applyBorder="0" applyAlignment="0" applyProtection="0">
      <alignment vertical="center"/>
    </xf>
    <xf numFmtId="0" fontId="68" fillId="9" borderId="0" applyNumberFormat="0" applyBorder="0" applyAlignment="0" applyProtection="0">
      <alignment vertical="center"/>
    </xf>
    <xf numFmtId="0" fontId="68" fillId="7" borderId="0" applyNumberFormat="0" applyBorder="0" applyAlignment="0" applyProtection="0">
      <alignment vertical="center"/>
    </xf>
    <xf numFmtId="0" fontId="68" fillId="5" borderId="0" applyNumberFormat="0" applyBorder="0" applyAlignment="0" applyProtection="0">
      <alignment vertical="center"/>
    </xf>
    <xf numFmtId="9" fontId="10" fillId="0" borderId="0">
      <protection locked="0"/>
    </xf>
    <xf numFmtId="0" fontId="69" fillId="7" borderId="0" applyNumberFormat="0" applyBorder="0" applyAlignment="0" applyProtection="0">
      <alignment vertical="center"/>
    </xf>
    <xf numFmtId="0" fontId="69" fillId="10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9" borderId="0" applyNumberFormat="0" applyBorder="0" applyAlignment="0" applyProtection="0">
      <alignment vertical="center"/>
    </xf>
    <xf numFmtId="0" fontId="69" fillId="7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10" fillId="0" borderId="0"/>
    <xf numFmtId="0" fontId="70" fillId="0" borderId="0"/>
    <xf numFmtId="0" fontId="39" fillId="0" borderId="11">
      <alignment horizontal="center" vertical="center"/>
    </xf>
    <xf numFmtId="0" fontId="53" fillId="0" borderId="4">
      <alignment horizontal="left" vertical="center" indent="2"/>
    </xf>
    <xf numFmtId="49" fontId="26" fillId="0" borderId="4">
      <alignment horizontal="center" vertical="center"/>
    </xf>
    <xf numFmtId="0" fontId="69" fillId="12" borderId="0" applyNumberFormat="0" applyBorder="0" applyAlignment="0" applyProtection="0">
      <alignment vertical="center"/>
    </xf>
    <xf numFmtId="0" fontId="69" fillId="10" borderId="0" applyNumberFormat="0" applyBorder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3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206" fontId="26" fillId="0" borderId="4">
      <alignment vertical="center"/>
    </xf>
    <xf numFmtId="200" fontId="26" fillId="0" borderId="4">
      <alignment vertical="center"/>
    </xf>
    <xf numFmtId="205" fontId="26" fillId="0" borderId="4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2" borderId="12" applyNumberFormat="0" applyAlignment="0" applyProtection="0">
      <alignment vertical="center"/>
    </xf>
    <xf numFmtId="185" fontId="11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29" fillId="0" borderId="0"/>
    <xf numFmtId="49" fontId="73" fillId="0" borderId="13">
      <alignment horizontal="center" vertical="center" wrapText="1"/>
    </xf>
    <xf numFmtId="234" fontId="4" fillId="0" borderId="0"/>
    <xf numFmtId="234" fontId="4" fillId="0" borderId="0"/>
    <xf numFmtId="234" fontId="4" fillId="0" borderId="0"/>
    <xf numFmtId="234" fontId="4" fillId="0" borderId="0"/>
    <xf numFmtId="234" fontId="4" fillId="0" borderId="0"/>
    <xf numFmtId="234" fontId="4" fillId="0" borderId="0"/>
    <xf numFmtId="234" fontId="4" fillId="0" borderId="0"/>
    <xf numFmtId="234" fontId="4" fillId="0" borderId="0"/>
    <xf numFmtId="234" fontId="4" fillId="0" borderId="0"/>
    <xf numFmtId="234" fontId="4" fillId="0" borderId="0"/>
    <xf numFmtId="234" fontId="4" fillId="0" borderId="0"/>
    <xf numFmtId="0" fontId="4" fillId="0" borderId="4">
      <alignment horizontal="right" vertical="center" shrinkToFit="1"/>
    </xf>
    <xf numFmtId="0" fontId="74" fillId="0" borderId="0" applyFont="0" applyBorder="0" applyAlignment="0">
      <alignment horizontal="left" vertical="center"/>
    </xf>
    <xf numFmtId="0" fontId="75" fillId="16" borderId="0" applyNumberFormat="0" applyBorder="0" applyAlignment="0" applyProtection="0">
      <alignment vertical="center"/>
    </xf>
    <xf numFmtId="0" fontId="13" fillId="0" borderId="0">
      <protection locked="0"/>
    </xf>
    <xf numFmtId="3" fontId="25" fillId="0" borderId="14">
      <alignment horizontal="center"/>
    </xf>
    <xf numFmtId="0" fontId="10" fillId="17" borderId="0">
      <alignment horizontal="left"/>
    </xf>
    <xf numFmtId="0" fontId="13" fillId="0" borderId="0">
      <protection locked="0"/>
    </xf>
    <xf numFmtId="49" fontId="76" fillId="0" borderId="13">
      <alignment horizontal="center" vertical="center" wrapText="1"/>
    </xf>
    <xf numFmtId="0" fontId="77" fillId="0" borderId="0" applyNumberFormat="0" applyFill="0" applyBorder="0" applyAlignment="0" applyProtection="0">
      <alignment vertical="top"/>
      <protection locked="0"/>
    </xf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207" fontId="26" fillId="0" borderId="0">
      <alignment vertical="center"/>
    </xf>
    <xf numFmtId="207" fontId="26" fillId="0" borderId="0">
      <alignment vertical="center"/>
    </xf>
    <xf numFmtId="0" fontId="4" fillId="5" borderId="15" applyNumberFormat="0" applyFont="0" applyAlignment="0" applyProtection="0">
      <alignment vertical="center"/>
    </xf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41" fontId="11" fillId="0" borderId="4" applyNumberFormat="0" applyFont="0" applyFill="0" applyBorder="0" applyProtection="0">
      <alignment horizontal="distributed"/>
    </xf>
    <xf numFmtId="233" fontId="10" fillId="0" borderId="0">
      <protection locked="0"/>
    </xf>
    <xf numFmtId="233" fontId="10" fillId="0" borderId="0">
      <protection locked="0"/>
    </xf>
    <xf numFmtId="233" fontId="10" fillId="0" borderId="0">
      <protection locked="0"/>
    </xf>
    <xf numFmtId="235" fontId="11" fillId="0" borderId="0" applyFont="0" applyFill="0" applyBorder="0" applyProtection="0">
      <alignment horizontal="center" vertical="center"/>
    </xf>
    <xf numFmtId="236" fontId="11" fillId="0" borderId="0" applyFont="0" applyFill="0" applyBorder="0" applyProtection="0">
      <alignment horizontal="center" vertical="center"/>
    </xf>
    <xf numFmtId="9" fontId="7" fillId="18" borderId="0" applyFill="0" applyBorder="0" applyProtection="0">
      <alignment horizontal="right"/>
    </xf>
    <xf numFmtId="10" fontId="7" fillId="0" borderId="0" applyFill="0" applyBorder="0" applyProtection="0">
      <alignment horizontal="right"/>
    </xf>
    <xf numFmtId="9" fontId="68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0" fontId="78" fillId="0" borderId="0" applyNumberFormat="0" applyFill="0" applyBorder="0" applyProtection="0">
      <alignment horizontal="centerContinuous"/>
    </xf>
    <xf numFmtId="0" fontId="79" fillId="8" borderId="0" applyNumberFormat="0" applyBorder="0" applyAlignment="0" applyProtection="0">
      <alignment vertical="center"/>
    </xf>
    <xf numFmtId="189" fontId="10" fillId="0" borderId="16" applyFont="0" applyFill="0" applyAlignment="0" applyProtection="0">
      <alignment horizontal="center" vertical="center"/>
    </xf>
    <xf numFmtId="0" fontId="10" fillId="0" borderId="0"/>
    <xf numFmtId="176" fontId="4" fillId="0" borderId="0" applyNumberFormat="0" applyFont="0" applyFill="0" applyBorder="0" applyProtection="0">
      <alignment horizontal="centerContinuous"/>
    </xf>
    <xf numFmtId="176" fontId="80" fillId="0" borderId="17">
      <alignment vertical="center"/>
    </xf>
    <xf numFmtId="3" fontId="11" fillId="0" borderId="4"/>
    <xf numFmtId="0" fontId="11" fillId="0" borderId="4"/>
    <xf numFmtId="3" fontId="11" fillId="0" borderId="18"/>
    <xf numFmtId="3" fontId="11" fillId="0" borderId="19"/>
    <xf numFmtId="0" fontId="81" fillId="0" borderId="4"/>
    <xf numFmtId="0" fontId="82" fillId="0" borderId="0">
      <alignment horizontal="center"/>
    </xf>
    <xf numFmtId="0" fontId="23" fillId="0" borderId="20">
      <alignment horizontal="center"/>
    </xf>
    <xf numFmtId="0" fontId="83" fillId="0" borderId="0" applyNumberFormat="0" applyFill="0" applyBorder="0" applyAlignment="0" applyProtection="0">
      <alignment vertical="center"/>
    </xf>
    <xf numFmtId="0" fontId="84" fillId="19" borderId="21" applyNumberFormat="0" applyAlignment="0" applyProtection="0">
      <alignment vertical="center"/>
    </xf>
    <xf numFmtId="3" fontId="85" fillId="0" borderId="0">
      <alignment vertical="center" wrapText="1"/>
    </xf>
    <xf numFmtId="3" fontId="86" fillId="0" borderId="0">
      <alignment vertical="center" wrapText="1"/>
    </xf>
    <xf numFmtId="0" fontId="87" fillId="0" borderId="0">
      <alignment vertical="center"/>
    </xf>
    <xf numFmtId="4" fontId="88" fillId="0" borderId="0" applyNumberFormat="0" applyFill="0" applyBorder="0" applyAlignment="0">
      <alignment horizontal="centerContinuous" vertical="center"/>
    </xf>
    <xf numFmtId="188" fontId="11" fillId="0" borderId="0">
      <alignment vertical="center"/>
    </xf>
    <xf numFmtId="41" fontId="4" fillId="0" borderId="0" applyFont="0" applyFill="0" applyBorder="0" applyAlignment="0" applyProtection="0"/>
    <xf numFmtId="41" fontId="68" fillId="0" borderId="0" applyFont="0" applyFill="0" applyBorder="0" applyAlignment="0" applyProtection="0">
      <alignment vertical="center"/>
    </xf>
    <xf numFmtId="0" fontId="15" fillId="0" borderId="0"/>
    <xf numFmtId="0" fontId="10" fillId="0" borderId="0" applyFont="0" applyFill="0" applyBorder="0" applyAlignment="0" applyProtection="0"/>
    <xf numFmtId="0" fontId="57" fillId="0" borderId="0"/>
    <xf numFmtId="0" fontId="57" fillId="0" borderId="0"/>
    <xf numFmtId="210" fontId="4" fillId="0" borderId="0" applyFont="0" applyFill="0" applyBorder="0" applyAlignment="0" applyProtection="0"/>
    <xf numFmtId="0" fontId="57" fillId="0" borderId="0"/>
    <xf numFmtId="210" fontId="4" fillId="0" borderId="0" applyFont="0" applyFill="0" applyBorder="0" applyAlignment="0" applyProtection="0"/>
    <xf numFmtId="0" fontId="27" fillId="0" borderId="22"/>
    <xf numFmtId="0" fontId="71" fillId="0" borderId="23" applyNumberFormat="0" applyFill="0" applyAlignment="0" applyProtection="0">
      <alignment vertical="center"/>
    </xf>
    <xf numFmtId="0" fontId="26" fillId="0" borderId="24">
      <alignment vertical="center"/>
    </xf>
    <xf numFmtId="199" fontId="26" fillId="0" borderId="4" applyBorder="0">
      <alignment vertical="center"/>
    </xf>
    <xf numFmtId="203" fontId="26" fillId="0" borderId="4" applyBorder="0">
      <alignment horizontal="left" vertical="center"/>
    </xf>
    <xf numFmtId="0" fontId="89" fillId="0" borderId="25" applyNumberFormat="0" applyFill="0" applyAlignment="0" applyProtection="0">
      <alignment vertical="center"/>
    </xf>
    <xf numFmtId="237" fontId="90" fillId="0" borderId="0" applyFill="0" applyBorder="0">
      <alignment horizontal="centerContinuous"/>
    </xf>
    <xf numFmtId="238" fontId="90" fillId="0" borderId="0" applyFill="0" applyBorder="0">
      <alignment horizontal="centerContinuous"/>
    </xf>
    <xf numFmtId="239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41" fontId="91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2" fontId="4" fillId="0" borderId="0" applyFont="0" applyFill="0" applyBorder="0" applyAlignment="0" applyProtection="0"/>
    <xf numFmtId="241" fontId="91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41" fontId="91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180" fontId="8" fillId="0" borderId="0" applyFont="0" applyFill="0" applyBorder="0" applyAlignment="0" applyProtection="0"/>
    <xf numFmtId="239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1" fontId="91" fillId="0" borderId="0" applyFont="0" applyFill="0" applyBorder="0" applyAlignment="0" applyProtection="0"/>
    <xf numFmtId="239" fontId="4" fillId="0" borderId="0" applyFont="0" applyFill="0" applyBorder="0" applyAlignment="0" applyProtection="0"/>
    <xf numFmtId="241" fontId="91" fillId="0" borderId="0" applyFont="0" applyFill="0" applyBorder="0" applyAlignment="0" applyProtection="0"/>
    <xf numFmtId="239" fontId="4" fillId="0" borderId="0" applyFont="0" applyFill="0" applyBorder="0" applyAlignment="0" applyProtection="0"/>
    <xf numFmtId="243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44" fontId="10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240" fontId="4" fillId="0" borderId="0" applyFont="0" applyFill="0" applyBorder="0" applyAlignment="0" applyProtection="0"/>
    <xf numFmtId="0" fontId="62" fillId="0" borderId="0">
      <alignment vertical="center"/>
    </xf>
    <xf numFmtId="0" fontId="28" fillId="0" borderId="0">
      <alignment horizontal="center" vertical="center"/>
    </xf>
    <xf numFmtId="49" fontId="7" fillId="0" borderId="3" applyNumberFormat="0" applyAlignment="0"/>
    <xf numFmtId="2" fontId="90" fillId="0" borderId="0" applyFill="0" applyBorder="0" applyProtection="0">
      <alignment horizontal="centerContinuous"/>
    </xf>
    <xf numFmtId="0" fontId="16" fillId="0" borderId="0" applyNumberFormat="0" applyBorder="0" applyAlignment="0">
      <alignment horizontal="centerContinuous" vertical="center"/>
    </xf>
    <xf numFmtId="0" fontId="92" fillId="8" borderId="12" applyNumberFormat="0" applyAlignment="0" applyProtection="0">
      <alignment vertical="center"/>
    </xf>
    <xf numFmtId="4" fontId="13" fillId="0" borderId="0">
      <protection locked="0"/>
    </xf>
    <xf numFmtId="0" fontId="29" fillId="0" borderId="0"/>
    <xf numFmtId="178" fontId="11" fillId="0" borderId="0">
      <protection locked="0"/>
    </xf>
    <xf numFmtId="0" fontId="10" fillId="0" borderId="26" applyNumberFormat="0"/>
    <xf numFmtId="0" fontId="6" fillId="0" borderId="0" applyNumberFormat="0" applyFont="0" applyBorder="0">
      <alignment vertical="center" shrinkToFit="1"/>
    </xf>
    <xf numFmtId="245" fontId="94" fillId="0" borderId="0" applyFill="0" applyBorder="0">
      <alignment horizontal="centerContinuous"/>
    </xf>
    <xf numFmtId="0" fontId="44" fillId="0" borderId="0"/>
    <xf numFmtId="0" fontId="95" fillId="0" borderId="27" applyNumberFormat="0" applyFill="0" applyAlignment="0" applyProtection="0">
      <alignment vertical="center"/>
    </xf>
    <xf numFmtId="0" fontId="96" fillId="0" borderId="28" applyNumberFormat="0" applyFill="0" applyAlignment="0" applyProtection="0">
      <alignment vertical="center"/>
    </xf>
    <xf numFmtId="0" fontId="97" fillId="0" borderId="29" applyNumberFormat="0" applyFill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10" fillId="0" borderId="4">
      <alignment horizontal="distributed" vertical="center"/>
    </xf>
    <xf numFmtId="0" fontId="10" fillId="0" borderId="6">
      <alignment horizontal="distributed" vertical="top"/>
    </xf>
    <xf numFmtId="0" fontId="10" fillId="0" borderId="30">
      <alignment horizontal="distributed"/>
    </xf>
    <xf numFmtId="190" fontId="98" fillId="0" borderId="0">
      <alignment vertical="center"/>
    </xf>
    <xf numFmtId="0" fontId="99" fillId="7" borderId="0" applyNumberFormat="0" applyBorder="0" applyAlignment="0" applyProtection="0">
      <alignment vertical="center"/>
    </xf>
    <xf numFmtId="246" fontId="90" fillId="0" borderId="0" applyFill="0" applyBorder="0">
      <alignment horizontal="centerContinuous"/>
    </xf>
    <xf numFmtId="247" fontId="90" fillId="0" borderId="0" applyFill="0" applyBorder="0">
      <alignment horizontal="centerContinuous"/>
    </xf>
    <xf numFmtId="0" fontId="10" fillId="0" borderId="0"/>
    <xf numFmtId="0" fontId="100" fillId="2" borderId="31" applyNumberFormat="0" applyAlignment="0" applyProtection="0">
      <alignment vertical="center"/>
    </xf>
    <xf numFmtId="233" fontId="10" fillId="0" borderId="0">
      <protection locked="0"/>
    </xf>
    <xf numFmtId="233" fontId="10" fillId="0" borderId="0">
      <protection locked="0"/>
    </xf>
    <xf numFmtId="233" fontId="10" fillId="0" borderId="0">
      <protection locked="0"/>
    </xf>
    <xf numFmtId="0" fontId="10" fillId="0" borderId="0" applyFont="0" applyFill="0" applyBorder="0" applyAlignment="0" applyProtection="0"/>
    <xf numFmtId="233" fontId="10" fillId="0" borderId="0">
      <protection locked="0"/>
    </xf>
    <xf numFmtId="234" fontId="4" fillId="0" borderId="0" applyFont="0" applyFill="0" applyBorder="0" applyProtection="0">
      <alignment vertical="center"/>
    </xf>
    <xf numFmtId="38" fontId="11" fillId="0" borderId="0" applyFont="0" applyFill="0" applyBorder="0" applyProtection="0">
      <alignment vertical="center"/>
    </xf>
    <xf numFmtId="233" fontId="10" fillId="0" borderId="0">
      <protection locked="0"/>
    </xf>
    <xf numFmtId="41" fontId="4" fillId="0" borderId="0" applyFont="0" applyFill="0" applyBorder="0" applyAlignment="0" applyProtection="0"/>
    <xf numFmtId="190" fontId="10" fillId="0" borderId="0" applyNumberFormat="0" applyFont="0" applyFill="0" applyBorder="0" applyProtection="0">
      <alignment vertical="center"/>
    </xf>
    <xf numFmtId="248" fontId="15" fillId="0" borderId="4"/>
    <xf numFmtId="193" fontId="4" fillId="18" borderId="0" applyFill="0" applyBorder="0" applyProtection="0">
      <alignment horizontal="right"/>
    </xf>
    <xf numFmtId="38" fontId="11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249" fontId="4" fillId="0" borderId="0" applyFont="0" applyFill="0" applyBorder="0" applyAlignment="0" applyProtection="0">
      <alignment vertical="center"/>
    </xf>
    <xf numFmtId="0" fontId="8" fillId="0" borderId="0"/>
    <xf numFmtId="0" fontId="10" fillId="0" borderId="0" applyFont="0" applyFill="0" applyBorder="0" applyAlignment="0" applyProtection="0"/>
    <xf numFmtId="0" fontId="53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233" fontId="10" fillId="0" borderId="0">
      <protection locked="0"/>
    </xf>
    <xf numFmtId="233" fontId="10" fillId="0" borderId="0">
      <protection locked="0"/>
    </xf>
    <xf numFmtId="233" fontId="10" fillId="0" borderId="0">
      <protection locked="0"/>
    </xf>
    <xf numFmtId="233" fontId="10" fillId="0" borderId="0">
      <protection locked="0"/>
    </xf>
    <xf numFmtId="0" fontId="10" fillId="0" borderId="0" applyFont="0" applyFill="0" applyBorder="0" applyAlignment="0" applyProtection="0"/>
    <xf numFmtId="187" fontId="4" fillId="0" borderId="0">
      <protection locked="0"/>
    </xf>
    <xf numFmtId="233" fontId="10" fillId="0" borderId="0">
      <protection locked="0"/>
    </xf>
    <xf numFmtId="233" fontId="10" fillId="0" borderId="0">
      <protection locked="0"/>
    </xf>
    <xf numFmtId="233" fontId="10" fillId="0" borderId="0">
      <protection locked="0"/>
    </xf>
    <xf numFmtId="0" fontId="101" fillId="0" borderId="0" applyNumberFormat="0" applyFill="0" applyBorder="0" applyAlignment="0" applyProtection="0">
      <alignment vertical="top"/>
      <protection locked="0"/>
    </xf>
    <xf numFmtId="0" fontId="53" fillId="0" borderId="0"/>
    <xf numFmtId="0" fontId="4" fillId="0" borderId="0"/>
    <xf numFmtId="0" fontId="4" fillId="0" borderId="0">
      <alignment vertical="center"/>
    </xf>
    <xf numFmtId="0" fontId="4" fillId="0" borderId="0"/>
    <xf numFmtId="0" fontId="6" fillId="0" borderId="0"/>
    <xf numFmtId="0" fontId="4" fillId="0" borderId="0"/>
    <xf numFmtId="0" fontId="10" fillId="0" borderId="17">
      <alignment vertical="center" wrapText="1"/>
    </xf>
    <xf numFmtId="0" fontId="4" fillId="0" borderId="4" applyNumberFormat="0" applyFill="0" applyProtection="0">
      <alignment vertical="center"/>
    </xf>
    <xf numFmtId="14" fontId="58" fillId="0" borderId="0" applyFont="0" applyFill="0" applyBorder="0" applyAlignment="0" applyProtection="0"/>
    <xf numFmtId="181" fontId="10" fillId="0" borderId="0" applyFont="0" applyFill="0" applyBorder="0" applyAlignment="0" applyProtection="0"/>
    <xf numFmtId="0" fontId="39" fillId="0" borderId="11">
      <alignment horizontal="center" vertical="center"/>
    </xf>
    <xf numFmtId="0" fontId="13" fillId="0" borderId="32">
      <protection locked="0"/>
    </xf>
    <xf numFmtId="184" fontId="11" fillId="0" borderId="0">
      <protection locked="0"/>
    </xf>
    <xf numFmtId="186" fontId="11" fillId="0" borderId="0">
      <protection locked="0"/>
    </xf>
    <xf numFmtId="269" fontId="143" fillId="0" borderId="0" applyFont="0" applyFill="0" applyBorder="0" applyAlignment="0" applyProtection="0"/>
    <xf numFmtId="270" fontId="143" fillId="0" borderId="0" applyFont="0" applyFill="0" applyBorder="0" applyAlignment="0" applyProtection="0"/>
    <xf numFmtId="0" fontId="143" fillId="0" borderId="0"/>
    <xf numFmtId="208" fontId="26" fillId="0" borderId="4">
      <alignment vertical="center"/>
    </xf>
    <xf numFmtId="233" fontId="10" fillId="0" borderId="0">
      <protection locked="0"/>
    </xf>
    <xf numFmtId="233" fontId="10" fillId="0" borderId="0">
      <protection locked="0"/>
    </xf>
    <xf numFmtId="233" fontId="10" fillId="0" borderId="0">
      <protection locked="0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03" fillId="0" borderId="0" applyFont="0" applyFill="0" applyBorder="0" applyAlignment="0" applyProtection="0"/>
    <xf numFmtId="41" fontId="105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3" fillId="0" borderId="0" applyFont="0" applyFill="0" applyBorder="0" applyAlignment="0" applyProtection="0"/>
    <xf numFmtId="0" fontId="104" fillId="0" borderId="0" applyFont="0" applyFill="0" applyBorder="0" applyAlignment="0" applyProtection="0"/>
    <xf numFmtId="0" fontId="106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03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190" fontId="7" fillId="0" borderId="33">
      <alignment horizontal="center" vertical="center"/>
    </xf>
    <xf numFmtId="3" fontId="26" fillId="0" borderId="0"/>
    <xf numFmtId="233" fontId="10" fillId="0" borderId="0">
      <protection locked="0"/>
    </xf>
    <xf numFmtId="250" fontId="8" fillId="20" borderId="34">
      <alignment horizontal="center" vertical="center"/>
    </xf>
    <xf numFmtId="233" fontId="10" fillId="0" borderId="0">
      <protection locked="0"/>
    </xf>
    <xf numFmtId="263" fontId="4" fillId="0" borderId="0">
      <protection locked="0"/>
    </xf>
    <xf numFmtId="233" fontId="10" fillId="0" borderId="0">
      <protection locked="0"/>
    </xf>
    <xf numFmtId="263" fontId="4" fillId="0" borderId="0">
      <protection locked="0"/>
    </xf>
    <xf numFmtId="216" fontId="65" fillId="0" borderId="0">
      <protection locked="0"/>
    </xf>
    <xf numFmtId="0" fontId="4" fillId="0" borderId="0">
      <protection locked="0"/>
    </xf>
    <xf numFmtId="263" fontId="4" fillId="0" borderId="0">
      <protection locked="0"/>
    </xf>
    <xf numFmtId="216" fontId="65" fillId="0" borderId="0">
      <protection locked="0"/>
    </xf>
    <xf numFmtId="0" fontId="30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4" fillId="0" borderId="0" applyFont="0" applyFill="0" applyBorder="0" applyAlignment="0" applyProtection="0"/>
    <xf numFmtId="42" fontId="108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30" fillId="0" borderId="0" applyFont="0" applyFill="0" applyBorder="0" applyAlignment="0" applyProtection="0"/>
    <xf numFmtId="233" fontId="10" fillId="0" borderId="0">
      <protection locked="0"/>
    </xf>
    <xf numFmtId="0" fontId="11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4" fillId="0" borderId="0" applyFont="0" applyFill="0" applyBorder="0" applyAlignment="0" applyProtection="0"/>
    <xf numFmtId="44" fontId="108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30" fillId="0" borderId="0" applyFont="0" applyFill="0" applyBorder="0" applyAlignment="0" applyProtection="0"/>
    <xf numFmtId="233" fontId="10" fillId="0" borderId="0">
      <protection locked="0"/>
    </xf>
    <xf numFmtId="0" fontId="103" fillId="0" borderId="0" applyFont="0" applyFill="0" applyBorder="0" applyAlignment="0" applyProtection="0"/>
    <xf numFmtId="0" fontId="103" fillId="0" borderId="0" applyFont="0" applyFill="0" applyBorder="0" applyAlignment="0" applyProtection="0"/>
    <xf numFmtId="216" fontId="13" fillId="0" borderId="0">
      <protection locked="0"/>
    </xf>
    <xf numFmtId="0" fontId="102" fillId="0" borderId="0" applyFont="0" applyFill="0" applyBorder="0" applyAlignment="0" applyProtection="0"/>
    <xf numFmtId="0" fontId="102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107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51" fontId="13" fillId="0" borderId="0">
      <protection locked="0"/>
    </xf>
    <xf numFmtId="0" fontId="25" fillId="0" borderId="0"/>
    <xf numFmtId="0" fontId="14" fillId="0" borderId="0"/>
    <xf numFmtId="0" fontId="70" fillId="0" borderId="0"/>
    <xf numFmtId="263" fontId="4" fillId="0" borderId="0">
      <protection locked="0"/>
    </xf>
    <xf numFmtId="233" fontId="10" fillId="0" borderId="0">
      <protection locked="0"/>
    </xf>
    <xf numFmtId="216" fontId="65" fillId="0" borderId="0">
      <protection locked="0"/>
    </xf>
    <xf numFmtId="263" fontId="4" fillId="0" borderId="0">
      <protection locked="0"/>
    </xf>
    <xf numFmtId="216" fontId="65" fillId="0" borderId="0">
      <protection locked="0"/>
    </xf>
    <xf numFmtId="0" fontId="30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4" fillId="0" borderId="0" applyFont="0" applyFill="0" applyBorder="0" applyAlignment="0" applyProtection="0"/>
    <xf numFmtId="41" fontId="108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30" fillId="0" borderId="0" applyFont="0" applyFill="0" applyBorder="0" applyAlignment="0" applyProtection="0"/>
    <xf numFmtId="26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261" fontId="8" fillId="0" borderId="0" applyFont="0" applyFill="0" applyBorder="0" applyAlignment="0" applyProtection="0"/>
    <xf numFmtId="0" fontId="109" fillId="0" borderId="0" applyFont="0" applyFill="0" applyBorder="0" applyAlignment="0" applyProtection="0"/>
    <xf numFmtId="26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117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4" fillId="0" borderId="0" applyFont="0" applyFill="0" applyBorder="0" applyAlignment="0" applyProtection="0"/>
    <xf numFmtId="43" fontId="108" fillId="0" borderId="0" applyFont="0" applyFill="0" applyBorder="0" applyAlignment="0" applyProtection="0"/>
    <xf numFmtId="0" fontId="137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30" fillId="0" borderId="0" applyFont="0" applyFill="0" applyBorder="0" applyAlignment="0" applyProtection="0"/>
    <xf numFmtId="4" fontId="13" fillId="0" borderId="0">
      <protection locked="0"/>
    </xf>
    <xf numFmtId="252" fontId="13" fillId="0" borderId="0">
      <protection locked="0"/>
    </xf>
    <xf numFmtId="0" fontId="4" fillId="0" borderId="0" applyFont="0" applyFill="0" applyBorder="0" applyAlignment="0" applyProtection="0"/>
    <xf numFmtId="0" fontId="56" fillId="0" borderId="0"/>
    <xf numFmtId="0" fontId="15" fillId="0" borderId="0"/>
    <xf numFmtId="0" fontId="15" fillId="0" borderId="0"/>
    <xf numFmtId="0" fontId="56" fillId="0" borderId="0"/>
    <xf numFmtId="0" fontId="94" fillId="0" borderId="0"/>
    <xf numFmtId="233" fontId="10" fillId="0" borderId="0">
      <protection locked="0"/>
    </xf>
    <xf numFmtId="233" fontId="10" fillId="0" borderId="0">
      <protection locked="0"/>
    </xf>
    <xf numFmtId="233" fontId="10" fillId="0" borderId="0">
      <protection locked="0"/>
    </xf>
    <xf numFmtId="0" fontId="56" fillId="0" borderId="0"/>
    <xf numFmtId="0" fontId="110" fillId="0" borderId="0"/>
    <xf numFmtId="0" fontId="102" fillId="0" borderId="0"/>
    <xf numFmtId="0" fontId="111" fillId="0" borderId="0"/>
    <xf numFmtId="0" fontId="102" fillId="0" borderId="0"/>
    <xf numFmtId="0" fontId="103" fillId="0" borderId="0"/>
    <xf numFmtId="0" fontId="102" fillId="0" borderId="0"/>
    <xf numFmtId="0" fontId="103" fillId="0" borderId="0"/>
    <xf numFmtId="0" fontId="4" fillId="0" borderId="0"/>
    <xf numFmtId="0" fontId="112" fillId="0" borderId="0"/>
    <xf numFmtId="0" fontId="104" fillId="0" borderId="0"/>
    <xf numFmtId="0" fontId="103" fillId="0" borderId="0"/>
    <xf numFmtId="0" fontId="102" fillId="0" borderId="0"/>
    <xf numFmtId="0" fontId="113" fillId="0" borderId="0"/>
    <xf numFmtId="0" fontId="4" fillId="0" borderId="0"/>
    <xf numFmtId="263" fontId="4" fillId="0" borderId="0">
      <protection locked="0"/>
    </xf>
    <xf numFmtId="216" fontId="65" fillId="0" borderId="0">
      <protection locked="0"/>
    </xf>
    <xf numFmtId="0" fontId="14" fillId="0" borderId="0"/>
    <xf numFmtId="37" fontId="66" fillId="0" borderId="0"/>
    <xf numFmtId="0" fontId="14" fillId="0" borderId="0"/>
    <xf numFmtId="0" fontId="56" fillId="0" borderId="0"/>
    <xf numFmtId="0" fontId="30" fillId="0" borderId="0"/>
    <xf numFmtId="0" fontId="31" fillId="0" borderId="0"/>
    <xf numFmtId="0" fontId="30" fillId="0" borderId="0"/>
    <xf numFmtId="49" fontId="117" fillId="0" borderId="0" applyBorder="0"/>
    <xf numFmtId="0" fontId="15" fillId="0" borderId="0"/>
    <xf numFmtId="0" fontId="114" fillId="0" borderId="0"/>
    <xf numFmtId="0" fontId="115" fillId="0" borderId="0"/>
    <xf numFmtId="0" fontId="56" fillId="0" borderId="0" applyNumberFormat="0"/>
    <xf numFmtId="0" fontId="108" fillId="0" borderId="0"/>
    <xf numFmtId="0" fontId="70" fillId="0" borderId="0"/>
    <xf numFmtId="0" fontId="116" fillId="0" borderId="0"/>
    <xf numFmtId="0" fontId="30" fillId="0" borderId="0"/>
    <xf numFmtId="0" fontId="14" fillId="0" borderId="0"/>
    <xf numFmtId="0" fontId="116" fillId="0" borderId="0"/>
    <xf numFmtId="0" fontId="14" fillId="0" borderId="0"/>
    <xf numFmtId="0" fontId="30" fillId="0" borderId="0"/>
    <xf numFmtId="0" fontId="30" fillId="0" borderId="0"/>
    <xf numFmtId="0" fontId="144" fillId="0" borderId="0"/>
    <xf numFmtId="0" fontId="109" fillId="0" borderId="0"/>
    <xf numFmtId="0" fontId="117" fillId="0" borderId="0"/>
    <xf numFmtId="0" fontId="66" fillId="0" borderId="0"/>
    <xf numFmtId="0" fontId="4" fillId="0" borderId="0" applyFill="0" applyBorder="0" applyAlignment="0"/>
    <xf numFmtId="0" fontId="17" fillId="0" borderId="0"/>
    <xf numFmtId="0" fontId="118" fillId="0" borderId="0" applyNumberFormat="0" applyFill="0" applyBorder="0" applyAlignment="0" applyProtection="0">
      <alignment vertical="top"/>
      <protection locked="0"/>
    </xf>
    <xf numFmtId="259" fontId="10" fillId="0" borderId="0" applyFont="0" applyFill="0" applyBorder="0" applyAlignment="0" applyProtection="0"/>
    <xf numFmtId="233" fontId="10" fillId="0" borderId="0">
      <protection locked="0"/>
    </xf>
    <xf numFmtId="0" fontId="13" fillId="0" borderId="32">
      <protection locked="0"/>
    </xf>
    <xf numFmtId="4" fontId="13" fillId="0" borderId="0">
      <protection locked="0"/>
    </xf>
    <xf numFmtId="38" fontId="15" fillId="0" borderId="0" applyFont="0" applyFill="0" applyBorder="0" applyAlignment="0" applyProtection="0"/>
    <xf numFmtId="192" fontId="26" fillId="0" borderId="0"/>
    <xf numFmtId="40" fontId="57" fillId="0" borderId="0" applyFont="0" applyFill="0" applyBorder="0" applyAlignment="0" applyProtection="0"/>
    <xf numFmtId="3" fontId="32" fillId="0" borderId="0" applyFont="0" applyFill="0" applyBorder="0" applyAlignment="0" applyProtection="0"/>
    <xf numFmtId="0" fontId="119" fillId="0" borderId="0" applyNumberFormat="0" applyAlignment="0">
      <alignment horizontal="left"/>
    </xf>
    <xf numFmtId="0" fontId="53" fillId="0" borderId="0" applyFont="0" applyFill="0" applyBorder="0" applyAlignment="0" applyProtection="0"/>
    <xf numFmtId="0" fontId="10" fillId="0" borderId="0">
      <protection locked="0"/>
    </xf>
    <xf numFmtId="211" fontId="15" fillId="0" borderId="0" applyFont="0" applyFill="0" applyBorder="0" applyAlignment="0" applyProtection="0"/>
    <xf numFmtId="263" fontId="57" fillId="0" borderId="0" applyFont="0" applyFill="0" applyBorder="0" applyAlignment="0" applyProtection="0"/>
    <xf numFmtId="212" fontId="4" fillId="0" borderId="0" applyFont="0" applyFill="0" applyBorder="0" applyAlignment="0" applyProtection="0"/>
    <xf numFmtId="0" fontId="33" fillId="0" borderId="0"/>
    <xf numFmtId="0" fontId="32" fillId="0" borderId="0" applyFont="0" applyFill="0" applyBorder="0" applyAlignment="0" applyProtection="0"/>
    <xf numFmtId="38" fontId="25" fillId="0" borderId="0" applyFont="0" applyFill="0" applyBorder="0" applyAlignment="0" applyProtection="0"/>
    <xf numFmtId="40" fontId="25" fillId="0" borderId="0" applyFont="0" applyFill="0" applyBorder="0" applyAlignment="0" applyProtection="0"/>
    <xf numFmtId="191" fontId="26" fillId="0" borderId="0"/>
    <xf numFmtId="196" fontId="26" fillId="0" borderId="4">
      <alignment vertical="center"/>
    </xf>
    <xf numFmtId="253" fontId="13" fillId="0" borderId="0">
      <protection locked="0"/>
    </xf>
    <xf numFmtId="254" fontId="13" fillId="0" borderId="0">
      <protection locked="0"/>
    </xf>
    <xf numFmtId="0" fontId="120" fillId="0" borderId="0" applyNumberFormat="0" applyAlignment="0">
      <alignment horizontal="left"/>
    </xf>
    <xf numFmtId="0" fontId="7" fillId="0" borderId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2" fontId="32" fillId="0" borderId="0" applyFont="0" applyFill="0" applyBorder="0" applyAlignment="0" applyProtection="0"/>
    <xf numFmtId="0" fontId="145" fillId="0" borderId="0" applyNumberFormat="0" applyFill="0" applyBorder="0" applyAlignment="0" applyProtection="0">
      <alignment vertical="top"/>
      <protection locked="0"/>
    </xf>
    <xf numFmtId="0" fontId="10" fillId="0" borderId="0"/>
    <xf numFmtId="38" fontId="19" fillId="18" borderId="0" applyNumberFormat="0" applyBorder="0" applyAlignment="0" applyProtection="0"/>
    <xf numFmtId="0" fontId="121" fillId="0" borderId="0" applyAlignment="0">
      <alignment horizontal="right"/>
    </xf>
    <xf numFmtId="0" fontId="122" fillId="0" borderId="0"/>
    <xf numFmtId="0" fontId="123" fillId="0" borderId="0"/>
    <xf numFmtId="0" fontId="20" fillId="0" borderId="0">
      <alignment horizontal="left"/>
    </xf>
    <xf numFmtId="0" fontId="21" fillId="0" borderId="35" applyNumberFormat="0" applyAlignment="0" applyProtection="0">
      <alignment horizontal="left" vertical="center"/>
    </xf>
    <xf numFmtId="0" fontId="21" fillId="0" borderId="36">
      <alignment horizontal="left" vertical="center"/>
    </xf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255" fontId="8" fillId="0" borderId="0">
      <protection locked="0"/>
    </xf>
    <xf numFmtId="255" fontId="8" fillId="0" borderId="0">
      <protection locked="0"/>
    </xf>
    <xf numFmtId="0" fontId="124" fillId="0" borderId="0" applyNumberFormat="0" applyFill="0" applyBorder="0" applyAlignment="0" applyProtection="0"/>
    <xf numFmtId="0" fontId="125" fillId="0" borderId="37" applyNumberFormat="0" applyFill="0" applyAlignment="0" applyProtection="0"/>
    <xf numFmtId="0" fontId="126" fillId="0" borderId="0" applyNumberFormat="0" applyFill="0" applyBorder="0" applyAlignment="0" applyProtection="0">
      <alignment vertical="top"/>
      <protection locked="0"/>
    </xf>
    <xf numFmtId="0" fontId="8" fillId="0" borderId="0" applyFont="0" applyFill="0" applyBorder="0" applyAlignment="0" applyProtection="0"/>
    <xf numFmtId="10" fontId="19" fillId="18" borderId="4" applyNumberFormat="0" applyBorder="0" applyAlignment="0" applyProtection="0"/>
    <xf numFmtId="195" fontId="26" fillId="0" borderId="4">
      <alignment vertical="center"/>
    </xf>
    <xf numFmtId="209" fontId="26" fillId="0" borderId="4">
      <alignment vertical="center"/>
    </xf>
    <xf numFmtId="201" fontId="26" fillId="0" borderId="4">
      <alignment horizontal="right" vertical="center"/>
    </xf>
    <xf numFmtId="197" fontId="26" fillId="0" borderId="4">
      <alignment vertical="center"/>
    </xf>
    <xf numFmtId="194" fontId="26" fillId="0" borderId="4">
      <alignment vertical="center"/>
    </xf>
    <xf numFmtId="190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22" fillId="0" borderId="38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37" fontId="37" fillId="0" borderId="0"/>
    <xf numFmtId="0" fontId="10" fillId="0" borderId="0"/>
    <xf numFmtId="0" fontId="10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127" fillId="0" borderId="0"/>
    <xf numFmtId="0" fontId="57" fillId="0" borderId="0"/>
    <xf numFmtId="0" fontId="8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/>
    <xf numFmtId="183" fontId="11" fillId="0" borderId="0">
      <alignment vertical="center"/>
    </xf>
    <xf numFmtId="0" fontId="10" fillId="0" borderId="0">
      <protection locked="0"/>
    </xf>
    <xf numFmtId="10" fontId="15" fillId="0" borderId="0" applyFont="0" applyFill="0" applyBorder="0" applyAlignment="0" applyProtection="0"/>
    <xf numFmtId="0" fontId="128" fillId="21" borderId="0" applyNumberFormat="0">
      <alignment vertical="center"/>
    </xf>
    <xf numFmtId="30" fontId="129" fillId="0" borderId="0" applyNumberFormat="0" applyFill="0" applyBorder="0" applyAlignment="0" applyProtection="0">
      <alignment horizontal="left"/>
    </xf>
    <xf numFmtId="0" fontId="10" fillId="0" borderId="0"/>
    <xf numFmtId="262" fontId="130" fillId="0" borderId="13">
      <alignment vertical="center" wrapText="1"/>
    </xf>
    <xf numFmtId="256" fontId="90" fillId="0" borderId="39" applyFont="0" applyFill="0" applyBorder="0" applyAlignment="0" applyProtection="0">
      <alignment horizontal="center" vertical="center"/>
    </xf>
    <xf numFmtId="0" fontId="25" fillId="0" borderId="0"/>
    <xf numFmtId="0" fontId="38" fillId="0" borderId="0">
      <alignment horizontal="center" vertical="center"/>
    </xf>
    <xf numFmtId="0" fontId="131" fillId="0" borderId="0"/>
    <xf numFmtId="0" fontId="22" fillId="0" borderId="0"/>
    <xf numFmtId="40" fontId="132" fillId="0" borderId="0" applyBorder="0">
      <alignment horizontal="right"/>
    </xf>
    <xf numFmtId="0" fontId="15" fillId="0" borderId="0"/>
    <xf numFmtId="0" fontId="15" fillId="0" borderId="0"/>
    <xf numFmtId="49" fontId="39" fillId="0" borderId="0" applyBorder="0">
      <alignment horizontal="right"/>
    </xf>
    <xf numFmtId="0" fontId="40" fillId="0" borderId="0" applyFill="0" applyBorder="0" applyProtection="0">
      <alignment horizontal="centerContinuous" vertical="center"/>
    </xf>
    <xf numFmtId="0" fontId="8" fillId="18" borderId="0" applyFill="0" applyBorder="0" applyProtection="0">
      <alignment horizontal="center" vertical="center"/>
    </xf>
    <xf numFmtId="0" fontId="133" fillId="0" borderId="0"/>
    <xf numFmtId="198" fontId="26" fillId="0" borderId="4">
      <alignment vertical="center"/>
    </xf>
    <xf numFmtId="0" fontId="32" fillId="0" borderId="32" applyNumberFormat="0" applyFont="0" applyFill="0" applyAlignment="0" applyProtection="0"/>
    <xf numFmtId="0" fontId="24" fillId="0" borderId="10">
      <alignment horizontal="left"/>
    </xf>
    <xf numFmtId="37" fontId="19" fillId="22" borderId="0" applyNumberFormat="0" applyBorder="0" applyAlignment="0" applyProtection="0"/>
    <xf numFmtId="37" fontId="19" fillId="0" borderId="0"/>
    <xf numFmtId="3" fontId="134" fillId="0" borderId="37" applyProtection="0"/>
    <xf numFmtId="257" fontId="25" fillId="0" borderId="0" applyFont="0" applyFill="0" applyBorder="0" applyAlignment="0" applyProtection="0"/>
    <xf numFmtId="258" fontId="25" fillId="0" borderId="0" applyFont="0" applyFill="0" applyBorder="0" applyAlignment="0" applyProtection="0"/>
    <xf numFmtId="0" fontId="135" fillId="0" borderId="0" applyNumberFormat="0" applyFill="0" applyBorder="0" applyAlignment="0" applyProtection="0">
      <alignment vertical="top"/>
      <protection locked="0"/>
    </xf>
    <xf numFmtId="0" fontId="136" fillId="0" borderId="0" applyNumberFormat="0" applyFill="0" applyBorder="0" applyAlignment="0" applyProtection="0">
      <alignment vertical="top"/>
      <protection locked="0"/>
    </xf>
    <xf numFmtId="41" fontId="4" fillId="0" borderId="0" applyFont="0" applyFill="0" applyBorder="0" applyAlignment="0" applyProtection="0">
      <alignment vertical="center"/>
    </xf>
    <xf numFmtId="0" fontId="15" fillId="0" borderId="0"/>
    <xf numFmtId="3" fontId="147" fillId="0" borderId="4"/>
    <xf numFmtId="0" fontId="26" fillId="0" borderId="2">
      <alignment horizontal="centerContinuous" vertical="center"/>
    </xf>
    <xf numFmtId="219" fontId="10" fillId="0" borderId="2">
      <alignment horizontal="centerContinuous" vertical="center"/>
    </xf>
    <xf numFmtId="0" fontId="26" fillId="0" borderId="2">
      <alignment horizontal="centerContinuous" vertical="center"/>
    </xf>
    <xf numFmtId="0" fontId="4" fillId="0" borderId="2">
      <alignment horizontal="centerContinuous" vertical="center"/>
    </xf>
    <xf numFmtId="0" fontId="26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0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0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0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0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0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0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0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0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10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0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0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10" fillId="0" borderId="2">
      <alignment horizontal="centerContinuous" vertical="center"/>
    </xf>
    <xf numFmtId="276" fontId="10" fillId="0" borderId="2">
      <alignment horizontal="centerContinuous" vertical="center"/>
    </xf>
    <xf numFmtId="276" fontId="10" fillId="0" borderId="2">
      <alignment horizontal="centerContinuous" vertical="center"/>
    </xf>
    <xf numFmtId="276" fontId="10" fillId="0" borderId="2">
      <alignment horizontal="centerContinuous" vertical="center"/>
    </xf>
    <xf numFmtId="276" fontId="10" fillId="0" borderId="2">
      <alignment horizontal="centerContinuous" vertical="center"/>
    </xf>
    <xf numFmtId="234" fontId="4" fillId="0" borderId="2">
      <alignment horizontal="centerContinuous" vertical="center"/>
    </xf>
    <xf numFmtId="234" fontId="4" fillId="0" borderId="2">
      <alignment horizontal="centerContinuous" vertical="center"/>
    </xf>
    <xf numFmtId="234" fontId="4" fillId="0" borderId="2">
      <alignment horizontal="centerContinuous" vertical="center"/>
    </xf>
    <xf numFmtId="234" fontId="4" fillId="0" borderId="2">
      <alignment horizontal="centerContinuous" vertical="center"/>
    </xf>
    <xf numFmtId="276" fontId="10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6" fontId="10" fillId="0" borderId="2">
      <alignment horizontal="centerContinuous" vertical="center"/>
    </xf>
    <xf numFmtId="276" fontId="10" fillId="0" borderId="2">
      <alignment horizontal="centerContinuous" vertical="center"/>
    </xf>
    <xf numFmtId="276" fontId="10" fillId="0" borderId="2">
      <alignment horizontal="centerContinuous" vertical="center"/>
    </xf>
    <xf numFmtId="0" fontId="10" fillId="0" borderId="2">
      <alignment horizontal="centerContinuous" vertical="center"/>
    </xf>
    <xf numFmtId="0" fontId="10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0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0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10" fillId="0" borderId="2">
      <alignment horizontal="centerContinuous" vertical="center"/>
    </xf>
    <xf numFmtId="276" fontId="10" fillId="0" borderId="2">
      <alignment horizontal="centerContinuous" vertical="center"/>
    </xf>
    <xf numFmtId="276" fontId="10" fillId="0" borderId="2">
      <alignment horizontal="centerContinuous" vertical="center"/>
    </xf>
    <xf numFmtId="276" fontId="10" fillId="0" borderId="2">
      <alignment horizontal="centerContinuous" vertical="center"/>
    </xf>
    <xf numFmtId="276" fontId="10" fillId="0" borderId="2">
      <alignment horizontal="centerContinuous" vertical="center"/>
    </xf>
    <xf numFmtId="234" fontId="4" fillId="0" borderId="2">
      <alignment horizontal="centerContinuous" vertical="center"/>
    </xf>
    <xf numFmtId="234" fontId="4" fillId="0" borderId="2">
      <alignment horizontal="centerContinuous" vertical="center"/>
    </xf>
    <xf numFmtId="234" fontId="4" fillId="0" borderId="2">
      <alignment horizontal="centerContinuous" vertical="center"/>
    </xf>
    <xf numFmtId="234" fontId="4" fillId="0" borderId="2">
      <alignment horizontal="centerContinuous" vertical="center"/>
    </xf>
    <xf numFmtId="276" fontId="10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6" fontId="10" fillId="0" borderId="2">
      <alignment horizontal="centerContinuous" vertical="center"/>
    </xf>
    <xf numFmtId="276" fontId="10" fillId="0" borderId="2">
      <alignment horizontal="centerContinuous" vertical="center"/>
    </xf>
    <xf numFmtId="276" fontId="10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0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0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10" fillId="0" borderId="2">
      <alignment horizontal="centerContinuous" vertical="center"/>
    </xf>
    <xf numFmtId="276" fontId="10" fillId="0" borderId="2">
      <alignment horizontal="centerContinuous" vertical="center"/>
    </xf>
    <xf numFmtId="276" fontId="10" fillId="0" borderId="2">
      <alignment horizontal="centerContinuous" vertical="center"/>
    </xf>
    <xf numFmtId="276" fontId="10" fillId="0" borderId="2">
      <alignment horizontal="centerContinuous" vertical="center"/>
    </xf>
    <xf numFmtId="276" fontId="10" fillId="0" borderId="2">
      <alignment horizontal="centerContinuous" vertical="center"/>
    </xf>
    <xf numFmtId="234" fontId="4" fillId="0" borderId="2">
      <alignment horizontal="centerContinuous" vertical="center"/>
    </xf>
    <xf numFmtId="234" fontId="4" fillId="0" borderId="2">
      <alignment horizontal="centerContinuous" vertical="center"/>
    </xf>
    <xf numFmtId="234" fontId="4" fillId="0" borderId="2">
      <alignment horizontal="centerContinuous" vertical="center"/>
    </xf>
    <xf numFmtId="234" fontId="4" fillId="0" borderId="2">
      <alignment horizontal="centerContinuous" vertical="center"/>
    </xf>
    <xf numFmtId="276" fontId="10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6" fontId="10" fillId="0" borderId="2">
      <alignment horizontal="centerContinuous" vertical="center"/>
    </xf>
    <xf numFmtId="276" fontId="10" fillId="0" borderId="2">
      <alignment horizontal="centerContinuous" vertical="center"/>
    </xf>
    <xf numFmtId="276" fontId="10" fillId="0" borderId="2">
      <alignment horizontal="centerContinuous" vertical="center"/>
    </xf>
    <xf numFmtId="0" fontId="26" fillId="0" borderId="2">
      <alignment horizontal="centerContinuous" vertical="center"/>
    </xf>
    <xf numFmtId="277" fontId="26" fillId="0" borderId="2">
      <alignment horizontal="centerContinuous" vertical="center"/>
    </xf>
    <xf numFmtId="277" fontId="26" fillId="0" borderId="2">
      <alignment horizontal="centerContinuous" vertical="center"/>
    </xf>
    <xf numFmtId="277" fontId="26" fillId="0" borderId="2">
      <alignment horizontal="centerContinuous" vertical="center"/>
    </xf>
    <xf numFmtId="277" fontId="26" fillId="0" borderId="2">
      <alignment horizontal="centerContinuous" vertical="center"/>
    </xf>
    <xf numFmtId="271" fontId="4" fillId="0" borderId="2">
      <alignment horizontal="centerContinuous" vertical="center"/>
    </xf>
    <xf numFmtId="271" fontId="4" fillId="0" borderId="2">
      <alignment horizontal="centerContinuous" vertical="center"/>
    </xf>
    <xf numFmtId="271" fontId="4" fillId="0" borderId="2">
      <alignment horizontal="centerContinuous" vertical="center"/>
    </xf>
    <xf numFmtId="271" fontId="4" fillId="0" borderId="2">
      <alignment horizontal="centerContinuous" vertical="center"/>
    </xf>
    <xf numFmtId="277" fontId="26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0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0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0" fontId="10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0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0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10" fillId="0" borderId="2">
      <alignment horizontal="centerContinuous" vertical="center"/>
    </xf>
    <xf numFmtId="276" fontId="10" fillId="0" borderId="2">
      <alignment horizontal="centerContinuous" vertical="center"/>
    </xf>
    <xf numFmtId="276" fontId="10" fillId="0" borderId="2">
      <alignment horizontal="centerContinuous" vertical="center"/>
    </xf>
    <xf numFmtId="276" fontId="10" fillId="0" borderId="2">
      <alignment horizontal="centerContinuous" vertical="center"/>
    </xf>
    <xf numFmtId="276" fontId="10" fillId="0" borderId="2">
      <alignment horizontal="centerContinuous" vertical="center"/>
    </xf>
    <xf numFmtId="234" fontId="4" fillId="0" borderId="2">
      <alignment horizontal="centerContinuous" vertical="center"/>
    </xf>
    <xf numFmtId="234" fontId="4" fillId="0" borderId="2">
      <alignment horizontal="centerContinuous" vertical="center"/>
    </xf>
    <xf numFmtId="234" fontId="4" fillId="0" borderId="2">
      <alignment horizontal="centerContinuous" vertical="center"/>
    </xf>
    <xf numFmtId="234" fontId="4" fillId="0" borderId="2">
      <alignment horizontal="centerContinuous" vertical="center"/>
    </xf>
    <xf numFmtId="276" fontId="10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6" fontId="10" fillId="0" borderId="2">
      <alignment horizontal="centerContinuous" vertical="center"/>
    </xf>
    <xf numFmtId="276" fontId="10" fillId="0" borderId="2">
      <alignment horizontal="centerContinuous" vertical="center"/>
    </xf>
    <xf numFmtId="276" fontId="10" fillId="0" borderId="2">
      <alignment horizontal="centerContinuous" vertical="center"/>
    </xf>
    <xf numFmtId="277" fontId="26" fillId="0" borderId="2">
      <alignment horizontal="centerContinuous" vertical="center"/>
    </xf>
    <xf numFmtId="277" fontId="26" fillId="0" borderId="2">
      <alignment horizontal="centerContinuous" vertical="center"/>
    </xf>
    <xf numFmtId="0" fontId="10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0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0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10" fillId="0" borderId="2">
      <alignment horizontal="centerContinuous" vertical="center"/>
    </xf>
    <xf numFmtId="276" fontId="10" fillId="0" borderId="2">
      <alignment horizontal="centerContinuous" vertical="center"/>
    </xf>
    <xf numFmtId="276" fontId="10" fillId="0" borderId="2">
      <alignment horizontal="centerContinuous" vertical="center"/>
    </xf>
    <xf numFmtId="276" fontId="10" fillId="0" borderId="2">
      <alignment horizontal="centerContinuous" vertical="center"/>
    </xf>
    <xf numFmtId="276" fontId="10" fillId="0" borderId="2">
      <alignment horizontal="centerContinuous" vertical="center"/>
    </xf>
    <xf numFmtId="234" fontId="4" fillId="0" borderId="2">
      <alignment horizontal="centerContinuous" vertical="center"/>
    </xf>
    <xf numFmtId="234" fontId="4" fillId="0" borderId="2">
      <alignment horizontal="centerContinuous" vertical="center"/>
    </xf>
    <xf numFmtId="234" fontId="4" fillId="0" borderId="2">
      <alignment horizontal="centerContinuous" vertical="center"/>
    </xf>
    <xf numFmtId="234" fontId="4" fillId="0" borderId="2">
      <alignment horizontal="centerContinuous" vertical="center"/>
    </xf>
    <xf numFmtId="276" fontId="10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6" fontId="10" fillId="0" borderId="2">
      <alignment horizontal="centerContinuous" vertical="center"/>
    </xf>
    <xf numFmtId="276" fontId="10" fillId="0" borderId="2">
      <alignment horizontal="centerContinuous" vertical="center"/>
    </xf>
    <xf numFmtId="276" fontId="10" fillId="0" borderId="2">
      <alignment horizontal="centerContinuous" vertical="center"/>
    </xf>
    <xf numFmtId="277" fontId="26" fillId="0" borderId="2">
      <alignment horizontal="centerContinuous" vertical="center"/>
    </xf>
    <xf numFmtId="0" fontId="26" fillId="0" borderId="2">
      <alignment horizontal="centerContinuous" vertical="center"/>
    </xf>
    <xf numFmtId="0" fontId="26" fillId="0" borderId="2">
      <alignment horizontal="centerContinuous" vertical="center"/>
    </xf>
    <xf numFmtId="277" fontId="26" fillId="0" borderId="2">
      <alignment horizontal="centerContinuous" vertical="center"/>
    </xf>
    <xf numFmtId="277" fontId="26" fillId="0" borderId="2">
      <alignment horizontal="centerContinuous" vertical="center"/>
    </xf>
    <xf numFmtId="277" fontId="26" fillId="0" borderId="2">
      <alignment horizontal="centerContinuous" vertical="center"/>
    </xf>
    <xf numFmtId="277" fontId="26" fillId="0" borderId="2">
      <alignment horizontal="centerContinuous" vertical="center"/>
    </xf>
    <xf numFmtId="277" fontId="26" fillId="0" borderId="2">
      <alignment horizontal="centerContinuous" vertical="center"/>
    </xf>
    <xf numFmtId="277" fontId="26" fillId="0" borderId="2">
      <alignment horizontal="centerContinuous" vertical="center"/>
    </xf>
    <xf numFmtId="277" fontId="26" fillId="0" borderId="2">
      <alignment horizontal="centerContinuous" vertical="center"/>
    </xf>
    <xf numFmtId="277" fontId="26" fillId="0" borderId="2">
      <alignment horizontal="centerContinuous" vertical="center"/>
    </xf>
    <xf numFmtId="0" fontId="26" fillId="0" borderId="2">
      <alignment horizontal="centerContinuous" vertical="center"/>
    </xf>
    <xf numFmtId="277" fontId="26" fillId="0" borderId="2">
      <alignment horizontal="centerContinuous" vertical="center"/>
    </xf>
    <xf numFmtId="277" fontId="26" fillId="0" borderId="2">
      <alignment horizontal="centerContinuous" vertical="center"/>
    </xf>
    <xf numFmtId="277" fontId="26" fillId="0" borderId="2">
      <alignment horizontal="centerContinuous" vertical="center"/>
    </xf>
    <xf numFmtId="277" fontId="26" fillId="0" borderId="2">
      <alignment horizontal="centerContinuous" vertical="center"/>
    </xf>
    <xf numFmtId="0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0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0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0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0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0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0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0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0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0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0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0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1" fontId="4" fillId="0" borderId="2">
      <alignment horizontal="centerContinuous" vertical="center"/>
    </xf>
    <xf numFmtId="271" fontId="4" fillId="0" borderId="2">
      <alignment horizontal="centerContinuous" vertical="center"/>
    </xf>
    <xf numFmtId="271" fontId="4" fillId="0" borderId="2">
      <alignment horizontal="centerContinuous" vertical="center"/>
    </xf>
    <xf numFmtId="271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0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0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0" fontId="26" fillId="0" borderId="2">
      <alignment horizontal="centerContinuous" vertical="center"/>
    </xf>
    <xf numFmtId="0" fontId="26" fillId="0" borderId="2">
      <alignment horizontal="centerContinuous" vertical="center"/>
    </xf>
    <xf numFmtId="0" fontId="26" fillId="0" borderId="2">
      <alignment horizontal="centerContinuous" vertical="center"/>
    </xf>
    <xf numFmtId="0" fontId="26" fillId="0" borderId="2">
      <alignment horizontal="centerContinuous" vertical="center"/>
    </xf>
    <xf numFmtId="0" fontId="26" fillId="0" borderId="2">
      <alignment horizontal="centerContinuous" vertical="center"/>
    </xf>
    <xf numFmtId="0" fontId="26" fillId="0" borderId="2">
      <alignment horizontal="centerContinuous" vertical="center"/>
    </xf>
    <xf numFmtId="0" fontId="10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8" fontId="4" fillId="0" borderId="2">
      <alignment horizontal="centerContinuous" vertical="center"/>
    </xf>
    <xf numFmtId="278" fontId="4" fillId="0" borderId="2">
      <alignment horizontal="centerContinuous" vertical="center"/>
    </xf>
    <xf numFmtId="0" fontId="4" fillId="0" borderId="2">
      <alignment horizontal="centerContinuous" vertical="center"/>
    </xf>
    <xf numFmtId="278" fontId="4" fillId="0" borderId="2">
      <alignment horizontal="centerContinuous" vertical="center"/>
    </xf>
    <xf numFmtId="278" fontId="4" fillId="0" borderId="2">
      <alignment horizontal="centerContinuous" vertical="center"/>
    </xf>
    <xf numFmtId="278" fontId="4" fillId="0" borderId="2">
      <alignment horizontal="centerContinuous" vertical="center"/>
    </xf>
    <xf numFmtId="278" fontId="4" fillId="0" borderId="2">
      <alignment horizontal="centerContinuous" vertical="center"/>
    </xf>
    <xf numFmtId="278" fontId="4" fillId="0" borderId="2">
      <alignment horizontal="centerContinuous" vertical="center"/>
    </xf>
    <xf numFmtId="278" fontId="4" fillId="0" borderId="2">
      <alignment horizontal="centerContinuous" vertical="center"/>
    </xf>
    <xf numFmtId="278" fontId="4" fillId="0" borderId="2">
      <alignment horizontal="centerContinuous" vertical="center"/>
    </xf>
    <xf numFmtId="278" fontId="4" fillId="0" borderId="2">
      <alignment horizontal="centerContinuous" vertical="center"/>
    </xf>
    <xf numFmtId="0" fontId="4" fillId="0" borderId="2">
      <alignment horizontal="centerContinuous" vertical="center"/>
    </xf>
    <xf numFmtId="278" fontId="4" fillId="0" borderId="2">
      <alignment horizontal="centerContinuous" vertical="center"/>
    </xf>
    <xf numFmtId="278" fontId="4" fillId="0" borderId="2">
      <alignment horizontal="centerContinuous" vertical="center"/>
    </xf>
    <xf numFmtId="278" fontId="4" fillId="0" borderId="2">
      <alignment horizontal="centerContinuous" vertical="center"/>
    </xf>
    <xf numFmtId="278" fontId="4" fillId="0" borderId="2">
      <alignment horizontal="centerContinuous" vertical="center"/>
    </xf>
    <xf numFmtId="278" fontId="4" fillId="0" borderId="2">
      <alignment horizontal="centerContinuous" vertical="center"/>
    </xf>
    <xf numFmtId="278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9" fontId="4" fillId="0" borderId="2">
      <alignment horizontal="centerContinuous" vertical="center"/>
    </xf>
    <xf numFmtId="279" fontId="4" fillId="0" borderId="2">
      <alignment horizontal="centerContinuous" vertical="center"/>
    </xf>
    <xf numFmtId="0" fontId="4" fillId="0" borderId="2">
      <alignment horizontal="centerContinuous" vertical="center"/>
    </xf>
    <xf numFmtId="279" fontId="4" fillId="0" borderId="2">
      <alignment horizontal="centerContinuous" vertical="center"/>
    </xf>
    <xf numFmtId="279" fontId="4" fillId="0" borderId="2">
      <alignment horizontal="centerContinuous" vertical="center"/>
    </xf>
    <xf numFmtId="279" fontId="4" fillId="0" borderId="2">
      <alignment horizontal="centerContinuous" vertical="center"/>
    </xf>
    <xf numFmtId="279" fontId="4" fillId="0" borderId="2">
      <alignment horizontal="centerContinuous" vertical="center"/>
    </xf>
    <xf numFmtId="279" fontId="4" fillId="0" borderId="2">
      <alignment horizontal="centerContinuous" vertical="center"/>
    </xf>
    <xf numFmtId="279" fontId="4" fillId="0" borderId="2">
      <alignment horizontal="centerContinuous" vertical="center"/>
    </xf>
    <xf numFmtId="279" fontId="4" fillId="0" borderId="2">
      <alignment horizontal="centerContinuous" vertical="center"/>
    </xf>
    <xf numFmtId="279" fontId="4" fillId="0" borderId="2">
      <alignment horizontal="centerContinuous" vertical="center"/>
    </xf>
    <xf numFmtId="0" fontId="4" fillId="0" borderId="2">
      <alignment horizontal="centerContinuous" vertical="center"/>
    </xf>
    <xf numFmtId="279" fontId="4" fillId="0" borderId="2">
      <alignment horizontal="centerContinuous" vertical="center"/>
    </xf>
    <xf numFmtId="279" fontId="4" fillId="0" borderId="2">
      <alignment horizontal="centerContinuous" vertical="center"/>
    </xf>
    <xf numFmtId="279" fontId="4" fillId="0" borderId="2">
      <alignment horizontal="centerContinuous" vertical="center"/>
    </xf>
    <xf numFmtId="279" fontId="4" fillId="0" borderId="2">
      <alignment horizontal="centerContinuous" vertical="center"/>
    </xf>
    <xf numFmtId="279" fontId="4" fillId="0" borderId="2">
      <alignment horizontal="centerContinuous" vertical="center"/>
    </xf>
    <xf numFmtId="279" fontId="4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10" fillId="0" borderId="2">
      <alignment horizontal="centerContinuous" vertical="center"/>
    </xf>
    <xf numFmtId="280" fontId="10" fillId="0" borderId="2">
      <alignment horizontal="centerContinuous" vertical="center"/>
    </xf>
    <xf numFmtId="280" fontId="10" fillId="0" borderId="2">
      <alignment horizontal="centerContinuous" vertical="center"/>
    </xf>
    <xf numFmtId="280" fontId="10" fillId="0" borderId="2">
      <alignment horizontal="centerContinuous" vertical="center"/>
    </xf>
    <xf numFmtId="280" fontId="10" fillId="0" borderId="2">
      <alignment horizontal="centerContinuous" vertical="center"/>
    </xf>
    <xf numFmtId="218" fontId="4" fillId="0" borderId="2">
      <alignment horizontal="centerContinuous" vertical="center"/>
    </xf>
    <xf numFmtId="218" fontId="4" fillId="0" borderId="2">
      <alignment horizontal="centerContinuous" vertical="center"/>
    </xf>
    <xf numFmtId="218" fontId="4" fillId="0" borderId="2">
      <alignment horizontal="centerContinuous" vertical="center"/>
    </xf>
    <xf numFmtId="218" fontId="4" fillId="0" borderId="2">
      <alignment horizontal="centerContinuous" vertical="center"/>
    </xf>
    <xf numFmtId="280" fontId="10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81" fontId="4" fillId="0" borderId="2">
      <alignment horizontal="centerContinuous" vertical="center"/>
    </xf>
    <xf numFmtId="281" fontId="4" fillId="0" borderId="2">
      <alignment horizontal="centerContinuous" vertical="center"/>
    </xf>
    <xf numFmtId="0" fontId="4" fillId="0" borderId="2">
      <alignment horizontal="centerContinuous" vertical="center"/>
    </xf>
    <xf numFmtId="281" fontId="4" fillId="0" borderId="2">
      <alignment horizontal="centerContinuous" vertical="center"/>
    </xf>
    <xf numFmtId="281" fontId="4" fillId="0" borderId="2">
      <alignment horizontal="centerContinuous" vertical="center"/>
    </xf>
    <xf numFmtId="281" fontId="4" fillId="0" borderId="2">
      <alignment horizontal="centerContinuous" vertical="center"/>
    </xf>
    <xf numFmtId="281" fontId="4" fillId="0" borderId="2">
      <alignment horizontal="centerContinuous" vertical="center"/>
    </xf>
    <xf numFmtId="281" fontId="4" fillId="0" borderId="2">
      <alignment horizontal="centerContinuous" vertical="center"/>
    </xf>
    <xf numFmtId="281" fontId="4" fillId="0" borderId="2">
      <alignment horizontal="centerContinuous" vertical="center"/>
    </xf>
    <xf numFmtId="281" fontId="4" fillId="0" borderId="2">
      <alignment horizontal="centerContinuous" vertical="center"/>
    </xf>
    <xf numFmtId="281" fontId="4" fillId="0" borderId="2">
      <alignment horizontal="centerContinuous" vertical="center"/>
    </xf>
    <xf numFmtId="0" fontId="4" fillId="0" borderId="2">
      <alignment horizontal="centerContinuous" vertical="center"/>
    </xf>
    <xf numFmtId="281" fontId="4" fillId="0" borderId="2">
      <alignment horizontal="centerContinuous" vertical="center"/>
    </xf>
    <xf numFmtId="281" fontId="4" fillId="0" borderId="2">
      <alignment horizontal="centerContinuous" vertical="center"/>
    </xf>
    <xf numFmtId="281" fontId="4" fillId="0" borderId="2">
      <alignment horizontal="centerContinuous" vertical="center"/>
    </xf>
    <xf numFmtId="281" fontId="4" fillId="0" borderId="2">
      <alignment horizontal="centerContinuous" vertical="center"/>
    </xf>
    <xf numFmtId="281" fontId="4" fillId="0" borderId="2">
      <alignment horizontal="centerContinuous" vertical="center"/>
    </xf>
    <xf numFmtId="281" fontId="4" fillId="0" borderId="2">
      <alignment horizontal="centerContinuous" vertical="center"/>
    </xf>
    <xf numFmtId="280" fontId="10" fillId="0" borderId="2">
      <alignment horizontal="centerContinuous" vertical="center"/>
    </xf>
    <xf numFmtId="280" fontId="10" fillId="0" borderId="2">
      <alignment horizontal="centerContinuous" vertical="center"/>
    </xf>
    <xf numFmtId="280" fontId="10" fillId="0" borderId="2">
      <alignment horizontal="centerContinuous" vertical="center"/>
    </xf>
    <xf numFmtId="0" fontId="26" fillId="0" borderId="2">
      <alignment horizontal="centerContinuous" vertical="center"/>
    </xf>
    <xf numFmtId="0" fontId="26" fillId="0" borderId="2">
      <alignment horizontal="centerContinuous" vertical="center"/>
    </xf>
    <xf numFmtId="0" fontId="26" fillId="0" borderId="2">
      <alignment horizontal="centerContinuous" vertical="center"/>
    </xf>
    <xf numFmtId="0" fontId="10" fillId="0" borderId="2">
      <alignment horizontal="centerContinuous" vertical="center"/>
    </xf>
    <xf numFmtId="0" fontId="26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0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0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0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0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0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0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0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0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26" fillId="0" borderId="2">
      <alignment horizontal="centerContinuous" vertical="center"/>
    </xf>
    <xf numFmtId="277" fontId="26" fillId="0" borderId="2">
      <alignment horizontal="centerContinuous" vertical="center"/>
    </xf>
    <xf numFmtId="277" fontId="26" fillId="0" borderId="2">
      <alignment horizontal="centerContinuous" vertical="center"/>
    </xf>
    <xf numFmtId="277" fontId="26" fillId="0" borderId="2">
      <alignment horizontal="centerContinuous" vertical="center"/>
    </xf>
    <xf numFmtId="277" fontId="26" fillId="0" borderId="2">
      <alignment horizontal="centerContinuous" vertical="center"/>
    </xf>
    <xf numFmtId="271" fontId="4" fillId="0" borderId="2">
      <alignment horizontal="centerContinuous" vertical="center"/>
    </xf>
    <xf numFmtId="271" fontId="4" fillId="0" borderId="2">
      <alignment horizontal="centerContinuous" vertical="center"/>
    </xf>
    <xf numFmtId="271" fontId="4" fillId="0" borderId="2">
      <alignment horizontal="centerContinuous" vertical="center"/>
    </xf>
    <xf numFmtId="271" fontId="4" fillId="0" borderId="2">
      <alignment horizontal="centerContinuous" vertical="center"/>
    </xf>
    <xf numFmtId="277" fontId="26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0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0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7" fontId="26" fillId="0" borderId="2">
      <alignment horizontal="centerContinuous" vertical="center"/>
    </xf>
    <xf numFmtId="277" fontId="26" fillId="0" borderId="2">
      <alignment horizontal="centerContinuous" vertical="center"/>
    </xf>
    <xf numFmtId="277" fontId="26" fillId="0" borderId="2">
      <alignment horizontal="centerContinuous" vertical="center"/>
    </xf>
    <xf numFmtId="0" fontId="26" fillId="0" borderId="2">
      <alignment horizontal="centerContinuous" vertical="center"/>
    </xf>
    <xf numFmtId="0" fontId="26" fillId="0" borderId="2">
      <alignment horizontal="centerContinuous" vertical="center"/>
    </xf>
    <xf numFmtId="277" fontId="26" fillId="0" borderId="2">
      <alignment horizontal="centerContinuous" vertical="center"/>
    </xf>
    <xf numFmtId="277" fontId="26" fillId="0" borderId="2">
      <alignment horizontal="centerContinuous" vertical="center"/>
    </xf>
    <xf numFmtId="277" fontId="26" fillId="0" borderId="2">
      <alignment horizontal="centerContinuous" vertical="center"/>
    </xf>
    <xf numFmtId="277" fontId="26" fillId="0" borderId="2">
      <alignment horizontal="centerContinuous" vertical="center"/>
    </xf>
    <xf numFmtId="277" fontId="26" fillId="0" borderId="2">
      <alignment horizontal="centerContinuous" vertical="center"/>
    </xf>
    <xf numFmtId="277" fontId="26" fillId="0" borderId="2">
      <alignment horizontal="centerContinuous" vertical="center"/>
    </xf>
    <xf numFmtId="277" fontId="26" fillId="0" borderId="2">
      <alignment horizontal="centerContinuous" vertical="center"/>
    </xf>
    <xf numFmtId="277" fontId="26" fillId="0" borderId="2">
      <alignment horizontal="centerContinuous" vertical="center"/>
    </xf>
    <xf numFmtId="0" fontId="26" fillId="0" borderId="2">
      <alignment horizontal="centerContinuous" vertical="center"/>
    </xf>
    <xf numFmtId="277" fontId="26" fillId="0" borderId="2">
      <alignment horizontal="centerContinuous" vertical="center"/>
    </xf>
    <xf numFmtId="277" fontId="26" fillId="0" borderId="2">
      <alignment horizontal="centerContinuous" vertical="center"/>
    </xf>
    <xf numFmtId="277" fontId="26" fillId="0" borderId="2">
      <alignment horizontal="centerContinuous" vertical="center"/>
    </xf>
    <xf numFmtId="277" fontId="26" fillId="0" borderId="2">
      <alignment horizontal="centerContinuous" vertical="center"/>
    </xf>
    <xf numFmtId="0" fontId="26" fillId="0" borderId="2">
      <alignment horizontal="centerContinuous" vertical="center"/>
    </xf>
    <xf numFmtId="0" fontId="26" fillId="0" borderId="2">
      <alignment horizontal="centerContinuous" vertical="center"/>
    </xf>
    <xf numFmtId="0" fontId="26" fillId="0" borderId="2">
      <alignment horizontal="centerContinuous" vertical="center"/>
    </xf>
    <xf numFmtId="0" fontId="26" fillId="0" borderId="2">
      <alignment horizontal="centerContinuous" vertical="center"/>
    </xf>
    <xf numFmtId="0" fontId="26" fillId="0" borderId="2">
      <alignment horizontal="centerContinuous" vertical="center"/>
    </xf>
    <xf numFmtId="0" fontId="26" fillId="0" borderId="2">
      <alignment horizontal="centerContinuous" vertical="center"/>
    </xf>
    <xf numFmtId="0" fontId="26" fillId="0" borderId="2">
      <alignment horizontal="centerContinuous" vertical="center"/>
    </xf>
    <xf numFmtId="0" fontId="26" fillId="0" borderId="2">
      <alignment horizontal="centerContinuous" vertical="center"/>
    </xf>
    <xf numFmtId="0" fontId="26" fillId="0" borderId="2">
      <alignment horizontal="centerContinuous" vertical="center"/>
    </xf>
    <xf numFmtId="0" fontId="26" fillId="0" borderId="2">
      <alignment horizontal="centerContinuous" vertical="center"/>
    </xf>
    <xf numFmtId="0" fontId="26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8" fontId="4" fillId="0" borderId="2">
      <alignment horizontal="centerContinuous" vertical="center"/>
    </xf>
    <xf numFmtId="278" fontId="4" fillId="0" borderId="2">
      <alignment horizontal="centerContinuous" vertical="center"/>
    </xf>
    <xf numFmtId="0" fontId="4" fillId="0" borderId="2">
      <alignment horizontal="centerContinuous" vertical="center"/>
    </xf>
    <xf numFmtId="278" fontId="4" fillId="0" borderId="2">
      <alignment horizontal="centerContinuous" vertical="center"/>
    </xf>
    <xf numFmtId="278" fontId="4" fillId="0" borderId="2">
      <alignment horizontal="centerContinuous" vertical="center"/>
    </xf>
    <xf numFmtId="278" fontId="4" fillId="0" borderId="2">
      <alignment horizontal="centerContinuous" vertical="center"/>
    </xf>
    <xf numFmtId="278" fontId="4" fillId="0" borderId="2">
      <alignment horizontal="centerContinuous" vertical="center"/>
    </xf>
    <xf numFmtId="278" fontId="4" fillId="0" borderId="2">
      <alignment horizontal="centerContinuous" vertical="center"/>
    </xf>
    <xf numFmtId="278" fontId="4" fillId="0" borderId="2">
      <alignment horizontal="centerContinuous" vertical="center"/>
    </xf>
    <xf numFmtId="278" fontId="4" fillId="0" borderId="2">
      <alignment horizontal="centerContinuous" vertical="center"/>
    </xf>
    <xf numFmtId="278" fontId="4" fillId="0" borderId="2">
      <alignment horizontal="centerContinuous" vertical="center"/>
    </xf>
    <xf numFmtId="0" fontId="4" fillId="0" borderId="2">
      <alignment horizontal="centerContinuous" vertical="center"/>
    </xf>
    <xf numFmtId="278" fontId="4" fillId="0" borderId="2">
      <alignment horizontal="centerContinuous" vertical="center"/>
    </xf>
    <xf numFmtId="278" fontId="4" fillId="0" borderId="2">
      <alignment horizontal="centerContinuous" vertical="center"/>
    </xf>
    <xf numFmtId="278" fontId="4" fillId="0" borderId="2">
      <alignment horizontal="centerContinuous" vertical="center"/>
    </xf>
    <xf numFmtId="278" fontId="4" fillId="0" borderId="2">
      <alignment horizontal="centerContinuous" vertical="center"/>
    </xf>
    <xf numFmtId="278" fontId="4" fillId="0" borderId="2">
      <alignment horizontal="centerContinuous" vertical="center"/>
    </xf>
    <xf numFmtId="278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9" fontId="4" fillId="0" borderId="2">
      <alignment horizontal="centerContinuous" vertical="center"/>
    </xf>
    <xf numFmtId="279" fontId="4" fillId="0" borderId="2">
      <alignment horizontal="centerContinuous" vertical="center"/>
    </xf>
    <xf numFmtId="0" fontId="4" fillId="0" borderId="2">
      <alignment horizontal="centerContinuous" vertical="center"/>
    </xf>
    <xf numFmtId="279" fontId="4" fillId="0" borderId="2">
      <alignment horizontal="centerContinuous" vertical="center"/>
    </xf>
    <xf numFmtId="279" fontId="4" fillId="0" borderId="2">
      <alignment horizontal="centerContinuous" vertical="center"/>
    </xf>
    <xf numFmtId="279" fontId="4" fillId="0" borderId="2">
      <alignment horizontal="centerContinuous" vertical="center"/>
    </xf>
    <xf numFmtId="279" fontId="4" fillId="0" borderId="2">
      <alignment horizontal="centerContinuous" vertical="center"/>
    </xf>
    <xf numFmtId="279" fontId="4" fillId="0" borderId="2">
      <alignment horizontal="centerContinuous" vertical="center"/>
    </xf>
    <xf numFmtId="279" fontId="4" fillId="0" borderId="2">
      <alignment horizontal="centerContinuous" vertical="center"/>
    </xf>
    <xf numFmtId="279" fontId="4" fillId="0" borderId="2">
      <alignment horizontal="centerContinuous" vertical="center"/>
    </xf>
    <xf numFmtId="279" fontId="4" fillId="0" borderId="2">
      <alignment horizontal="centerContinuous" vertical="center"/>
    </xf>
    <xf numFmtId="0" fontId="4" fillId="0" borderId="2">
      <alignment horizontal="centerContinuous" vertical="center"/>
    </xf>
    <xf numFmtId="279" fontId="4" fillId="0" borderId="2">
      <alignment horizontal="centerContinuous" vertical="center"/>
    </xf>
    <xf numFmtId="279" fontId="4" fillId="0" borderId="2">
      <alignment horizontal="centerContinuous" vertical="center"/>
    </xf>
    <xf numFmtId="279" fontId="4" fillId="0" borderId="2">
      <alignment horizontal="centerContinuous" vertical="center"/>
    </xf>
    <xf numFmtId="279" fontId="4" fillId="0" borderId="2">
      <alignment horizontal="centerContinuous" vertical="center"/>
    </xf>
    <xf numFmtId="279" fontId="4" fillId="0" borderId="2">
      <alignment horizontal="centerContinuous" vertical="center"/>
    </xf>
    <xf numFmtId="279" fontId="4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6" fillId="0" borderId="2">
      <alignment horizontal="centerContinuous" vertical="center"/>
    </xf>
    <xf numFmtId="0" fontId="10" fillId="0" borderId="2">
      <alignment horizontal="centerContinuous" vertical="center"/>
    </xf>
    <xf numFmtId="280" fontId="10" fillId="0" borderId="2">
      <alignment horizontal="centerContinuous" vertical="center"/>
    </xf>
    <xf numFmtId="280" fontId="10" fillId="0" borderId="2">
      <alignment horizontal="centerContinuous" vertical="center"/>
    </xf>
    <xf numFmtId="280" fontId="10" fillId="0" borderId="2">
      <alignment horizontal="centerContinuous" vertical="center"/>
    </xf>
    <xf numFmtId="280" fontId="10" fillId="0" borderId="2">
      <alignment horizontal="centerContinuous" vertical="center"/>
    </xf>
    <xf numFmtId="218" fontId="4" fillId="0" borderId="2">
      <alignment horizontal="centerContinuous" vertical="center"/>
    </xf>
    <xf numFmtId="218" fontId="4" fillId="0" borderId="2">
      <alignment horizontal="centerContinuous" vertical="center"/>
    </xf>
    <xf numFmtId="218" fontId="4" fillId="0" borderId="2">
      <alignment horizontal="centerContinuous" vertical="center"/>
    </xf>
    <xf numFmtId="218" fontId="4" fillId="0" borderId="2">
      <alignment horizontal="centerContinuous" vertical="center"/>
    </xf>
    <xf numFmtId="280" fontId="10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81" fontId="4" fillId="0" borderId="2">
      <alignment horizontal="centerContinuous" vertical="center"/>
    </xf>
    <xf numFmtId="281" fontId="4" fillId="0" borderId="2">
      <alignment horizontal="centerContinuous" vertical="center"/>
    </xf>
    <xf numFmtId="0" fontId="4" fillId="0" borderId="2">
      <alignment horizontal="centerContinuous" vertical="center"/>
    </xf>
    <xf numFmtId="281" fontId="4" fillId="0" borderId="2">
      <alignment horizontal="centerContinuous" vertical="center"/>
    </xf>
    <xf numFmtId="281" fontId="4" fillId="0" borderId="2">
      <alignment horizontal="centerContinuous" vertical="center"/>
    </xf>
    <xf numFmtId="281" fontId="4" fillId="0" borderId="2">
      <alignment horizontal="centerContinuous" vertical="center"/>
    </xf>
    <xf numFmtId="281" fontId="4" fillId="0" borderId="2">
      <alignment horizontal="centerContinuous" vertical="center"/>
    </xf>
    <xf numFmtId="281" fontId="4" fillId="0" borderId="2">
      <alignment horizontal="centerContinuous" vertical="center"/>
    </xf>
    <xf numFmtId="281" fontId="4" fillId="0" borderId="2">
      <alignment horizontal="centerContinuous" vertical="center"/>
    </xf>
    <xf numFmtId="281" fontId="4" fillId="0" borderId="2">
      <alignment horizontal="centerContinuous" vertical="center"/>
    </xf>
    <xf numFmtId="281" fontId="4" fillId="0" borderId="2">
      <alignment horizontal="centerContinuous" vertical="center"/>
    </xf>
    <xf numFmtId="0" fontId="4" fillId="0" borderId="2">
      <alignment horizontal="centerContinuous" vertical="center"/>
    </xf>
    <xf numFmtId="281" fontId="4" fillId="0" borderId="2">
      <alignment horizontal="centerContinuous" vertical="center"/>
    </xf>
    <xf numFmtId="281" fontId="4" fillId="0" borderId="2">
      <alignment horizontal="centerContinuous" vertical="center"/>
    </xf>
    <xf numFmtId="281" fontId="4" fillId="0" borderId="2">
      <alignment horizontal="centerContinuous" vertical="center"/>
    </xf>
    <xf numFmtId="281" fontId="4" fillId="0" borderId="2">
      <alignment horizontal="centerContinuous" vertical="center"/>
    </xf>
    <xf numFmtId="281" fontId="4" fillId="0" borderId="2">
      <alignment horizontal="centerContinuous" vertical="center"/>
    </xf>
    <xf numFmtId="281" fontId="4" fillId="0" borderId="2">
      <alignment horizontal="centerContinuous" vertical="center"/>
    </xf>
    <xf numFmtId="280" fontId="10" fillId="0" borderId="2">
      <alignment horizontal="centerContinuous" vertical="center"/>
    </xf>
    <xf numFmtId="280" fontId="10" fillId="0" borderId="2">
      <alignment horizontal="centerContinuous" vertical="center"/>
    </xf>
    <xf numFmtId="280" fontId="10" fillId="0" borderId="2">
      <alignment horizontal="centerContinuous" vertical="center"/>
    </xf>
    <xf numFmtId="22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282" fontId="25" fillId="0" borderId="0" applyFont="0" applyFill="0" applyBorder="0" applyAlignment="0" applyProtection="0"/>
    <xf numFmtId="282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82" fontId="25" fillId="0" borderId="0" applyFont="0" applyFill="0" applyBorder="0" applyAlignment="0" applyProtection="0"/>
    <xf numFmtId="282" fontId="25" fillId="0" borderId="0" applyFont="0" applyFill="0" applyBorder="0" applyAlignment="0" applyProtection="0"/>
    <xf numFmtId="282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282" fontId="25" fillId="0" borderId="0" applyFont="0" applyFill="0" applyBorder="0" applyAlignment="0" applyProtection="0"/>
    <xf numFmtId="282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82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4" fontId="25" fillId="0" borderId="0" applyFont="0" applyFill="0" applyBorder="0" applyAlignment="0" applyProtection="0"/>
    <xf numFmtId="283" fontId="4" fillId="0" borderId="0" applyFont="0" applyFill="0" applyBorder="0" applyAlignment="0" applyProtection="0"/>
    <xf numFmtId="283" fontId="4" fillId="0" borderId="0" applyFont="0" applyFill="0" applyBorder="0" applyAlignment="0" applyProtection="0"/>
    <xf numFmtId="0" fontId="15" fillId="0" borderId="0"/>
    <xf numFmtId="0" fontId="93" fillId="0" borderId="0"/>
    <xf numFmtId="0" fontId="148" fillId="0" borderId="0" applyNumberFormat="0" applyFill="0" applyBorder="0" applyAlignment="0" applyProtection="0"/>
    <xf numFmtId="0" fontId="15" fillId="0" borderId="0" applyFont="0" applyFill="0" applyBorder="0" applyAlignment="0" applyProtection="0"/>
    <xf numFmtId="0" fontId="55" fillId="0" borderId="0"/>
    <xf numFmtId="0" fontId="15" fillId="0" borderId="0"/>
    <xf numFmtId="0" fontId="25" fillId="0" borderId="0"/>
    <xf numFmtId="0" fontId="25" fillId="0" borderId="0"/>
    <xf numFmtId="0" fontId="57" fillId="0" borderId="0"/>
    <xf numFmtId="0" fontId="25" fillId="0" borderId="0"/>
    <xf numFmtId="284" fontId="4" fillId="0" borderId="0" applyFont="0" applyFill="0" applyBorder="0" applyAlignment="0" applyProtection="0"/>
    <xf numFmtId="0" fontId="15" fillId="0" borderId="0"/>
    <xf numFmtId="0" fontId="10" fillId="0" borderId="0"/>
    <xf numFmtId="0" fontId="15" fillId="0" borderId="0"/>
    <xf numFmtId="0" fontId="15" fillId="0" borderId="0"/>
    <xf numFmtId="0" fontId="57" fillId="0" borderId="0"/>
    <xf numFmtId="0" fontId="25" fillId="0" borderId="0"/>
    <xf numFmtId="0" fontId="53" fillId="0" borderId="0"/>
    <xf numFmtId="0" fontId="15" fillId="0" borderId="0"/>
    <xf numFmtId="0" fontId="15" fillId="0" borderId="0"/>
    <xf numFmtId="0" fontId="10" fillId="0" borderId="0"/>
    <xf numFmtId="0" fontId="15" fillId="0" borderId="0"/>
    <xf numFmtId="0" fontId="15" fillId="0" borderId="0"/>
    <xf numFmtId="0" fontId="53" fillId="0" borderId="0"/>
    <xf numFmtId="0" fontId="10" fillId="0" borderId="0"/>
    <xf numFmtId="0" fontId="57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5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8" fillId="0" borderId="0" applyFont="0" applyFill="0" applyBorder="0" applyAlignment="0" applyProtection="0"/>
    <xf numFmtId="0" fontId="10" fillId="0" borderId="0"/>
    <xf numFmtId="0" fontId="10" fillId="0" borderId="0"/>
    <xf numFmtId="0" fontId="57" fillId="0" borderId="0"/>
    <xf numFmtId="0" fontId="57" fillId="0" borderId="0"/>
    <xf numFmtId="0" fontId="57" fillId="0" borderId="0"/>
    <xf numFmtId="0" fontId="15" fillId="0" borderId="0"/>
    <xf numFmtId="0" fontId="57" fillId="0" borderId="0"/>
    <xf numFmtId="0" fontId="53" fillId="0" borderId="0"/>
    <xf numFmtId="0" fontId="10" fillId="0" borderId="0"/>
    <xf numFmtId="0" fontId="53" fillId="0" borderId="0"/>
    <xf numFmtId="0" fontId="10" fillId="0" borderId="0"/>
    <xf numFmtId="0" fontId="53" fillId="0" borderId="0"/>
    <xf numFmtId="0" fontId="10" fillId="0" borderId="0"/>
    <xf numFmtId="0" fontId="15" fillId="0" borderId="0"/>
    <xf numFmtId="0" fontId="8" fillId="0" borderId="0" applyFont="0" applyFill="0" applyBorder="0" applyAlignment="0" applyProtection="0"/>
    <xf numFmtId="0" fontId="10" fillId="0" borderId="0"/>
    <xf numFmtId="0" fontId="15" fillId="0" borderId="0"/>
    <xf numFmtId="0" fontId="53" fillId="0" borderId="0"/>
    <xf numFmtId="0" fontId="10" fillId="0" borderId="0"/>
    <xf numFmtId="0" fontId="57" fillId="0" borderId="0"/>
    <xf numFmtId="0" fontId="10" fillId="0" borderId="0"/>
    <xf numFmtId="0" fontId="15" fillId="0" borderId="0"/>
    <xf numFmtId="0" fontId="15" fillId="0" borderId="0"/>
    <xf numFmtId="0" fontId="53" fillId="0" borderId="0" applyFont="0" applyFill="0" applyBorder="0" applyAlignment="0" applyProtection="0"/>
    <xf numFmtId="0" fontId="10" fillId="0" borderId="0"/>
    <xf numFmtId="0" fontId="15" fillId="0" borderId="0"/>
    <xf numFmtId="0" fontId="15" fillId="0" borderId="0"/>
    <xf numFmtId="0" fontId="57" fillId="0" borderId="0"/>
    <xf numFmtId="0" fontId="53" fillId="0" borderId="0"/>
    <xf numFmtId="0" fontId="15" fillId="0" borderId="0"/>
    <xf numFmtId="0" fontId="15" fillId="0" borderId="0"/>
    <xf numFmtId="0" fontId="53" fillId="0" borderId="0"/>
    <xf numFmtId="0" fontId="15" fillId="0" borderId="0"/>
    <xf numFmtId="0" fontId="57" fillId="0" borderId="0"/>
    <xf numFmtId="0" fontId="4" fillId="0" borderId="0" applyFont="0" applyFill="0" applyBorder="0" applyAlignment="0" applyProtection="0"/>
    <xf numFmtId="285" fontId="4" fillId="0" borderId="0" applyFont="0" applyFill="0" applyBorder="0" applyAlignment="0" applyProtection="0"/>
    <xf numFmtId="0" fontId="15" fillId="0" borderId="0"/>
    <xf numFmtId="0" fontId="1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" fillId="0" borderId="0"/>
    <xf numFmtId="0" fontId="53" fillId="0" borderId="0"/>
    <xf numFmtId="0" fontId="53" fillId="0" borderId="0"/>
    <xf numFmtId="0" fontId="53" fillId="0" borderId="0"/>
    <xf numFmtId="0" fontId="15" fillId="0" borderId="0"/>
    <xf numFmtId="0" fontId="15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15" fillId="0" borderId="0"/>
    <xf numFmtId="0" fontId="15" fillId="0" borderId="0"/>
    <xf numFmtId="0" fontId="53" fillId="0" borderId="0" applyFont="0" applyFill="0" applyBorder="0" applyAlignment="0" applyProtection="0"/>
    <xf numFmtId="0" fontId="53" fillId="0" borderId="0"/>
    <xf numFmtId="0" fontId="53" fillId="0" borderId="0"/>
    <xf numFmtId="0" fontId="25" fillId="0" borderId="0"/>
    <xf numFmtId="0" fontId="4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15" fillId="0" borderId="0"/>
    <xf numFmtId="0" fontId="4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/>
    <xf numFmtId="0" fontId="10" fillId="0" borderId="0"/>
    <xf numFmtId="0" fontId="1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57" fillId="0" borderId="0"/>
    <xf numFmtId="0" fontId="15" fillId="0" borderId="0"/>
    <xf numFmtId="0" fontId="15" fillId="0" borderId="0"/>
    <xf numFmtId="0" fontId="15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3" fillId="0" borderId="0"/>
    <xf numFmtId="0" fontId="10" fillId="0" borderId="0"/>
    <xf numFmtId="0" fontId="53" fillId="0" borderId="0"/>
    <xf numFmtId="0" fontId="57" fillId="0" borderId="0"/>
    <xf numFmtId="0" fontId="15" fillId="0" borderId="0"/>
    <xf numFmtId="0" fontId="10" fillId="0" borderId="0"/>
    <xf numFmtId="0" fontId="25" fillId="0" borderId="0"/>
    <xf numFmtId="0" fontId="15" fillId="0" borderId="0"/>
    <xf numFmtId="0" fontId="25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53" fillId="0" borderId="0"/>
    <xf numFmtId="0" fontId="25" fillId="0" borderId="0"/>
    <xf numFmtId="0" fontId="15" fillId="0" borderId="0"/>
    <xf numFmtId="0" fontId="10" fillId="0" borderId="0"/>
    <xf numFmtId="286" fontId="4" fillId="0" borderId="0" applyFont="0" applyFill="0" applyBorder="0" applyAlignment="0" applyProtection="0"/>
    <xf numFmtId="286" fontId="4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10" fillId="0" borderId="0"/>
    <xf numFmtId="0" fontId="53" fillId="0" borderId="0"/>
    <xf numFmtId="0" fontId="15" fillId="0" borderId="0"/>
    <xf numFmtId="0" fontId="15" fillId="0" borderId="0"/>
    <xf numFmtId="0" fontId="25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5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3" fillId="0" borderId="0"/>
    <xf numFmtId="0" fontId="25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85" fontId="4" fillId="0" borderId="0" applyFont="0" applyFill="0" applyBorder="0" applyAlignment="0" applyProtection="0"/>
    <xf numFmtId="0" fontId="15" fillId="0" borderId="0"/>
    <xf numFmtId="0" fontId="26" fillId="0" borderId="0" applyFont="0" applyFill="0" applyBorder="0" applyAlignment="0" applyProtection="0"/>
    <xf numFmtId="285" fontId="4" fillId="0" borderId="0" applyFont="0" applyFill="0" applyBorder="0" applyAlignment="0" applyProtection="0"/>
    <xf numFmtId="0" fontId="25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85" fontId="4" fillId="0" borderId="0" applyFont="0" applyFill="0" applyBorder="0" applyAlignment="0" applyProtection="0"/>
    <xf numFmtId="285" fontId="4" fillId="0" borderId="0" applyFont="0" applyFill="0" applyBorder="0" applyAlignment="0" applyProtection="0"/>
    <xf numFmtId="285" fontId="4" fillId="0" borderId="0" applyFont="0" applyFill="0" applyBorder="0" applyAlignment="0" applyProtection="0"/>
    <xf numFmtId="285" fontId="4" fillId="0" borderId="0" applyFont="0" applyFill="0" applyBorder="0" applyAlignment="0" applyProtection="0"/>
    <xf numFmtId="285" fontId="4" fillId="0" borderId="0" applyFont="0" applyFill="0" applyBorder="0" applyAlignment="0" applyProtection="0"/>
    <xf numFmtId="285" fontId="4" fillId="0" borderId="0" applyFont="0" applyFill="0" applyBorder="0" applyAlignment="0" applyProtection="0"/>
    <xf numFmtId="285" fontId="4" fillId="0" borderId="0" applyFont="0" applyFill="0" applyBorder="0" applyAlignment="0" applyProtection="0"/>
    <xf numFmtId="285" fontId="4" fillId="0" borderId="0" applyFont="0" applyFill="0" applyBorder="0" applyAlignment="0" applyProtection="0"/>
    <xf numFmtId="285" fontId="4" fillId="0" borderId="0" applyFont="0" applyFill="0" applyBorder="0" applyAlignment="0" applyProtection="0"/>
    <xf numFmtId="285" fontId="4" fillId="0" borderId="0" applyFont="0" applyFill="0" applyBorder="0" applyAlignment="0" applyProtection="0"/>
    <xf numFmtId="285" fontId="4" fillId="0" borderId="0" applyFont="0" applyFill="0" applyBorder="0" applyAlignment="0" applyProtection="0"/>
    <xf numFmtId="285" fontId="4" fillId="0" borderId="0" applyFont="0" applyFill="0" applyBorder="0" applyAlignment="0" applyProtection="0"/>
    <xf numFmtId="28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85" fontId="4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57" fillId="0" borderId="0"/>
    <xf numFmtId="0" fontId="15" fillId="0" borderId="0"/>
    <xf numFmtId="0" fontId="57" fillId="0" borderId="0"/>
    <xf numFmtId="0" fontId="4" fillId="0" borderId="0" applyFont="0" applyFill="0" applyBorder="0" applyAlignment="0" applyProtection="0"/>
    <xf numFmtId="0" fontId="15" fillId="0" borderId="0"/>
    <xf numFmtId="0" fontId="53" fillId="0" borderId="0"/>
    <xf numFmtId="0" fontId="15" fillId="0" borderId="0"/>
    <xf numFmtId="0" fontId="15" fillId="0" borderId="0"/>
    <xf numFmtId="0" fontId="10" fillId="0" borderId="0"/>
    <xf numFmtId="0" fontId="57" fillId="0" borderId="0"/>
    <xf numFmtId="0" fontId="53" fillId="0" borderId="0"/>
    <xf numFmtId="0" fontId="25" fillId="0" borderId="0"/>
    <xf numFmtId="0" fontId="15" fillId="0" borderId="0"/>
    <xf numFmtId="0" fontId="15" fillId="0" borderId="0"/>
    <xf numFmtId="0" fontId="15" fillId="0" borderId="0"/>
    <xf numFmtId="0" fontId="25" fillId="0" borderId="0"/>
    <xf numFmtId="0" fontId="26" fillId="0" borderId="0" applyFont="0" applyFill="0" applyBorder="0" applyAlignment="0" applyProtection="0"/>
    <xf numFmtId="0" fontId="15" fillId="0" borderId="0"/>
    <xf numFmtId="0" fontId="15" fillId="0" borderId="0"/>
    <xf numFmtId="284" fontId="4" fillId="0" borderId="0" applyFont="0" applyFill="0" applyBorder="0" applyAlignment="0" applyProtection="0"/>
    <xf numFmtId="285" fontId="4" fillId="0" borderId="0" applyFont="0" applyFill="0" applyBorder="0" applyAlignment="0" applyProtection="0"/>
    <xf numFmtId="0" fontId="15" fillId="0" borderId="0"/>
    <xf numFmtId="0" fontId="15" fillId="0" borderId="0"/>
    <xf numFmtId="0" fontId="53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0" fillId="0" borderId="0"/>
    <xf numFmtId="9" fontId="15" fillId="25" borderId="0"/>
    <xf numFmtId="0" fontId="15" fillId="0" borderId="0"/>
    <xf numFmtId="216" fontId="13" fillId="0" borderId="0">
      <protection locked="0"/>
    </xf>
    <xf numFmtId="0" fontId="13" fillId="0" borderId="0">
      <protection locked="0"/>
    </xf>
    <xf numFmtId="216" fontId="13" fillId="0" borderId="0">
      <protection locked="0"/>
    </xf>
    <xf numFmtId="0" fontId="13" fillId="0" borderId="0">
      <protection locked="0"/>
    </xf>
    <xf numFmtId="3" fontId="147" fillId="0" borderId="4"/>
    <xf numFmtId="3" fontId="147" fillId="0" borderId="4"/>
    <xf numFmtId="0" fontId="149" fillId="26" borderId="0" applyNumberFormat="0" applyBorder="0" applyAlignment="0" applyProtection="0">
      <alignment vertical="center"/>
    </xf>
    <xf numFmtId="0" fontId="149" fillId="9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7" borderId="0" applyNumberFormat="0" applyBorder="0" applyAlignment="0" applyProtection="0">
      <alignment vertical="center"/>
    </xf>
    <xf numFmtId="0" fontId="149" fillId="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9" borderId="0" applyNumberFormat="0" applyBorder="0" applyAlignment="0" applyProtection="0">
      <alignment vertical="center"/>
    </xf>
    <xf numFmtId="0" fontId="68" fillId="9" borderId="0" applyNumberFormat="0" applyBorder="0" applyAlignment="0" applyProtection="0">
      <alignment vertical="center"/>
    </xf>
    <xf numFmtId="0" fontId="68" fillId="9" borderId="0" applyNumberFormat="0" applyBorder="0" applyAlignment="0" applyProtection="0">
      <alignment vertical="center"/>
    </xf>
    <xf numFmtId="0" fontId="68" fillId="9" borderId="0" applyNumberFormat="0" applyBorder="0" applyAlignment="0" applyProtection="0">
      <alignment vertical="center"/>
    </xf>
    <xf numFmtId="0" fontId="68" fillId="9" borderId="0" applyNumberFormat="0" applyBorder="0" applyAlignment="0" applyProtection="0">
      <alignment vertical="center"/>
    </xf>
    <xf numFmtId="0" fontId="68" fillId="9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7" borderId="0" applyNumberFormat="0" applyBorder="0" applyAlignment="0" applyProtection="0">
      <alignment vertical="center"/>
    </xf>
    <xf numFmtId="0" fontId="68" fillId="7" borderId="0" applyNumberFormat="0" applyBorder="0" applyAlignment="0" applyProtection="0">
      <alignment vertical="center"/>
    </xf>
    <xf numFmtId="0" fontId="68" fillId="7" borderId="0" applyNumberFormat="0" applyBorder="0" applyAlignment="0" applyProtection="0">
      <alignment vertical="center"/>
    </xf>
    <xf numFmtId="0" fontId="68" fillId="7" borderId="0" applyNumberFormat="0" applyBorder="0" applyAlignment="0" applyProtection="0">
      <alignment vertical="center"/>
    </xf>
    <xf numFmtId="0" fontId="68" fillId="7" borderId="0" applyNumberFormat="0" applyBorder="0" applyAlignment="0" applyProtection="0">
      <alignment vertical="center"/>
    </xf>
    <xf numFmtId="0" fontId="68" fillId="7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149" fillId="3" borderId="0" applyNumberFormat="0" applyBorder="0" applyAlignment="0" applyProtection="0">
      <alignment vertical="center"/>
    </xf>
    <xf numFmtId="0" fontId="149" fillId="4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3" borderId="0" applyNumberFormat="0" applyBorder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150" fillId="29" borderId="0" applyNumberFormat="0" applyBorder="0" applyAlignment="0" applyProtection="0">
      <alignment vertical="center"/>
    </xf>
    <xf numFmtId="0" fontId="150" fillId="4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0" borderId="0" applyNumberFormat="0" applyBorder="0" applyAlignment="0" applyProtection="0">
      <alignment vertical="center"/>
    </xf>
    <xf numFmtId="0" fontId="150" fillId="14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151" fillId="0" borderId="0" applyFont="0" applyFill="0" applyBorder="0" applyAlignment="0" applyProtection="0"/>
    <xf numFmtId="287" fontId="15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50" fillId="3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33" borderId="0" applyNumberFormat="0" applyBorder="0" applyAlignment="0" applyProtection="0">
      <alignment vertical="center"/>
    </xf>
    <xf numFmtId="0" fontId="150" fillId="30" borderId="0" applyNumberFormat="0" applyBorder="0" applyAlignment="0" applyProtection="0">
      <alignment vertical="center"/>
    </xf>
    <xf numFmtId="0" fontId="150" fillId="14" borderId="0" applyNumberFormat="0" applyBorder="0" applyAlignment="0" applyProtection="0">
      <alignment vertical="center"/>
    </xf>
    <xf numFmtId="0" fontId="150" fillId="10" borderId="0" applyNumberFormat="0" applyBorder="0" applyAlignment="0" applyProtection="0">
      <alignment vertical="center"/>
    </xf>
    <xf numFmtId="37" fontId="14" fillId="0" borderId="0" applyFont="0" applyFill="0" applyBorder="0" applyAlignment="0" applyProtection="0"/>
    <xf numFmtId="0" fontId="30" fillId="0" borderId="0" applyFont="0" applyFill="0" applyBorder="0" applyAlignment="0" applyProtection="0"/>
    <xf numFmtId="268" fontId="25" fillId="0" borderId="0" applyFont="0" applyFill="0" applyBorder="0" applyAlignment="0" applyProtection="0"/>
    <xf numFmtId="37" fontId="14" fillId="0" borderId="0" applyFont="0" applyFill="0" applyBorder="0" applyAlignment="0" applyProtection="0"/>
    <xf numFmtId="0" fontId="30" fillId="0" borderId="0" applyFont="0" applyFill="0" applyBorder="0" applyAlignment="0" applyProtection="0"/>
    <xf numFmtId="288" fontId="25" fillId="0" borderId="0" applyFont="0" applyFill="0" applyBorder="0" applyAlignment="0" applyProtection="0"/>
    <xf numFmtId="0" fontId="151" fillId="0" borderId="0" applyFont="0" applyFill="0" applyBorder="0" applyAlignment="0" applyProtection="0"/>
    <xf numFmtId="0" fontId="151" fillId="0" borderId="0" applyFont="0" applyFill="0" applyBorder="0" applyAlignment="0" applyProtection="0"/>
    <xf numFmtId="37" fontId="14" fillId="0" borderId="0" applyFont="0" applyFill="0" applyBorder="0" applyAlignment="0" applyProtection="0"/>
    <xf numFmtId="0" fontId="30" fillId="0" borderId="0" applyFont="0" applyFill="0" applyBorder="0" applyAlignment="0" applyProtection="0"/>
    <xf numFmtId="183" fontId="14" fillId="0" borderId="0" applyFont="0" applyFill="0" applyBorder="0" applyAlignment="0" applyProtection="0"/>
    <xf numFmtId="0" fontId="109" fillId="0" borderId="0" applyFont="0" applyFill="0" applyBorder="0" applyAlignment="0" applyProtection="0"/>
    <xf numFmtId="37" fontId="14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52" fillId="9" borderId="0" applyNumberFormat="0" applyBorder="0" applyAlignment="0" applyProtection="0">
      <alignment vertical="center"/>
    </xf>
    <xf numFmtId="289" fontId="153" fillId="0" borderId="49"/>
    <xf numFmtId="0" fontId="151" fillId="0" borderId="0">
      <alignment vertical="center"/>
    </xf>
    <xf numFmtId="0" fontId="31" fillId="0" borderId="0"/>
    <xf numFmtId="0" fontId="154" fillId="0" borderId="0"/>
    <xf numFmtId="0" fontId="30" fillId="0" borderId="0"/>
    <xf numFmtId="0" fontId="14" fillId="0" borderId="0"/>
    <xf numFmtId="0" fontId="117" fillId="0" borderId="0"/>
    <xf numFmtId="0" fontId="66" fillId="0" borderId="0"/>
    <xf numFmtId="0" fontId="14" fillId="0" borderId="0"/>
    <xf numFmtId="0" fontId="30" fillId="0" borderId="0"/>
    <xf numFmtId="0" fontId="14" fillId="0" borderId="0"/>
    <xf numFmtId="0" fontId="30" fillId="0" borderId="0"/>
    <xf numFmtId="0" fontId="14" fillId="0" borderId="0"/>
    <xf numFmtId="0" fontId="30" fillId="0" borderId="0"/>
    <xf numFmtId="0" fontId="14" fillId="0" borderId="0"/>
    <xf numFmtId="0" fontId="66" fillId="0" borderId="0"/>
    <xf numFmtId="0" fontId="117" fillId="0" borderId="0"/>
    <xf numFmtId="0" fontId="66" fillId="0" borderId="0"/>
    <xf numFmtId="0" fontId="14" fillId="0" borderId="0"/>
    <xf numFmtId="0" fontId="30" fillId="0" borderId="0"/>
    <xf numFmtId="0" fontId="14" fillId="0" borderId="0"/>
    <xf numFmtId="0" fontId="30" fillId="0" borderId="0"/>
    <xf numFmtId="0" fontId="14" fillId="0" borderId="0"/>
    <xf numFmtId="0" fontId="30" fillId="0" borderId="0"/>
    <xf numFmtId="0" fontId="144" fillId="0" borderId="0"/>
    <xf numFmtId="0" fontId="14" fillId="0" borderId="0"/>
    <xf numFmtId="0" fontId="144" fillId="0" borderId="0"/>
    <xf numFmtId="0" fontId="109" fillId="0" borderId="0"/>
    <xf numFmtId="290" fontId="57" fillId="0" borderId="0" applyFill="0" applyBorder="0" applyAlignment="0"/>
    <xf numFmtId="291" fontId="57" fillId="0" borderId="0" applyFill="0" applyBorder="0" applyAlignment="0"/>
    <xf numFmtId="292" fontId="15" fillId="0" borderId="0" applyFill="0" applyBorder="0" applyAlignment="0"/>
    <xf numFmtId="0" fontId="15" fillId="0" borderId="0" applyFill="0" applyBorder="0" applyAlignment="0"/>
    <xf numFmtId="293" fontId="57" fillId="0" borderId="0" applyFill="0" applyBorder="0" applyAlignment="0"/>
    <xf numFmtId="294" fontId="57" fillId="0" borderId="0" applyFill="0" applyBorder="0" applyAlignment="0"/>
    <xf numFmtId="290" fontId="57" fillId="0" borderId="0" applyFill="0" applyBorder="0" applyAlignment="0"/>
    <xf numFmtId="0" fontId="155" fillId="34" borderId="12" applyNumberFormat="0" applyAlignment="0" applyProtection="0">
      <alignment vertical="center"/>
    </xf>
    <xf numFmtId="0" fontId="156" fillId="19" borderId="21" applyNumberFormat="0" applyAlignment="0" applyProtection="0">
      <alignment vertical="center"/>
    </xf>
    <xf numFmtId="0" fontId="157" fillId="35" borderId="50" applyNumberFormat="0" applyBorder="0" applyAlignment="0">
      <alignment horizontal="left" wrapText="1"/>
    </xf>
    <xf numFmtId="190" fontId="23" fillId="0" borderId="0" applyFont="0" applyFill="0" applyBorder="0" applyAlignment="0" applyProtection="0"/>
    <xf numFmtId="293" fontId="57" fillId="0" borderId="0" applyFont="0" applyFill="0" applyBorder="0" applyAlignment="0" applyProtection="0"/>
    <xf numFmtId="38" fontId="25" fillId="0" borderId="0" applyFont="0" applyFill="0" applyBorder="0" applyAlignment="0" applyProtection="0"/>
    <xf numFmtId="40" fontId="25" fillId="0" borderId="0" applyFont="0" applyFill="0" applyBorder="0" applyAlignment="0" applyProtection="0"/>
    <xf numFmtId="0" fontId="4" fillId="0" borderId="0" applyFont="0" applyFill="0" applyBorder="0" applyAlignment="0" applyProtection="0"/>
    <xf numFmtId="229" fontId="15" fillId="0" borderId="0" applyFont="0" applyFill="0" applyBorder="0" applyAlignment="0" applyProtection="0"/>
    <xf numFmtId="290" fontId="57" fillId="0" borderId="0" applyFont="0" applyFill="0" applyBorder="0" applyAlignment="0" applyProtection="0"/>
    <xf numFmtId="0" fontId="10" fillId="0" borderId="4" applyFill="0" applyBorder="0" applyAlignment="0"/>
    <xf numFmtId="0" fontId="15" fillId="0" borderId="0"/>
    <xf numFmtId="14" fontId="158" fillId="0" borderId="0" applyFill="0" applyBorder="0" applyAlignment="0"/>
    <xf numFmtId="295" fontId="159" fillId="0" borderId="0">
      <protection locked="0"/>
    </xf>
    <xf numFmtId="293" fontId="57" fillId="0" borderId="0" applyFill="0" applyBorder="0" applyAlignment="0"/>
    <xf numFmtId="290" fontId="57" fillId="0" borderId="0" applyFill="0" applyBorder="0" applyAlignment="0"/>
    <xf numFmtId="293" fontId="57" fillId="0" borderId="0" applyFill="0" applyBorder="0" applyAlignment="0"/>
    <xf numFmtId="294" fontId="57" fillId="0" borderId="0" applyFill="0" applyBorder="0" applyAlignment="0"/>
    <xf numFmtId="290" fontId="57" fillId="0" borderId="0" applyFill="0" applyBorder="0" applyAlignment="0"/>
    <xf numFmtId="0" fontId="160" fillId="0" borderId="0" applyNumberFormat="0" applyFill="0" applyBorder="0" applyAlignment="0" applyProtection="0">
      <alignment vertical="center"/>
    </xf>
    <xf numFmtId="296" fontId="10" fillId="0" borderId="0"/>
    <xf numFmtId="0" fontId="161" fillId="27" borderId="0" applyNumberFormat="0" applyBorder="0" applyAlignment="0" applyProtection="0">
      <alignment vertical="center"/>
    </xf>
    <xf numFmtId="0" fontId="162" fillId="0" borderId="51" applyNumberFormat="0" applyFill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57" fillId="0" borderId="0"/>
    <xf numFmtId="0" fontId="163" fillId="6" borderId="12" applyNumberFormat="0" applyAlignment="0" applyProtection="0">
      <alignment vertical="center"/>
    </xf>
    <xf numFmtId="293" fontId="57" fillId="0" borderId="0" applyFill="0" applyBorder="0" applyAlignment="0"/>
    <xf numFmtId="290" fontId="57" fillId="0" borderId="0" applyFill="0" applyBorder="0" applyAlignment="0"/>
    <xf numFmtId="293" fontId="57" fillId="0" borderId="0" applyFill="0" applyBorder="0" applyAlignment="0"/>
    <xf numFmtId="294" fontId="57" fillId="0" borderId="0" applyFill="0" applyBorder="0" applyAlignment="0"/>
    <xf numFmtId="290" fontId="57" fillId="0" borderId="0" applyFill="0" applyBorder="0" applyAlignment="0"/>
    <xf numFmtId="0" fontId="164" fillId="0" borderId="52" applyNumberFormat="0" applyFill="0" applyAlignment="0" applyProtection="0">
      <alignment vertical="center"/>
    </xf>
    <xf numFmtId="0" fontId="165" fillId="0" borderId="24" applyNumberFormat="0" applyFill="0" applyProtection="0">
      <alignment horizontal="center"/>
    </xf>
    <xf numFmtId="190" fontId="23" fillId="0" borderId="0" applyFont="0" applyFill="0" applyBorder="0" applyAlignment="0" applyProtection="0"/>
    <xf numFmtId="0" fontId="166" fillId="8" borderId="0" applyNumberFormat="0" applyBorder="0" applyAlignment="0" applyProtection="0">
      <alignment vertical="center"/>
    </xf>
    <xf numFmtId="0" fontId="57" fillId="0" borderId="0"/>
    <xf numFmtId="0" fontId="15" fillId="0" borderId="0" applyNumberFormat="0" applyFill="0" applyBorder="0" applyAlignment="0" applyProtection="0"/>
    <xf numFmtId="0" fontId="4" fillId="5" borderId="15" applyNumberFormat="0" applyFont="0" applyAlignment="0" applyProtection="0">
      <alignment vertical="center"/>
    </xf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" fontId="57" fillId="0" borderId="0" applyFont="0" applyFill="0" applyBorder="0" applyAlignment="0" applyProtection="0"/>
    <xf numFmtId="0" fontId="167" fillId="34" borderId="31" applyNumberFormat="0" applyAlignment="0" applyProtection="0">
      <alignment vertical="center"/>
    </xf>
    <xf numFmtId="0" fontId="15" fillId="0" borderId="0" applyFont="0" applyFill="0" applyBorder="0" applyAlignment="0" applyProtection="0"/>
    <xf numFmtId="297" fontId="15" fillId="0" borderId="0" applyFont="0" applyFill="0" applyBorder="0" applyAlignment="0" applyProtection="0"/>
    <xf numFmtId="293" fontId="57" fillId="0" borderId="0" applyFill="0" applyBorder="0" applyAlignment="0"/>
    <xf numFmtId="290" fontId="57" fillId="0" borderId="0" applyFill="0" applyBorder="0" applyAlignment="0"/>
    <xf numFmtId="293" fontId="57" fillId="0" borderId="0" applyFill="0" applyBorder="0" applyAlignment="0"/>
    <xf numFmtId="294" fontId="57" fillId="0" borderId="0" applyFill="0" applyBorder="0" applyAlignment="0"/>
    <xf numFmtId="290" fontId="57" fillId="0" borderId="0" applyFill="0" applyBorder="0" applyAlignment="0"/>
    <xf numFmtId="37" fontId="4" fillId="0" borderId="0" applyFont="0" applyFill="0" applyBorder="0" applyAlignment="0" applyProtection="0"/>
    <xf numFmtId="0" fontId="26" fillId="0" borderId="0"/>
    <xf numFmtId="49" fontId="158" fillId="0" borderId="0" applyFill="0" applyBorder="0" applyAlignment="0"/>
    <xf numFmtId="0" fontId="15" fillId="0" borderId="0" applyFill="0" applyBorder="0" applyAlignment="0"/>
    <xf numFmtId="0" fontId="15" fillId="0" borderId="0" applyFill="0" applyBorder="0" applyAlignment="0"/>
    <xf numFmtId="0" fontId="168" fillId="0" borderId="0" applyNumberFormat="0" applyFill="0" applyBorder="0" applyAlignment="0" applyProtection="0">
      <alignment vertical="center"/>
    </xf>
    <xf numFmtId="0" fontId="33" fillId="0" borderId="0" applyFont="0" applyFill="0" applyBorder="0" applyAlignment="0" applyProtection="0"/>
    <xf numFmtId="286" fontId="4" fillId="0" borderId="0" applyFont="0" applyFill="0" applyBorder="0" applyAlignment="0" applyProtection="0"/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10" borderId="0" applyNumberFormat="0" applyBorder="0" applyAlignment="0" applyProtection="0">
      <alignment vertical="center"/>
    </xf>
    <xf numFmtId="0" fontId="69" fillId="10" borderId="0" applyNumberFormat="0" applyBorder="0" applyAlignment="0" applyProtection="0">
      <alignment vertical="center"/>
    </xf>
    <xf numFmtId="0" fontId="69" fillId="10" borderId="0" applyNumberFormat="0" applyBorder="0" applyAlignment="0" applyProtection="0">
      <alignment vertical="center"/>
    </xf>
    <xf numFmtId="0" fontId="69" fillId="10" borderId="0" applyNumberFormat="0" applyBorder="0" applyAlignment="0" applyProtection="0">
      <alignment vertical="center"/>
    </xf>
    <xf numFmtId="0" fontId="69" fillId="10" borderId="0" applyNumberFormat="0" applyBorder="0" applyAlignment="0" applyProtection="0">
      <alignment vertical="center"/>
    </xf>
    <xf numFmtId="0" fontId="69" fillId="10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298" fontId="9" fillId="0" borderId="4" applyNumberFormat="0" applyBorder="0" applyAlignment="0">
      <alignment horizontal="center" vertical="center"/>
    </xf>
    <xf numFmtId="298" fontId="9" fillId="0" borderId="4" applyNumberFormat="0" applyBorder="0" applyAlignment="0">
      <alignment horizontal="center" vertical="center"/>
    </xf>
    <xf numFmtId="298" fontId="9" fillId="0" borderId="4" applyNumberFormat="0" applyBorder="0" applyAlignment="0">
      <alignment horizontal="center" vertical="center"/>
    </xf>
    <xf numFmtId="298" fontId="9" fillId="0" borderId="4" applyNumberFormat="0" applyBorder="0" applyAlignment="0">
      <alignment horizontal="center" vertical="center"/>
    </xf>
    <xf numFmtId="0" fontId="169" fillId="34" borderId="12" applyNumberFormat="0" applyAlignment="0" applyProtection="0">
      <alignment vertical="center"/>
    </xf>
    <xf numFmtId="0" fontId="169" fillId="34" borderId="12" applyNumberFormat="0" applyAlignment="0" applyProtection="0">
      <alignment vertical="center"/>
    </xf>
    <xf numFmtId="0" fontId="169" fillId="34" borderId="12" applyNumberFormat="0" applyAlignment="0" applyProtection="0">
      <alignment vertical="center"/>
    </xf>
    <xf numFmtId="0" fontId="169" fillId="34" borderId="12" applyNumberFormat="0" applyAlignment="0" applyProtection="0">
      <alignment vertical="center"/>
    </xf>
    <xf numFmtId="0" fontId="169" fillId="34" borderId="12" applyNumberFormat="0" applyAlignment="0" applyProtection="0">
      <alignment vertical="center"/>
    </xf>
    <xf numFmtId="0" fontId="169" fillId="34" borderId="12" applyNumberFormat="0" applyAlignment="0" applyProtection="0">
      <alignment vertical="center"/>
    </xf>
    <xf numFmtId="0" fontId="4" fillId="0" borderId="0" applyNumberFormat="0" applyFill="0" applyBorder="0" applyAlignment="0">
      <alignment horizontal="left"/>
    </xf>
    <xf numFmtId="0" fontId="75" fillId="9" borderId="0" applyNumberFormat="0" applyBorder="0" applyAlignment="0" applyProtection="0">
      <alignment vertical="center"/>
    </xf>
    <xf numFmtId="0" fontId="75" fillId="9" borderId="0" applyNumberFormat="0" applyBorder="0" applyAlignment="0" applyProtection="0">
      <alignment vertical="center"/>
    </xf>
    <xf numFmtId="0" fontId="75" fillId="9" borderId="0" applyNumberFormat="0" applyBorder="0" applyAlignment="0" applyProtection="0">
      <alignment vertical="center"/>
    </xf>
    <xf numFmtId="0" fontId="75" fillId="9" borderId="0" applyNumberFormat="0" applyBorder="0" applyAlignment="0" applyProtection="0">
      <alignment vertical="center"/>
    </xf>
    <xf numFmtId="0" fontId="75" fillId="9" borderId="0" applyNumberFormat="0" applyBorder="0" applyAlignment="0" applyProtection="0">
      <alignment vertical="center"/>
    </xf>
    <xf numFmtId="0" fontId="75" fillId="9" borderId="0" applyNumberFormat="0" applyBorder="0" applyAlignment="0" applyProtection="0">
      <alignment vertical="center"/>
    </xf>
    <xf numFmtId="0" fontId="170" fillId="0" borderId="0">
      <alignment vertical="center"/>
    </xf>
    <xf numFmtId="0" fontId="6" fillId="0" borderId="17">
      <alignment horizontal="center" vertical="center"/>
    </xf>
    <xf numFmtId="0" fontId="11" fillId="0" borderId="0">
      <alignment vertical="center"/>
    </xf>
    <xf numFmtId="40" fontId="171" fillId="0" borderId="0" applyFont="0" applyFill="0" applyBorder="0" applyAlignment="0" applyProtection="0"/>
    <xf numFmtId="38" fontId="171" fillId="0" borderId="0" applyFont="0" applyFill="0" applyBorder="0" applyAlignment="0" applyProtection="0"/>
    <xf numFmtId="0" fontId="4" fillId="5" borderId="15" applyNumberFormat="0" applyFont="0" applyAlignment="0" applyProtection="0">
      <alignment vertical="center"/>
    </xf>
    <xf numFmtId="0" fontId="4" fillId="5" borderId="15" applyNumberFormat="0" applyFont="0" applyAlignment="0" applyProtection="0">
      <alignment vertical="center"/>
    </xf>
    <xf numFmtId="0" fontId="4" fillId="5" borderId="15" applyNumberFormat="0" applyFont="0" applyAlignment="0" applyProtection="0">
      <alignment vertical="center"/>
    </xf>
    <xf numFmtId="0" fontId="4" fillId="5" borderId="15" applyNumberFormat="0" applyFont="0" applyAlignment="0" applyProtection="0">
      <alignment vertical="center"/>
    </xf>
    <xf numFmtId="0" fontId="4" fillId="5" borderId="15" applyNumberFormat="0" applyFont="0" applyAlignment="0" applyProtection="0">
      <alignment vertical="center"/>
    </xf>
    <xf numFmtId="0" fontId="4" fillId="5" borderId="15" applyNumberFormat="0" applyFont="0" applyAlignment="0" applyProtection="0">
      <alignment vertical="center"/>
    </xf>
    <xf numFmtId="0" fontId="171" fillId="0" borderId="0" applyFont="0" applyFill="0" applyBorder="0" applyAlignment="0" applyProtection="0"/>
    <xf numFmtId="0" fontId="17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72" fillId="8" borderId="0" applyNumberFormat="0" applyBorder="0" applyAlignment="0" applyProtection="0">
      <alignment vertical="center"/>
    </xf>
    <xf numFmtId="0" fontId="172" fillId="8" borderId="0" applyNumberFormat="0" applyBorder="0" applyAlignment="0" applyProtection="0">
      <alignment vertical="center"/>
    </xf>
    <xf numFmtId="0" fontId="172" fillId="8" borderId="0" applyNumberFormat="0" applyBorder="0" applyAlignment="0" applyProtection="0">
      <alignment vertical="center"/>
    </xf>
    <xf numFmtId="0" fontId="172" fillId="8" borderId="0" applyNumberFormat="0" applyBorder="0" applyAlignment="0" applyProtection="0">
      <alignment vertical="center"/>
    </xf>
    <xf numFmtId="0" fontId="172" fillId="8" borderId="0" applyNumberFormat="0" applyBorder="0" applyAlignment="0" applyProtection="0">
      <alignment vertical="center"/>
    </xf>
    <xf numFmtId="0" fontId="172" fillId="8" borderId="0" applyNumberFormat="0" applyBorder="0" applyAlignment="0" applyProtection="0">
      <alignment vertical="center"/>
    </xf>
    <xf numFmtId="38" fontId="173" fillId="0" borderId="0" applyFont="0" applyFill="0" applyBorder="0" applyAlignment="0" applyProtection="0"/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19" borderId="21" applyNumberFormat="0" applyAlignment="0" applyProtection="0">
      <alignment vertical="center"/>
    </xf>
    <xf numFmtId="0" fontId="84" fillId="19" borderId="21" applyNumberFormat="0" applyAlignment="0" applyProtection="0">
      <alignment vertical="center"/>
    </xf>
    <xf numFmtId="0" fontId="84" fillId="19" borderId="21" applyNumberFormat="0" applyAlignment="0" applyProtection="0">
      <alignment vertical="center"/>
    </xf>
    <xf numFmtId="0" fontId="84" fillId="19" borderId="21" applyNumberFormat="0" applyAlignment="0" applyProtection="0">
      <alignment vertical="center"/>
    </xf>
    <xf numFmtId="0" fontId="84" fillId="19" borderId="21" applyNumberFormat="0" applyAlignment="0" applyProtection="0">
      <alignment vertical="center"/>
    </xf>
    <xf numFmtId="0" fontId="84" fillId="19" borderId="21" applyNumberFormat="0" applyAlignment="0" applyProtection="0">
      <alignment vertical="center"/>
    </xf>
    <xf numFmtId="3" fontId="10" fillId="0" borderId="0" applyFont="0" applyFill="0" applyBorder="0" applyAlignment="0" applyProtection="0"/>
    <xf numFmtId="3" fontId="174" fillId="0" borderId="0" applyFont="0" applyFill="0" applyBorder="0" applyAlignment="0">
      <alignment horizontal="centerContinuous" vertical="center"/>
    </xf>
    <xf numFmtId="41" fontId="68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5" fillId="0" borderId="0" applyFont="0" applyFill="0" applyBorder="0" applyAlignment="0" applyProtection="0"/>
    <xf numFmtId="299" fontId="11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41" fontId="85" fillId="0" borderId="0" applyFont="0" applyFill="0" applyBorder="0" applyAlignment="0" applyProtection="0"/>
    <xf numFmtId="0" fontId="15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175" fillId="0" borderId="0"/>
    <xf numFmtId="0" fontId="10" fillId="0" borderId="0"/>
    <xf numFmtId="0" fontId="8" fillId="0" borderId="0"/>
    <xf numFmtId="0" fontId="10" fillId="0" borderId="0"/>
    <xf numFmtId="3" fontId="10" fillId="0" borderId="0"/>
    <xf numFmtId="3" fontId="10" fillId="0" borderId="0"/>
    <xf numFmtId="0" fontId="10" fillId="0" borderId="0"/>
    <xf numFmtId="3" fontId="10" fillId="0" borderId="0"/>
    <xf numFmtId="0" fontId="57" fillId="0" borderId="0"/>
    <xf numFmtId="3" fontId="10" fillId="0" borderId="0"/>
    <xf numFmtId="3" fontId="10" fillId="0" borderId="0"/>
    <xf numFmtId="0" fontId="176" fillId="0" borderId="52" applyNumberFormat="0" applyFill="0" applyAlignment="0" applyProtection="0">
      <alignment vertical="center"/>
    </xf>
    <xf numFmtId="0" fontId="176" fillId="0" borderId="52" applyNumberFormat="0" applyFill="0" applyAlignment="0" applyProtection="0">
      <alignment vertical="center"/>
    </xf>
    <xf numFmtId="0" fontId="176" fillId="0" borderId="52" applyNumberFormat="0" applyFill="0" applyAlignment="0" applyProtection="0">
      <alignment vertical="center"/>
    </xf>
    <xf numFmtId="0" fontId="176" fillId="0" borderId="52" applyNumberFormat="0" applyFill="0" applyAlignment="0" applyProtection="0">
      <alignment vertical="center"/>
    </xf>
    <xf numFmtId="0" fontId="176" fillId="0" borderId="52" applyNumberFormat="0" applyFill="0" applyAlignment="0" applyProtection="0">
      <alignment vertical="center"/>
    </xf>
    <xf numFmtId="0" fontId="176" fillId="0" borderId="52" applyNumberFormat="0" applyFill="0" applyAlignment="0" applyProtection="0">
      <alignment vertical="center"/>
    </xf>
    <xf numFmtId="0" fontId="89" fillId="0" borderId="53" applyNumberFormat="0" applyFill="0" applyAlignment="0" applyProtection="0">
      <alignment vertical="center"/>
    </xf>
    <xf numFmtId="0" fontId="89" fillId="0" borderId="53" applyNumberFormat="0" applyFill="0" applyAlignment="0" applyProtection="0">
      <alignment vertical="center"/>
    </xf>
    <xf numFmtId="0" fontId="89" fillId="0" borderId="53" applyNumberFormat="0" applyFill="0" applyAlignment="0" applyProtection="0">
      <alignment vertical="center"/>
    </xf>
    <xf numFmtId="0" fontId="89" fillId="0" borderId="53" applyNumberFormat="0" applyFill="0" applyAlignment="0" applyProtection="0">
      <alignment vertical="center"/>
    </xf>
    <xf numFmtId="0" fontId="89" fillId="0" borderId="53" applyNumberFormat="0" applyFill="0" applyAlignment="0" applyProtection="0">
      <alignment vertical="center"/>
    </xf>
    <xf numFmtId="0" fontId="89" fillId="0" borderId="53" applyNumberFormat="0" applyFill="0" applyAlignment="0" applyProtection="0">
      <alignment vertical="center"/>
    </xf>
    <xf numFmtId="300" fontId="10" fillId="0" borderId="0" applyFont="0" applyFill="0" applyBorder="0" applyAlignment="0" applyProtection="0"/>
    <xf numFmtId="300" fontId="10" fillId="0" borderId="0" applyFont="0" applyFill="0" applyBorder="0" applyAlignment="0" applyProtection="0"/>
    <xf numFmtId="301" fontId="10" fillId="0" borderId="0" applyFont="0" applyFill="0" applyBorder="0" applyAlignment="0" applyProtection="0"/>
    <xf numFmtId="301" fontId="10" fillId="0" borderId="0" applyFont="0" applyFill="0" applyBorder="0" applyAlignment="0" applyProtection="0"/>
    <xf numFmtId="301" fontId="10" fillId="0" borderId="0" applyFont="0" applyFill="0" applyBorder="0" applyAlignment="0" applyProtection="0"/>
    <xf numFmtId="301" fontId="10" fillId="0" borderId="0" applyFont="0" applyFill="0" applyBorder="0" applyAlignment="0" applyProtection="0"/>
    <xf numFmtId="302" fontId="4" fillId="0" borderId="0" applyFont="0" applyFill="0" applyBorder="0" applyAlignment="0" applyProtection="0"/>
    <xf numFmtId="300" fontId="10" fillId="0" borderId="0" applyFont="0" applyFill="0" applyBorder="0" applyAlignment="0" applyProtection="0"/>
    <xf numFmtId="300" fontId="10" fillId="0" borderId="0" applyFont="0" applyFill="0" applyBorder="0" applyAlignment="0" applyProtection="0"/>
    <xf numFmtId="300" fontId="10" fillId="0" borderId="0" applyFont="0" applyFill="0" applyBorder="0" applyAlignment="0" applyProtection="0"/>
    <xf numFmtId="241" fontId="91" fillId="0" borderId="0" applyFont="0" applyFill="0" applyBorder="0" applyAlignment="0" applyProtection="0"/>
    <xf numFmtId="241" fontId="91" fillId="0" borderId="0" applyFont="0" applyFill="0" applyBorder="0" applyAlignment="0" applyProtection="0"/>
    <xf numFmtId="301" fontId="10" fillId="0" borderId="0" applyFont="0" applyFill="0" applyBorder="0" applyAlignment="0" applyProtection="0"/>
    <xf numFmtId="301" fontId="10" fillId="0" borderId="0" applyFont="0" applyFill="0" applyBorder="0" applyAlignment="0" applyProtection="0"/>
    <xf numFmtId="300" fontId="10" fillId="0" borderId="0" applyFont="0" applyFill="0" applyBorder="0" applyAlignment="0" applyProtection="0"/>
    <xf numFmtId="242" fontId="4" fillId="0" borderId="0" applyFont="0" applyFill="0" applyBorder="0" applyAlignment="0" applyProtection="0"/>
    <xf numFmtId="242" fontId="4" fillId="0" borderId="0" applyFont="0" applyFill="0" applyBorder="0" applyAlignment="0" applyProtection="0"/>
    <xf numFmtId="301" fontId="10" fillId="0" borderId="0" applyFont="0" applyFill="0" applyBorder="0" applyAlignment="0" applyProtection="0"/>
    <xf numFmtId="241" fontId="91" fillId="0" borderId="0" applyFont="0" applyFill="0" applyBorder="0" applyAlignment="0" applyProtection="0"/>
    <xf numFmtId="244" fontId="10" fillId="0" borderId="0" applyFont="0" applyFill="0" applyBorder="0" applyAlignment="0" applyProtection="0"/>
    <xf numFmtId="242" fontId="4" fillId="0" borderId="0" applyFont="0" applyFill="0" applyBorder="0" applyAlignment="0" applyProtection="0"/>
    <xf numFmtId="303" fontId="4" fillId="0" borderId="0" applyFont="0" applyFill="0" applyBorder="0" applyAlignment="0" applyProtection="0"/>
    <xf numFmtId="211" fontId="10" fillId="0" borderId="0" applyFont="0" applyFill="0" applyBorder="0" applyAlignment="0" applyProtection="0"/>
    <xf numFmtId="303" fontId="4" fillId="0" borderId="0" applyFont="0" applyFill="0" applyBorder="0" applyAlignment="0" applyProtection="0"/>
    <xf numFmtId="301" fontId="10" fillId="0" borderId="0" applyFont="0" applyFill="0" applyBorder="0" applyAlignment="0" applyProtection="0"/>
    <xf numFmtId="239" fontId="4" fillId="0" borderId="0" applyFont="0" applyFill="0" applyBorder="0" applyAlignment="0" applyProtection="0"/>
    <xf numFmtId="301" fontId="10" fillId="0" borderId="0" applyFont="0" applyFill="0" applyBorder="0" applyAlignment="0" applyProtection="0"/>
    <xf numFmtId="239" fontId="4" fillId="0" borderId="0" applyFont="0" applyFill="0" applyBorder="0" applyAlignment="0" applyProtection="0"/>
    <xf numFmtId="303" fontId="4" fillId="0" borderId="0" applyFont="0" applyFill="0" applyBorder="0" applyAlignment="0" applyProtection="0"/>
    <xf numFmtId="301" fontId="10" fillId="0" borderId="0" applyFont="0" applyFill="0" applyBorder="0" applyAlignment="0" applyProtection="0"/>
    <xf numFmtId="301" fontId="10" fillId="0" borderId="0" applyFont="0" applyFill="0" applyBorder="0" applyAlignment="0" applyProtection="0"/>
    <xf numFmtId="301" fontId="10" fillId="0" borderId="0" applyFont="0" applyFill="0" applyBorder="0" applyAlignment="0" applyProtection="0"/>
    <xf numFmtId="250" fontId="4" fillId="0" borderId="0" applyFont="0" applyFill="0" applyBorder="0" applyAlignment="0" applyProtection="0"/>
    <xf numFmtId="303" fontId="4" fillId="0" borderId="0" applyFont="0" applyFill="0" applyBorder="0" applyAlignment="0" applyProtection="0"/>
    <xf numFmtId="242" fontId="4" fillId="0" borderId="0" applyFont="0" applyFill="0" applyBorder="0" applyAlignment="0" applyProtection="0"/>
    <xf numFmtId="300" fontId="10" fillId="0" borderId="0" applyFont="0" applyFill="0" applyBorder="0" applyAlignment="0" applyProtection="0"/>
    <xf numFmtId="303" fontId="4" fillId="0" borderId="0" applyFont="0" applyFill="0" applyBorder="0" applyAlignment="0" applyProtection="0"/>
    <xf numFmtId="242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301" fontId="10" fillId="0" borderId="0" applyFont="0" applyFill="0" applyBorder="0" applyAlignment="0" applyProtection="0"/>
    <xf numFmtId="241" fontId="91" fillId="0" borderId="0" applyFont="0" applyFill="0" applyBorder="0" applyAlignment="0" applyProtection="0"/>
    <xf numFmtId="241" fontId="91" fillId="0" borderId="0" applyFont="0" applyFill="0" applyBorder="0" applyAlignment="0" applyProtection="0"/>
    <xf numFmtId="242" fontId="4" fillId="0" borderId="0" applyFont="0" applyFill="0" applyBorder="0" applyAlignment="0" applyProtection="0"/>
    <xf numFmtId="301" fontId="10" fillId="0" borderId="0" applyFont="0" applyFill="0" applyBorder="0" applyAlignment="0" applyProtection="0"/>
    <xf numFmtId="242" fontId="4" fillId="0" borderId="0" applyFont="0" applyFill="0" applyBorder="0" applyAlignment="0" applyProtection="0"/>
    <xf numFmtId="0" fontId="92" fillId="6" borderId="12" applyNumberFormat="0" applyAlignment="0" applyProtection="0">
      <alignment vertical="center"/>
    </xf>
    <xf numFmtId="0" fontId="92" fillId="6" borderId="12" applyNumberFormat="0" applyAlignment="0" applyProtection="0">
      <alignment vertical="center"/>
    </xf>
    <xf numFmtId="0" fontId="92" fillId="6" borderId="12" applyNumberFormat="0" applyAlignment="0" applyProtection="0">
      <alignment vertical="center"/>
    </xf>
    <xf numFmtId="0" fontId="92" fillId="6" borderId="12" applyNumberFormat="0" applyAlignment="0" applyProtection="0">
      <alignment vertical="center"/>
    </xf>
    <xf numFmtId="0" fontId="92" fillId="6" borderId="12" applyNumberFormat="0" applyAlignment="0" applyProtection="0">
      <alignment vertical="center"/>
    </xf>
    <xf numFmtId="0" fontId="92" fillId="6" borderId="12" applyNumberFormat="0" applyAlignment="0" applyProtection="0">
      <alignment vertical="center"/>
    </xf>
    <xf numFmtId="0" fontId="177" fillId="0" borderId="54" applyNumberFormat="0" applyFill="0" applyAlignment="0" applyProtection="0">
      <alignment vertical="center"/>
    </xf>
    <xf numFmtId="0" fontId="177" fillId="0" borderId="54" applyNumberFormat="0" applyFill="0" applyAlignment="0" applyProtection="0">
      <alignment vertical="center"/>
    </xf>
    <xf numFmtId="0" fontId="177" fillId="0" borderId="54" applyNumberFormat="0" applyFill="0" applyAlignment="0" applyProtection="0">
      <alignment vertical="center"/>
    </xf>
    <xf numFmtId="0" fontId="177" fillId="0" borderId="54" applyNumberFormat="0" applyFill="0" applyAlignment="0" applyProtection="0">
      <alignment vertical="center"/>
    </xf>
    <xf numFmtId="0" fontId="177" fillId="0" borderId="54" applyNumberFormat="0" applyFill="0" applyAlignment="0" applyProtection="0">
      <alignment vertical="center"/>
    </xf>
    <xf numFmtId="0" fontId="177" fillId="0" borderId="54" applyNumberFormat="0" applyFill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9" fillId="0" borderId="55" applyNumberFormat="0" applyFill="0" applyAlignment="0" applyProtection="0">
      <alignment vertical="center"/>
    </xf>
    <xf numFmtId="0" fontId="179" fillId="0" borderId="55" applyNumberFormat="0" applyFill="0" applyAlignment="0" applyProtection="0">
      <alignment vertical="center"/>
    </xf>
    <xf numFmtId="0" fontId="179" fillId="0" borderId="55" applyNumberFormat="0" applyFill="0" applyAlignment="0" applyProtection="0">
      <alignment vertical="center"/>
    </xf>
    <xf numFmtId="0" fontId="179" fillId="0" borderId="55" applyNumberFormat="0" applyFill="0" applyAlignment="0" applyProtection="0">
      <alignment vertical="center"/>
    </xf>
    <xf numFmtId="0" fontId="179" fillId="0" borderId="55" applyNumberFormat="0" applyFill="0" applyAlignment="0" applyProtection="0">
      <alignment vertical="center"/>
    </xf>
    <xf numFmtId="0" fontId="179" fillId="0" borderId="55" applyNumberFormat="0" applyFill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80" fillId="0" borderId="51" applyNumberFormat="0" applyFill="0" applyAlignment="0" applyProtection="0">
      <alignment vertical="center"/>
    </xf>
    <xf numFmtId="0" fontId="180" fillId="0" borderId="51" applyNumberFormat="0" applyFill="0" applyAlignment="0" applyProtection="0">
      <alignment vertical="center"/>
    </xf>
    <xf numFmtId="0" fontId="180" fillId="0" borderId="51" applyNumberFormat="0" applyFill="0" applyAlignment="0" applyProtection="0">
      <alignment vertical="center"/>
    </xf>
    <xf numFmtId="0" fontId="180" fillId="0" borderId="51" applyNumberFormat="0" applyFill="0" applyAlignment="0" applyProtection="0">
      <alignment vertical="center"/>
    </xf>
    <xf numFmtId="0" fontId="180" fillId="0" borderId="51" applyNumberFormat="0" applyFill="0" applyAlignment="0" applyProtection="0">
      <alignment vertical="center"/>
    </xf>
    <xf numFmtId="0" fontId="180" fillId="0" borderId="51" applyNumberFormat="0" applyFill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44" fillId="0" borderId="0"/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99" fillId="27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100" fillId="34" borderId="31" applyNumberFormat="0" applyAlignment="0" applyProtection="0">
      <alignment vertical="center"/>
    </xf>
    <xf numFmtId="0" fontId="100" fillId="34" borderId="31" applyNumberFormat="0" applyAlignment="0" applyProtection="0">
      <alignment vertical="center"/>
    </xf>
    <xf numFmtId="0" fontId="100" fillId="34" borderId="31" applyNumberFormat="0" applyAlignment="0" applyProtection="0">
      <alignment vertical="center"/>
    </xf>
    <xf numFmtId="0" fontId="100" fillId="34" borderId="31" applyNumberFormat="0" applyAlignment="0" applyProtection="0">
      <alignment vertical="center"/>
    </xf>
    <xf numFmtId="0" fontId="100" fillId="34" borderId="31" applyNumberFormat="0" applyAlignment="0" applyProtection="0">
      <alignment vertical="center"/>
    </xf>
    <xf numFmtId="0" fontId="100" fillId="34" borderId="31" applyNumberFormat="0" applyAlignment="0" applyProtection="0">
      <alignment vertical="center"/>
    </xf>
    <xf numFmtId="0" fontId="6" fillId="0" borderId="17" applyFill="0" applyProtection="0">
      <alignment horizontal="center" vertical="center"/>
    </xf>
    <xf numFmtId="43" fontId="4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5" fillId="0" borderId="0"/>
    <xf numFmtId="0" fontId="4" fillId="0" borderId="0">
      <alignment vertical="center"/>
    </xf>
    <xf numFmtId="0" fontId="4" fillId="0" borderId="0">
      <alignment vertical="center"/>
    </xf>
    <xf numFmtId="0" fontId="8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0"/>
    <xf numFmtId="0" fontId="53" fillId="0" borderId="17">
      <alignment horizontal="center" vertical="center" wrapText="1"/>
    </xf>
    <xf numFmtId="0" fontId="4" fillId="0" borderId="0" applyFont="0" applyFill="0" applyBorder="0" applyAlignment="0" applyProtection="0"/>
    <xf numFmtId="304" fontId="10" fillId="0" borderId="0">
      <protection locked="0"/>
    </xf>
    <xf numFmtId="0" fontId="181" fillId="0" borderId="0" applyNumberFormat="0" applyFont="0" applyBorder="0" applyAlignment="0">
      <alignment horizontal="centerContinuous"/>
      <protection locked="0"/>
    </xf>
    <xf numFmtId="0" fontId="182" fillId="0" borderId="0" applyFont="0" applyFill="0" applyBorder="0" applyAlignment="0" applyProtection="0"/>
    <xf numFmtId="0" fontId="3" fillId="0" borderId="0">
      <alignment vertical="center"/>
    </xf>
    <xf numFmtId="0" fontId="4" fillId="0" borderId="0">
      <alignment vertical="center"/>
    </xf>
    <xf numFmtId="0" fontId="33" fillId="0" borderId="0" applyFont="0" applyFill="0" applyBorder="0" applyAlignment="0" applyProtection="0"/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4" fillId="0" borderId="0"/>
    <xf numFmtId="0" fontId="4" fillId="0" borderId="0"/>
    <xf numFmtId="0" fontId="184" fillId="0" borderId="0">
      <protection locked="0"/>
    </xf>
    <xf numFmtId="0" fontId="184" fillId="0" borderId="0">
      <protection locked="0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9" borderId="0" applyNumberFormat="0" applyBorder="0" applyAlignment="0" applyProtection="0">
      <alignment vertical="center"/>
    </xf>
    <xf numFmtId="0" fontId="68" fillId="9" borderId="0" applyNumberFormat="0" applyBorder="0" applyAlignment="0" applyProtection="0">
      <alignment vertical="center"/>
    </xf>
    <xf numFmtId="0" fontId="68" fillId="9" borderId="0" applyNumberFormat="0" applyBorder="0" applyAlignment="0" applyProtection="0">
      <alignment vertical="center"/>
    </xf>
    <xf numFmtId="0" fontId="68" fillId="9" borderId="0" applyNumberFormat="0" applyBorder="0" applyAlignment="0" applyProtection="0">
      <alignment vertical="center"/>
    </xf>
    <xf numFmtId="0" fontId="68" fillId="9" borderId="0" applyNumberFormat="0" applyBorder="0" applyAlignment="0" applyProtection="0">
      <alignment vertical="center"/>
    </xf>
    <xf numFmtId="0" fontId="68" fillId="9" borderId="0" applyNumberFormat="0" applyBorder="0" applyAlignment="0" applyProtection="0">
      <alignment vertical="center"/>
    </xf>
    <xf numFmtId="0" fontId="68" fillId="9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7" borderId="0" applyNumberFormat="0" applyBorder="0" applyAlignment="0" applyProtection="0">
      <alignment vertical="center"/>
    </xf>
    <xf numFmtId="0" fontId="68" fillId="7" borderId="0" applyNumberFormat="0" applyBorder="0" applyAlignment="0" applyProtection="0">
      <alignment vertical="center"/>
    </xf>
    <xf numFmtId="0" fontId="68" fillId="7" borderId="0" applyNumberFormat="0" applyBorder="0" applyAlignment="0" applyProtection="0">
      <alignment vertical="center"/>
    </xf>
    <xf numFmtId="0" fontId="68" fillId="7" borderId="0" applyNumberFormat="0" applyBorder="0" applyAlignment="0" applyProtection="0">
      <alignment vertical="center"/>
    </xf>
    <xf numFmtId="0" fontId="68" fillId="7" borderId="0" applyNumberFormat="0" applyBorder="0" applyAlignment="0" applyProtection="0">
      <alignment vertical="center"/>
    </xf>
    <xf numFmtId="0" fontId="68" fillId="7" borderId="0" applyNumberFormat="0" applyBorder="0" applyAlignment="0" applyProtection="0">
      <alignment vertical="center"/>
    </xf>
    <xf numFmtId="0" fontId="68" fillId="7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7" fillId="0" borderId="0" applyFont="0" applyFill="0" applyBorder="0" applyAlignment="0" applyProtection="0"/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4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29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4" fillId="0" borderId="4">
      <alignment vertical="center"/>
    </xf>
    <xf numFmtId="0" fontId="14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3" fillId="0" borderId="0">
      <protection locked="0"/>
    </xf>
    <xf numFmtId="0" fontId="184" fillId="0" borderId="0">
      <protection locked="0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09" fillId="0" borderId="0" applyFont="0" applyFill="0" applyBorder="0" applyAlignment="0" applyProtection="0"/>
    <xf numFmtId="0" fontId="184" fillId="0" borderId="0">
      <protection locked="0"/>
    </xf>
    <xf numFmtId="0" fontId="15" fillId="0" borderId="0" applyFont="0" applyFill="0" applyBorder="0" applyAlignment="0" applyProtection="0"/>
    <xf numFmtId="0" fontId="185" fillId="0" borderId="0"/>
    <xf numFmtId="0" fontId="186" fillId="0" borderId="0"/>
    <xf numFmtId="0" fontId="187" fillId="0" borderId="0"/>
    <xf numFmtId="0" fontId="187" fillId="0" borderId="0"/>
    <xf numFmtId="0" fontId="14" fillId="0" borderId="0"/>
    <xf numFmtId="0" fontId="30" fillId="0" borderId="0"/>
    <xf numFmtId="0" fontId="14" fillId="0" borderId="0"/>
    <xf numFmtId="0" fontId="30" fillId="0" borderId="0"/>
    <xf numFmtId="0" fontId="186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10" fillId="0" borderId="4" applyFill="0" applyBorder="0" applyAlignment="0"/>
    <xf numFmtId="0" fontId="188" fillId="0" borderId="0" applyNumberFormat="0" applyFill="0" applyBorder="0" applyAlignment="0" applyProtection="0">
      <alignment vertical="top"/>
      <protection locked="0"/>
    </xf>
    <xf numFmtId="0" fontId="188" fillId="0" borderId="0" applyNumberFormat="0" applyFill="0" applyBorder="0" applyAlignment="0" applyProtection="0">
      <alignment vertical="top"/>
      <protection locked="0"/>
    </xf>
    <xf numFmtId="0" fontId="188" fillId="0" borderId="0" applyNumberFormat="0" applyFill="0" applyBorder="0" applyAlignment="0" applyProtection="0">
      <alignment vertical="top"/>
      <protection locked="0"/>
    </xf>
    <xf numFmtId="0" fontId="188" fillId="0" borderId="0" applyNumberFormat="0" applyFill="0" applyBorder="0" applyAlignment="0" applyProtection="0">
      <alignment vertical="top"/>
      <protection locked="0"/>
    </xf>
    <xf numFmtId="0" fontId="188" fillId="0" borderId="0" applyNumberFormat="0" applyFill="0" applyBorder="0" applyAlignment="0" applyProtection="0">
      <alignment vertical="top"/>
      <protection locked="0"/>
    </xf>
    <xf numFmtId="0" fontId="188" fillId="0" borderId="0" applyNumberFormat="0" applyFill="0" applyBorder="0" applyAlignment="0" applyProtection="0">
      <alignment vertical="top"/>
      <protection locked="0"/>
    </xf>
    <xf numFmtId="0" fontId="188" fillId="0" borderId="0" applyNumberFormat="0" applyFill="0" applyBorder="0" applyAlignment="0" applyProtection="0">
      <alignment vertical="top"/>
      <protection locked="0"/>
    </xf>
    <xf numFmtId="0" fontId="188" fillId="0" borderId="0" applyNumberFormat="0" applyFill="0" applyBorder="0" applyAlignment="0" applyProtection="0">
      <alignment vertical="top"/>
      <protection locked="0"/>
    </xf>
    <xf numFmtId="0" fontId="188" fillId="0" borderId="0" applyNumberFormat="0" applyFill="0" applyBorder="0" applyAlignment="0" applyProtection="0">
      <alignment vertical="top"/>
      <protection locked="0"/>
    </xf>
    <xf numFmtId="0" fontId="188" fillId="0" borderId="0" applyNumberFormat="0" applyFill="0" applyBorder="0" applyAlignment="0" applyProtection="0">
      <alignment vertical="top"/>
      <protection locked="0"/>
    </xf>
    <xf numFmtId="0" fontId="188" fillId="0" borderId="0" applyNumberFormat="0" applyFill="0" applyBorder="0" applyAlignment="0" applyProtection="0">
      <alignment vertical="top"/>
      <protection locked="0"/>
    </xf>
    <xf numFmtId="0" fontId="189" fillId="0" borderId="0" applyNumberFormat="0" applyFill="0" applyBorder="0" applyAlignment="0" applyProtection="0">
      <alignment vertical="top"/>
      <protection locked="0"/>
    </xf>
    <xf numFmtId="0" fontId="189" fillId="0" borderId="0" applyNumberFormat="0" applyFill="0" applyBorder="0" applyAlignment="0" applyProtection="0">
      <alignment vertical="top"/>
      <protection locked="0"/>
    </xf>
    <xf numFmtId="0" fontId="189" fillId="0" borderId="0" applyNumberFormat="0" applyFill="0" applyBorder="0" applyAlignment="0" applyProtection="0">
      <alignment vertical="top"/>
      <protection locked="0"/>
    </xf>
    <xf numFmtId="0" fontId="189" fillId="0" borderId="0" applyNumberFormat="0" applyFill="0" applyBorder="0" applyAlignment="0" applyProtection="0">
      <alignment vertical="top"/>
      <protection locked="0"/>
    </xf>
    <xf numFmtId="0" fontId="189" fillId="0" borderId="0" applyNumberFormat="0" applyFill="0" applyBorder="0" applyAlignment="0" applyProtection="0">
      <alignment vertical="top"/>
      <protection locked="0"/>
    </xf>
    <xf numFmtId="0" fontId="189" fillId="0" borderId="0" applyNumberFormat="0" applyFill="0" applyBorder="0" applyAlignment="0" applyProtection="0">
      <alignment vertical="top"/>
      <protection locked="0"/>
    </xf>
    <xf numFmtId="0" fontId="189" fillId="0" borderId="0" applyNumberFormat="0" applyFill="0" applyBorder="0" applyAlignment="0" applyProtection="0">
      <alignment vertical="top"/>
      <protection locked="0"/>
    </xf>
    <xf numFmtId="0" fontId="189" fillId="0" borderId="0" applyNumberFormat="0" applyFill="0" applyBorder="0" applyAlignment="0" applyProtection="0">
      <alignment vertical="top"/>
      <protection locked="0"/>
    </xf>
    <xf numFmtId="0" fontId="189" fillId="0" borderId="0" applyNumberFormat="0" applyFill="0" applyBorder="0" applyAlignment="0" applyProtection="0">
      <alignment vertical="top"/>
      <protection locked="0"/>
    </xf>
    <xf numFmtId="0" fontId="189" fillId="0" borderId="0" applyNumberFormat="0" applyFill="0" applyBorder="0" applyAlignment="0" applyProtection="0">
      <alignment vertical="top"/>
      <protection locked="0"/>
    </xf>
    <xf numFmtId="0" fontId="189" fillId="0" borderId="0" applyNumberFormat="0" applyFill="0" applyBorder="0" applyAlignment="0" applyProtection="0">
      <alignment vertical="top"/>
      <protection locked="0"/>
    </xf>
    <xf numFmtId="0" fontId="92" fillId="8" borderId="12" applyNumberFormat="0" applyAlignment="0" applyProtection="0">
      <alignment vertical="center"/>
    </xf>
    <xf numFmtId="0" fontId="4" fillId="0" borderId="4">
      <alignment vertical="center"/>
    </xf>
    <xf numFmtId="0" fontId="4" fillId="0" borderId="4">
      <alignment horizontal="right" vertical="center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13" fillId="0" borderId="0">
      <protection locked="0"/>
    </xf>
    <xf numFmtId="0" fontId="15" fillId="0" borderId="0" applyFont="0" applyFill="0" applyBorder="0" applyAlignment="0" applyProtection="0"/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3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30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14" borderId="0" applyNumberFormat="0" applyBorder="0" applyAlignment="0" applyProtection="0">
      <alignment vertical="center"/>
    </xf>
    <xf numFmtId="0" fontId="69" fillId="10" borderId="0" applyNumberFormat="0" applyBorder="0" applyAlignment="0" applyProtection="0">
      <alignment vertical="center"/>
    </xf>
    <xf numFmtId="0" fontId="69" fillId="10" borderId="0" applyNumberFormat="0" applyBorder="0" applyAlignment="0" applyProtection="0">
      <alignment vertical="center"/>
    </xf>
    <xf numFmtId="0" fontId="69" fillId="10" borderId="0" applyNumberFormat="0" applyBorder="0" applyAlignment="0" applyProtection="0">
      <alignment vertical="center"/>
    </xf>
    <xf numFmtId="0" fontId="69" fillId="10" borderId="0" applyNumberFormat="0" applyBorder="0" applyAlignment="0" applyProtection="0">
      <alignment vertical="center"/>
    </xf>
    <xf numFmtId="0" fontId="69" fillId="10" borderId="0" applyNumberFormat="0" applyBorder="0" applyAlignment="0" applyProtection="0">
      <alignment vertical="center"/>
    </xf>
    <xf numFmtId="0" fontId="69" fillId="10" borderId="0" applyNumberFormat="0" applyBorder="0" applyAlignment="0" applyProtection="0">
      <alignment vertical="center"/>
    </xf>
    <xf numFmtId="0" fontId="69" fillId="10" borderId="0" applyNumberFormat="0" applyBorder="0" applyAlignment="0" applyProtection="0">
      <alignment vertical="center"/>
    </xf>
    <xf numFmtId="0" fontId="4" fillId="0" borderId="4">
      <alignment vertical="center"/>
    </xf>
    <xf numFmtId="0" fontId="4" fillId="0" borderId="4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169" fillId="34" borderId="12" applyNumberFormat="0" applyAlignment="0" applyProtection="0">
      <alignment vertical="center"/>
    </xf>
    <xf numFmtId="0" fontId="169" fillId="34" borderId="12" applyNumberFormat="0" applyAlignment="0" applyProtection="0">
      <alignment vertical="center"/>
    </xf>
    <xf numFmtId="0" fontId="169" fillId="34" borderId="12" applyNumberFormat="0" applyAlignment="0" applyProtection="0">
      <alignment vertical="center"/>
    </xf>
    <xf numFmtId="0" fontId="169" fillId="34" borderId="12" applyNumberFormat="0" applyAlignment="0" applyProtection="0">
      <alignment vertical="center"/>
    </xf>
    <xf numFmtId="0" fontId="169" fillId="34" borderId="12" applyNumberFormat="0" applyAlignment="0" applyProtection="0">
      <alignment vertical="center"/>
    </xf>
    <xf numFmtId="0" fontId="169" fillId="34" borderId="12" applyNumberFormat="0" applyAlignment="0" applyProtection="0">
      <alignment vertical="center"/>
    </xf>
    <xf numFmtId="0" fontId="169" fillId="34" borderId="12" applyNumberFormat="0" applyAlignment="0" applyProtection="0">
      <alignment vertical="center"/>
    </xf>
    <xf numFmtId="0" fontId="75" fillId="9" borderId="0" applyNumberFormat="0" applyBorder="0" applyAlignment="0" applyProtection="0">
      <alignment vertical="center"/>
    </xf>
    <xf numFmtId="0" fontId="75" fillId="9" borderId="0" applyNumberFormat="0" applyBorder="0" applyAlignment="0" applyProtection="0">
      <alignment vertical="center"/>
    </xf>
    <xf numFmtId="0" fontId="75" fillId="9" borderId="0" applyNumberFormat="0" applyBorder="0" applyAlignment="0" applyProtection="0">
      <alignment vertical="center"/>
    </xf>
    <xf numFmtId="0" fontId="75" fillId="9" borderId="0" applyNumberFormat="0" applyBorder="0" applyAlignment="0" applyProtection="0">
      <alignment vertical="center"/>
    </xf>
    <xf numFmtId="0" fontId="75" fillId="9" borderId="0" applyNumberFormat="0" applyBorder="0" applyAlignment="0" applyProtection="0">
      <alignment vertical="center"/>
    </xf>
    <xf numFmtId="0" fontId="75" fillId="9" borderId="0" applyNumberFormat="0" applyBorder="0" applyAlignment="0" applyProtection="0">
      <alignment vertical="center"/>
    </xf>
    <xf numFmtId="0" fontId="75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5" borderId="15" applyNumberFormat="0" applyFont="0" applyAlignment="0" applyProtection="0">
      <alignment vertical="center"/>
    </xf>
    <xf numFmtId="0" fontId="4" fillId="5" borderId="15" applyNumberFormat="0" applyFont="0" applyAlignment="0" applyProtection="0">
      <alignment vertical="center"/>
    </xf>
    <xf numFmtId="0" fontId="4" fillId="5" borderId="15" applyNumberFormat="0" applyFont="0" applyAlignment="0" applyProtection="0">
      <alignment vertical="center"/>
    </xf>
    <xf numFmtId="0" fontId="4" fillId="5" borderId="15" applyNumberFormat="0" applyFont="0" applyAlignment="0" applyProtection="0">
      <alignment vertical="center"/>
    </xf>
    <xf numFmtId="0" fontId="4" fillId="5" borderId="15" applyNumberFormat="0" applyFont="0" applyAlignment="0" applyProtection="0">
      <alignment vertical="center"/>
    </xf>
    <xf numFmtId="0" fontId="4" fillId="5" borderId="15" applyNumberFormat="0" applyFont="0" applyAlignment="0" applyProtection="0">
      <alignment vertical="center"/>
    </xf>
    <xf numFmtId="0" fontId="4" fillId="5" borderId="15" applyNumberFormat="0" applyFont="0" applyAlignment="0" applyProtection="0">
      <alignment vertical="center"/>
    </xf>
    <xf numFmtId="0" fontId="190" fillId="0" borderId="0">
      <protection locked="0"/>
    </xf>
    <xf numFmtId="9" fontId="68" fillId="0" borderId="0" applyFont="0" applyFill="0" applyBorder="0" applyAlignment="0" applyProtection="0">
      <alignment vertical="center"/>
    </xf>
    <xf numFmtId="0" fontId="172" fillId="8" borderId="0" applyNumberFormat="0" applyBorder="0" applyAlignment="0" applyProtection="0">
      <alignment vertical="center"/>
    </xf>
    <xf numFmtId="0" fontId="172" fillId="8" borderId="0" applyNumberFormat="0" applyBorder="0" applyAlignment="0" applyProtection="0">
      <alignment vertical="center"/>
    </xf>
    <xf numFmtId="0" fontId="172" fillId="8" borderId="0" applyNumberFormat="0" applyBorder="0" applyAlignment="0" applyProtection="0">
      <alignment vertical="center"/>
    </xf>
    <xf numFmtId="0" fontId="172" fillId="8" borderId="0" applyNumberFormat="0" applyBorder="0" applyAlignment="0" applyProtection="0">
      <alignment vertical="center"/>
    </xf>
    <xf numFmtId="0" fontId="172" fillId="8" borderId="0" applyNumberFormat="0" applyBorder="0" applyAlignment="0" applyProtection="0">
      <alignment vertical="center"/>
    </xf>
    <xf numFmtId="0" fontId="172" fillId="8" borderId="0" applyNumberFormat="0" applyBorder="0" applyAlignment="0" applyProtection="0">
      <alignment vertical="center"/>
    </xf>
    <xf numFmtId="0" fontId="172" fillId="8" borderId="0" applyNumberFormat="0" applyBorder="0" applyAlignment="0" applyProtection="0">
      <alignment vertical="center"/>
    </xf>
    <xf numFmtId="0" fontId="7" fillId="0" borderId="30" applyNumberFormat="0" applyBorder="0" applyAlignment="0"/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19" borderId="21" applyNumberFormat="0" applyAlignment="0" applyProtection="0">
      <alignment vertical="center"/>
    </xf>
    <xf numFmtId="0" fontId="84" fillId="19" borderId="21" applyNumberFormat="0" applyAlignment="0" applyProtection="0">
      <alignment vertical="center"/>
    </xf>
    <xf numFmtId="0" fontId="84" fillId="19" borderId="21" applyNumberFormat="0" applyAlignment="0" applyProtection="0">
      <alignment vertical="center"/>
    </xf>
    <xf numFmtId="0" fontId="84" fillId="19" borderId="21" applyNumberFormat="0" applyAlignment="0" applyProtection="0">
      <alignment vertical="center"/>
    </xf>
    <xf numFmtId="0" fontId="84" fillId="19" borderId="21" applyNumberFormat="0" applyAlignment="0" applyProtection="0">
      <alignment vertical="center"/>
    </xf>
    <xf numFmtId="0" fontId="84" fillId="19" borderId="21" applyNumberFormat="0" applyAlignment="0" applyProtection="0">
      <alignment vertical="center"/>
    </xf>
    <xf numFmtId="0" fontId="84" fillId="19" borderId="21" applyNumberFormat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41" fontId="68" fillId="0" borderId="0" applyFont="0" applyFill="0" applyBorder="0" applyAlignment="0" applyProtection="0">
      <alignment vertical="center"/>
    </xf>
    <xf numFmtId="0" fontId="176" fillId="0" borderId="52" applyNumberFormat="0" applyFill="0" applyAlignment="0" applyProtection="0">
      <alignment vertical="center"/>
    </xf>
    <xf numFmtId="0" fontId="176" fillId="0" borderId="52" applyNumberFormat="0" applyFill="0" applyAlignment="0" applyProtection="0">
      <alignment vertical="center"/>
    </xf>
    <xf numFmtId="0" fontId="176" fillId="0" borderId="52" applyNumberFormat="0" applyFill="0" applyAlignment="0" applyProtection="0">
      <alignment vertical="center"/>
    </xf>
    <xf numFmtId="0" fontId="176" fillId="0" borderId="52" applyNumberFormat="0" applyFill="0" applyAlignment="0" applyProtection="0">
      <alignment vertical="center"/>
    </xf>
    <xf numFmtId="0" fontId="176" fillId="0" borderId="52" applyNumberFormat="0" applyFill="0" applyAlignment="0" applyProtection="0">
      <alignment vertical="center"/>
    </xf>
    <xf numFmtId="0" fontId="176" fillId="0" borderId="52" applyNumberFormat="0" applyFill="0" applyAlignment="0" applyProtection="0">
      <alignment vertical="center"/>
    </xf>
    <xf numFmtId="0" fontId="176" fillId="0" borderId="52" applyNumberFormat="0" applyFill="0" applyAlignment="0" applyProtection="0">
      <alignment vertical="center"/>
    </xf>
    <xf numFmtId="0" fontId="89" fillId="0" borderId="53" applyNumberFormat="0" applyFill="0" applyAlignment="0" applyProtection="0">
      <alignment vertical="center"/>
    </xf>
    <xf numFmtId="0" fontId="89" fillId="0" borderId="53" applyNumberFormat="0" applyFill="0" applyAlignment="0" applyProtection="0">
      <alignment vertical="center"/>
    </xf>
    <xf numFmtId="0" fontId="89" fillId="0" borderId="53" applyNumberFormat="0" applyFill="0" applyAlignment="0" applyProtection="0">
      <alignment vertical="center"/>
    </xf>
    <xf numFmtId="0" fontId="89" fillId="0" borderId="53" applyNumberFormat="0" applyFill="0" applyAlignment="0" applyProtection="0">
      <alignment vertical="center"/>
    </xf>
    <xf numFmtId="0" fontId="89" fillId="0" borderId="53" applyNumberFormat="0" applyFill="0" applyAlignment="0" applyProtection="0">
      <alignment vertical="center"/>
    </xf>
    <xf numFmtId="0" fontId="89" fillId="0" borderId="53" applyNumberFormat="0" applyFill="0" applyAlignment="0" applyProtection="0">
      <alignment vertical="center"/>
    </xf>
    <xf numFmtId="0" fontId="89" fillId="0" borderId="53" applyNumberFormat="0" applyFill="0" applyAlignment="0" applyProtection="0">
      <alignment vertical="center"/>
    </xf>
    <xf numFmtId="0" fontId="92" fillId="6" borderId="12" applyNumberFormat="0" applyAlignment="0" applyProtection="0">
      <alignment vertical="center"/>
    </xf>
    <xf numFmtId="0" fontId="92" fillId="6" borderId="12" applyNumberFormat="0" applyAlignment="0" applyProtection="0">
      <alignment vertical="center"/>
    </xf>
    <xf numFmtId="0" fontId="92" fillId="6" borderId="12" applyNumberFormat="0" applyAlignment="0" applyProtection="0">
      <alignment vertical="center"/>
    </xf>
    <xf numFmtId="0" fontId="92" fillId="6" borderId="12" applyNumberFormat="0" applyAlignment="0" applyProtection="0">
      <alignment vertical="center"/>
    </xf>
    <xf numFmtId="0" fontId="92" fillId="6" borderId="12" applyNumberFormat="0" applyAlignment="0" applyProtection="0">
      <alignment vertical="center"/>
    </xf>
    <xf numFmtId="0" fontId="92" fillId="6" borderId="12" applyNumberFormat="0" applyAlignment="0" applyProtection="0">
      <alignment vertical="center"/>
    </xf>
    <xf numFmtId="0" fontId="92" fillId="6" borderId="12" applyNumberFormat="0" applyAlignment="0" applyProtection="0">
      <alignment vertical="center"/>
    </xf>
    <xf numFmtId="0" fontId="177" fillId="0" borderId="54" applyNumberFormat="0" applyFill="0" applyAlignment="0" applyProtection="0">
      <alignment vertical="center"/>
    </xf>
    <xf numFmtId="0" fontId="177" fillId="0" borderId="54" applyNumberFormat="0" applyFill="0" applyAlignment="0" applyProtection="0">
      <alignment vertical="center"/>
    </xf>
    <xf numFmtId="0" fontId="177" fillId="0" borderId="54" applyNumberFormat="0" applyFill="0" applyAlignment="0" applyProtection="0">
      <alignment vertical="center"/>
    </xf>
    <xf numFmtId="0" fontId="177" fillId="0" borderId="54" applyNumberFormat="0" applyFill="0" applyAlignment="0" applyProtection="0">
      <alignment vertical="center"/>
    </xf>
    <xf numFmtId="0" fontId="177" fillId="0" borderId="54" applyNumberFormat="0" applyFill="0" applyAlignment="0" applyProtection="0">
      <alignment vertical="center"/>
    </xf>
    <xf numFmtId="0" fontId="177" fillId="0" borderId="54" applyNumberFormat="0" applyFill="0" applyAlignment="0" applyProtection="0">
      <alignment vertical="center"/>
    </xf>
    <xf numFmtId="0" fontId="177" fillId="0" borderId="54" applyNumberFormat="0" applyFill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79" fillId="0" borderId="55" applyNumberFormat="0" applyFill="0" applyAlignment="0" applyProtection="0">
      <alignment vertical="center"/>
    </xf>
    <xf numFmtId="0" fontId="179" fillId="0" borderId="55" applyNumberFormat="0" applyFill="0" applyAlignment="0" applyProtection="0">
      <alignment vertical="center"/>
    </xf>
    <xf numFmtId="0" fontId="179" fillId="0" borderId="55" applyNumberFormat="0" applyFill="0" applyAlignment="0" applyProtection="0">
      <alignment vertical="center"/>
    </xf>
    <xf numFmtId="0" fontId="179" fillId="0" borderId="55" applyNumberFormat="0" applyFill="0" applyAlignment="0" applyProtection="0">
      <alignment vertical="center"/>
    </xf>
    <xf numFmtId="0" fontId="179" fillId="0" borderId="55" applyNumberFormat="0" applyFill="0" applyAlignment="0" applyProtection="0">
      <alignment vertical="center"/>
    </xf>
    <xf numFmtId="0" fontId="179" fillId="0" borderId="55" applyNumberFormat="0" applyFill="0" applyAlignment="0" applyProtection="0">
      <alignment vertical="center"/>
    </xf>
    <xf numFmtId="0" fontId="179" fillId="0" borderId="55" applyNumberFormat="0" applyFill="0" applyAlignment="0" applyProtection="0">
      <alignment vertical="center"/>
    </xf>
    <xf numFmtId="0" fontId="180" fillId="0" borderId="51" applyNumberFormat="0" applyFill="0" applyAlignment="0" applyProtection="0">
      <alignment vertical="center"/>
    </xf>
    <xf numFmtId="0" fontId="180" fillId="0" borderId="51" applyNumberFormat="0" applyFill="0" applyAlignment="0" applyProtection="0">
      <alignment vertical="center"/>
    </xf>
    <xf numFmtId="0" fontId="180" fillId="0" borderId="51" applyNumberFormat="0" applyFill="0" applyAlignment="0" applyProtection="0">
      <alignment vertical="center"/>
    </xf>
    <xf numFmtId="0" fontId="180" fillId="0" borderId="51" applyNumberFormat="0" applyFill="0" applyAlignment="0" applyProtection="0">
      <alignment vertical="center"/>
    </xf>
    <xf numFmtId="0" fontId="180" fillId="0" borderId="51" applyNumberFormat="0" applyFill="0" applyAlignment="0" applyProtection="0">
      <alignment vertical="center"/>
    </xf>
    <xf numFmtId="0" fontId="180" fillId="0" borderId="51" applyNumberFormat="0" applyFill="0" applyAlignment="0" applyProtection="0">
      <alignment vertical="center"/>
    </xf>
    <xf numFmtId="0" fontId="180" fillId="0" borderId="51" applyNumberFormat="0" applyFill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180" fillId="0" borderId="0" applyNumberFormat="0" applyFill="0" applyBorder="0" applyAlignment="0" applyProtection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99" fillId="27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100" fillId="34" borderId="31" applyNumberFormat="0" applyAlignment="0" applyProtection="0">
      <alignment vertical="center"/>
    </xf>
    <xf numFmtId="0" fontId="100" fillId="34" borderId="31" applyNumberFormat="0" applyAlignment="0" applyProtection="0">
      <alignment vertical="center"/>
    </xf>
    <xf numFmtId="0" fontId="100" fillId="34" borderId="31" applyNumberFormat="0" applyAlignment="0" applyProtection="0">
      <alignment vertical="center"/>
    </xf>
    <xf numFmtId="0" fontId="100" fillId="34" borderId="31" applyNumberFormat="0" applyAlignment="0" applyProtection="0">
      <alignment vertical="center"/>
    </xf>
    <xf numFmtId="0" fontId="100" fillId="34" borderId="31" applyNumberFormat="0" applyAlignment="0" applyProtection="0">
      <alignment vertical="center"/>
    </xf>
    <xf numFmtId="0" fontId="100" fillId="34" borderId="31" applyNumberFormat="0" applyAlignment="0" applyProtection="0">
      <alignment vertical="center"/>
    </xf>
    <xf numFmtId="0" fontId="100" fillId="34" borderId="31" applyNumberFormat="0" applyAlignment="0" applyProtection="0">
      <alignment vertical="center"/>
    </xf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91" fillId="0" borderId="0">
      <alignment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6" fontId="26" fillId="0" borderId="2">
      <alignment horizontal="centerContinuous" vertical="center"/>
    </xf>
    <xf numFmtId="276" fontId="26" fillId="0" borderId="2">
      <alignment horizontal="centerContinuous" vertical="center"/>
    </xf>
    <xf numFmtId="234" fontId="4" fillId="0" borderId="2">
      <alignment horizontal="centerContinuous" vertical="center"/>
    </xf>
    <xf numFmtId="234" fontId="4" fillId="0" borderId="2">
      <alignment horizontal="centerContinuous" vertical="center"/>
    </xf>
    <xf numFmtId="234" fontId="4" fillId="0" borderId="2">
      <alignment horizontal="centerContinuous" vertical="center"/>
    </xf>
    <xf numFmtId="23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6" fontId="26" fillId="0" borderId="2">
      <alignment horizontal="centerContinuous" vertical="center"/>
    </xf>
    <xf numFmtId="276" fontId="26" fillId="0" borderId="2">
      <alignment horizontal="centerContinuous" vertical="center"/>
    </xf>
    <xf numFmtId="234" fontId="4" fillId="0" borderId="2">
      <alignment horizontal="centerContinuous" vertical="center"/>
    </xf>
    <xf numFmtId="234" fontId="4" fillId="0" borderId="2">
      <alignment horizontal="centerContinuous" vertical="center"/>
    </xf>
    <xf numFmtId="234" fontId="4" fillId="0" borderId="2">
      <alignment horizontal="centerContinuous" vertical="center"/>
    </xf>
    <xf numFmtId="23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6" fontId="26" fillId="0" borderId="2">
      <alignment horizontal="centerContinuous" vertical="center"/>
    </xf>
    <xf numFmtId="276" fontId="26" fillId="0" borderId="2">
      <alignment horizontal="centerContinuous" vertical="center"/>
    </xf>
    <xf numFmtId="234" fontId="4" fillId="0" borderId="2">
      <alignment horizontal="centerContinuous" vertical="center"/>
    </xf>
    <xf numFmtId="234" fontId="4" fillId="0" borderId="2">
      <alignment horizontal="centerContinuous" vertical="center"/>
    </xf>
    <xf numFmtId="234" fontId="4" fillId="0" borderId="2">
      <alignment horizontal="centerContinuous" vertical="center"/>
    </xf>
    <xf numFmtId="23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7" fontId="26" fillId="0" borderId="2">
      <alignment horizontal="centerContinuous" vertical="center"/>
    </xf>
    <xf numFmtId="277" fontId="26" fillId="0" borderId="2">
      <alignment horizontal="centerContinuous" vertical="center"/>
    </xf>
    <xf numFmtId="271" fontId="4" fillId="0" borderId="2">
      <alignment horizontal="centerContinuous" vertical="center"/>
    </xf>
    <xf numFmtId="271" fontId="4" fillId="0" borderId="2">
      <alignment horizontal="centerContinuous" vertical="center"/>
    </xf>
    <xf numFmtId="271" fontId="4" fillId="0" borderId="2">
      <alignment horizontal="centerContinuous" vertical="center"/>
    </xf>
    <xf numFmtId="271" fontId="4" fillId="0" borderId="2">
      <alignment horizontal="centerContinuous" vertical="center"/>
    </xf>
    <xf numFmtId="277" fontId="26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6" fontId="26" fillId="0" borderId="2">
      <alignment horizontal="centerContinuous" vertical="center"/>
    </xf>
    <xf numFmtId="276" fontId="26" fillId="0" borderId="2">
      <alignment horizontal="centerContinuous" vertical="center"/>
    </xf>
    <xf numFmtId="234" fontId="4" fillId="0" borderId="2">
      <alignment horizontal="centerContinuous" vertical="center"/>
    </xf>
    <xf numFmtId="234" fontId="4" fillId="0" borderId="2">
      <alignment horizontal="centerContinuous" vertical="center"/>
    </xf>
    <xf numFmtId="234" fontId="4" fillId="0" borderId="2">
      <alignment horizontal="centerContinuous" vertical="center"/>
    </xf>
    <xf numFmtId="23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176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5" fontId="4" fillId="0" borderId="2">
      <alignment horizontal="centerContinuous" vertical="center"/>
    </xf>
    <xf numFmtId="276" fontId="26" fillId="0" borderId="2">
      <alignment horizontal="centerContinuous" vertical="center"/>
    </xf>
    <xf numFmtId="276" fontId="26" fillId="0" borderId="2">
      <alignment horizontal="centerContinuous" vertical="center"/>
    </xf>
    <xf numFmtId="234" fontId="4" fillId="0" borderId="2">
      <alignment horizontal="centerContinuous" vertical="center"/>
    </xf>
    <xf numFmtId="234" fontId="4" fillId="0" borderId="2">
      <alignment horizontal="centerContinuous" vertical="center"/>
    </xf>
    <xf numFmtId="234" fontId="4" fillId="0" borderId="2">
      <alignment horizontal="centerContinuous" vertical="center"/>
    </xf>
    <xf numFmtId="23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26" fillId="0" borderId="2">
      <alignment horizontal="centerContinuous" vertical="center"/>
    </xf>
    <xf numFmtId="277" fontId="26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7" fontId="4" fillId="0" borderId="2">
      <alignment horizontal="centerContinuous" vertical="center"/>
    </xf>
    <xf numFmtId="271" fontId="4" fillId="0" borderId="2">
      <alignment horizontal="centerContinuous" vertical="center"/>
    </xf>
    <xf numFmtId="271" fontId="4" fillId="0" borderId="2">
      <alignment horizontal="centerContinuous" vertical="center"/>
    </xf>
    <xf numFmtId="271" fontId="4" fillId="0" borderId="2">
      <alignment horizontal="centerContinuous" vertical="center"/>
    </xf>
    <xf numFmtId="277" fontId="4" fillId="0" borderId="2">
      <alignment horizontal="centerContinuous" vertical="center"/>
    </xf>
    <xf numFmtId="271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0" fontId="26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8" fontId="4" fillId="0" borderId="2">
      <alignment horizontal="centerContinuous" vertical="center"/>
    </xf>
    <xf numFmtId="278" fontId="4" fillId="0" borderId="2">
      <alignment horizontal="centerContinuous" vertical="center"/>
    </xf>
    <xf numFmtId="278" fontId="4" fillId="0" borderId="2">
      <alignment horizontal="centerContinuous" vertical="center"/>
    </xf>
    <xf numFmtId="278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9" fontId="4" fillId="0" borderId="2">
      <alignment horizontal="centerContinuous" vertical="center"/>
    </xf>
    <xf numFmtId="279" fontId="4" fillId="0" borderId="2">
      <alignment horizontal="centerContinuous" vertical="center"/>
    </xf>
    <xf numFmtId="279" fontId="4" fillId="0" borderId="2">
      <alignment horizontal="centerContinuous" vertical="center"/>
    </xf>
    <xf numFmtId="279" fontId="4" fillId="0" borderId="2">
      <alignment horizontal="centerContinuous" vertical="center"/>
    </xf>
    <xf numFmtId="280" fontId="26" fillId="0" borderId="2">
      <alignment horizontal="centerContinuous" vertical="center"/>
    </xf>
    <xf numFmtId="280" fontId="26" fillId="0" borderId="2">
      <alignment horizontal="centerContinuous" vertical="center"/>
    </xf>
    <xf numFmtId="218" fontId="4" fillId="0" borderId="2">
      <alignment horizontal="centerContinuous" vertical="center"/>
    </xf>
    <xf numFmtId="218" fontId="4" fillId="0" borderId="2">
      <alignment horizontal="centerContinuous" vertical="center"/>
    </xf>
    <xf numFmtId="218" fontId="4" fillId="0" borderId="2">
      <alignment horizontal="centerContinuous" vertical="center"/>
    </xf>
    <xf numFmtId="218" fontId="4" fillId="0" borderId="2">
      <alignment horizontal="centerContinuous" vertical="center"/>
    </xf>
    <xf numFmtId="281" fontId="4" fillId="0" borderId="2">
      <alignment horizontal="centerContinuous" vertical="center"/>
    </xf>
    <xf numFmtId="281" fontId="4" fillId="0" borderId="2">
      <alignment horizontal="centerContinuous" vertical="center"/>
    </xf>
    <xf numFmtId="281" fontId="4" fillId="0" borderId="2">
      <alignment horizontal="centerContinuous" vertical="center"/>
    </xf>
    <xf numFmtId="281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272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7" fontId="26" fillId="0" borderId="2">
      <alignment horizontal="centerContinuous" vertical="center"/>
    </xf>
    <xf numFmtId="277" fontId="26" fillId="0" borderId="2">
      <alignment horizontal="centerContinuous" vertical="center"/>
    </xf>
    <xf numFmtId="271" fontId="4" fillId="0" borderId="2">
      <alignment horizontal="centerContinuous" vertical="center"/>
    </xf>
    <xf numFmtId="271" fontId="4" fillId="0" borderId="2">
      <alignment horizontal="centerContinuous" vertical="center"/>
    </xf>
    <xf numFmtId="271" fontId="4" fillId="0" borderId="2">
      <alignment horizontal="centerContinuous" vertical="center"/>
    </xf>
    <xf numFmtId="271" fontId="4" fillId="0" borderId="2">
      <alignment horizontal="centerContinuous" vertical="center"/>
    </xf>
    <xf numFmtId="277" fontId="26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3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8" fontId="4" fillId="0" borderId="2">
      <alignment horizontal="centerContinuous" vertical="center"/>
    </xf>
    <xf numFmtId="278" fontId="4" fillId="0" borderId="2">
      <alignment horizontal="centerContinuous" vertical="center"/>
    </xf>
    <xf numFmtId="278" fontId="4" fillId="0" borderId="2">
      <alignment horizontal="centerContinuous" vertical="center"/>
    </xf>
    <xf numFmtId="278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274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0" fontId="4" fillId="0" borderId="2">
      <alignment horizontal="centerContinuous" vertical="center"/>
    </xf>
    <xf numFmtId="279" fontId="4" fillId="0" borderId="2">
      <alignment horizontal="centerContinuous" vertical="center"/>
    </xf>
    <xf numFmtId="279" fontId="4" fillId="0" borderId="2">
      <alignment horizontal="centerContinuous" vertical="center"/>
    </xf>
    <xf numFmtId="279" fontId="4" fillId="0" borderId="2">
      <alignment horizontal="centerContinuous" vertical="center"/>
    </xf>
    <xf numFmtId="279" fontId="4" fillId="0" borderId="2">
      <alignment horizontal="centerContinuous" vertical="center"/>
    </xf>
    <xf numFmtId="280" fontId="26" fillId="0" borderId="2">
      <alignment horizontal="centerContinuous" vertical="center"/>
    </xf>
    <xf numFmtId="280" fontId="26" fillId="0" borderId="2">
      <alignment horizontal="centerContinuous" vertical="center"/>
    </xf>
    <xf numFmtId="218" fontId="4" fillId="0" borderId="2">
      <alignment horizontal="centerContinuous" vertical="center"/>
    </xf>
    <xf numFmtId="218" fontId="4" fillId="0" borderId="2">
      <alignment horizontal="centerContinuous" vertical="center"/>
    </xf>
    <xf numFmtId="218" fontId="4" fillId="0" borderId="2">
      <alignment horizontal="centerContinuous" vertical="center"/>
    </xf>
    <xf numFmtId="218" fontId="4" fillId="0" borderId="2">
      <alignment horizontal="centerContinuous" vertical="center"/>
    </xf>
    <xf numFmtId="281" fontId="4" fillId="0" borderId="2">
      <alignment horizontal="centerContinuous" vertical="center"/>
    </xf>
    <xf numFmtId="281" fontId="4" fillId="0" borderId="2">
      <alignment horizontal="centerContinuous" vertical="center"/>
    </xf>
    <xf numFmtId="281" fontId="4" fillId="0" borderId="2">
      <alignment horizontal="centerContinuous" vertical="center"/>
    </xf>
    <xf numFmtId="281" fontId="4" fillId="0" borderId="2">
      <alignment horizontal="centerContinuous" vertical="center"/>
    </xf>
    <xf numFmtId="220" fontId="25" fillId="0" borderId="0" applyFont="0" applyFill="0" applyBorder="0" applyAlignment="0" applyProtection="0"/>
    <xf numFmtId="220" fontId="25" fillId="0" borderId="0" applyFont="0" applyFill="0" applyBorder="0" applyAlignment="0" applyProtection="0"/>
    <xf numFmtId="0" fontId="27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5" fillId="0" borderId="0"/>
    <xf numFmtId="0" fontId="53" fillId="0" borderId="0" applyFont="0" applyFill="0" applyBorder="0" applyAlignment="0" applyProtection="0"/>
    <xf numFmtId="0" fontId="15" fillId="0" borderId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7" fillId="0" borderId="0"/>
    <xf numFmtId="0" fontId="57" fillId="0" borderId="0"/>
    <xf numFmtId="0" fontId="53" fillId="0" borderId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15" fillId="0" borderId="0"/>
    <xf numFmtId="0" fontId="15" fillId="0" borderId="0"/>
    <xf numFmtId="0" fontId="5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57" fillId="0" borderId="0"/>
    <xf numFmtId="0" fontId="15" fillId="0" borderId="0"/>
    <xf numFmtId="0" fontId="53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3" fillId="0" borderId="0" applyFont="0" applyFill="0" applyBorder="0" applyAlignment="0" applyProtection="0"/>
    <xf numFmtId="0" fontId="15" fillId="0" borderId="0"/>
    <xf numFmtId="0" fontId="4" fillId="0" borderId="0" applyFont="0" applyFill="0" applyBorder="0" applyAlignment="0" applyProtection="0"/>
    <xf numFmtId="0" fontId="15" fillId="0" borderId="0"/>
    <xf numFmtId="0" fontId="13" fillId="0" borderId="0">
      <protection locked="0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1" fontId="192" fillId="0" borderId="30" applyBorder="0">
      <alignment horizontal="center" vertical="center"/>
    </xf>
    <xf numFmtId="228" fontId="13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216" fontId="13" fillId="0" borderId="0">
      <protection locked="0"/>
    </xf>
    <xf numFmtId="216" fontId="13" fillId="0" borderId="0">
      <protection locked="0"/>
    </xf>
    <xf numFmtId="216" fontId="13" fillId="0" borderId="0">
      <protection locked="0"/>
    </xf>
    <xf numFmtId="216" fontId="13" fillId="0" borderId="0">
      <protection locked="0"/>
    </xf>
    <xf numFmtId="216" fontId="13" fillId="0" borderId="0">
      <protection locked="0"/>
    </xf>
    <xf numFmtId="216" fontId="13" fillId="0" borderId="0">
      <protection locked="0"/>
    </xf>
    <xf numFmtId="216" fontId="13" fillId="0" borderId="0">
      <protection locked="0"/>
    </xf>
    <xf numFmtId="190" fontId="16" fillId="0" borderId="4">
      <alignment vertical="center"/>
    </xf>
    <xf numFmtId="241" fontId="10" fillId="0" borderId="0">
      <alignment vertical="center"/>
    </xf>
    <xf numFmtId="0" fontId="7" fillId="0" borderId="0">
      <alignment horizontal="center" vertical="center"/>
    </xf>
    <xf numFmtId="249" fontId="139" fillId="0" borderId="0">
      <protection locked="0"/>
    </xf>
    <xf numFmtId="249" fontId="139" fillId="0" borderId="0">
      <protection locked="0"/>
    </xf>
    <xf numFmtId="249" fontId="139" fillId="0" borderId="0">
      <protection locked="0"/>
    </xf>
    <xf numFmtId="0" fontId="13" fillId="0" borderId="0">
      <protection locked="0"/>
    </xf>
    <xf numFmtId="218" fontId="194" fillId="0" borderId="0" applyFont="0" applyFill="0" applyBorder="0" applyAlignment="0" applyProtection="0"/>
    <xf numFmtId="249" fontId="139" fillId="0" borderId="0">
      <protection locked="0"/>
    </xf>
    <xf numFmtId="249" fontId="139" fillId="0" borderId="0">
      <protection locked="0"/>
    </xf>
    <xf numFmtId="249" fontId="139" fillId="0" borderId="0">
      <protection locked="0"/>
    </xf>
    <xf numFmtId="249" fontId="139" fillId="0" borderId="0">
      <protection locked="0"/>
    </xf>
    <xf numFmtId="249" fontId="139" fillId="0" borderId="0">
      <protection locked="0"/>
    </xf>
    <xf numFmtId="305" fontId="193" fillId="0" borderId="0" applyFont="0" applyFill="0" applyBorder="0" applyAlignment="0" applyProtection="0"/>
    <xf numFmtId="234" fontId="193" fillId="0" borderId="0" applyFont="0" applyFill="0" applyBorder="0" applyAlignment="0" applyProtection="0"/>
    <xf numFmtId="251" fontId="13" fillId="0" borderId="0">
      <protection locked="0"/>
    </xf>
    <xf numFmtId="249" fontId="139" fillId="0" borderId="0">
      <protection locked="0"/>
    </xf>
    <xf numFmtId="249" fontId="139" fillId="0" borderId="0">
      <protection locked="0"/>
    </xf>
    <xf numFmtId="249" fontId="139" fillId="0" borderId="0">
      <protection locked="0"/>
    </xf>
    <xf numFmtId="249" fontId="139" fillId="0" borderId="0">
      <protection locked="0"/>
    </xf>
    <xf numFmtId="249" fontId="139" fillId="0" borderId="0">
      <protection locked="0"/>
    </xf>
    <xf numFmtId="249" fontId="139" fillId="0" borderId="0">
      <protection locked="0"/>
    </xf>
    <xf numFmtId="190" fontId="193" fillId="0" borderId="0" applyFont="0" applyFill="0" applyBorder="0" applyAlignment="0" applyProtection="0"/>
    <xf numFmtId="183" fontId="193" fillId="0" borderId="0" applyFont="0" applyFill="0" applyBorder="0" applyAlignment="0" applyProtection="0"/>
    <xf numFmtId="4" fontId="13" fillId="0" borderId="0">
      <protection locked="0"/>
    </xf>
    <xf numFmtId="252" fontId="13" fillId="0" borderId="0">
      <protection locked="0"/>
    </xf>
    <xf numFmtId="249" fontId="139" fillId="0" borderId="0">
      <protection locked="0"/>
    </xf>
    <xf numFmtId="249" fontId="139" fillId="0" borderId="0">
      <protection locked="0"/>
    </xf>
    <xf numFmtId="249" fontId="139" fillId="0" borderId="0">
      <protection locked="0"/>
    </xf>
    <xf numFmtId="0" fontId="13" fillId="0" borderId="32">
      <protection locked="0"/>
    </xf>
    <xf numFmtId="3" fontId="195" fillId="0" borderId="0">
      <alignment horizontal="center"/>
    </xf>
    <xf numFmtId="218" fontId="196" fillId="0" borderId="0" applyFont="0" applyFill="0" applyBorder="0" applyAlignment="0" applyProtection="0"/>
    <xf numFmtId="306" fontId="144" fillId="0" borderId="0" applyFont="0" applyFill="0" applyBorder="0" applyAlignment="0" applyProtection="0"/>
    <xf numFmtId="307" fontId="4" fillId="0" borderId="0"/>
    <xf numFmtId="308" fontId="10" fillId="0" borderId="4" applyFill="0" applyBorder="0" applyAlignment="0"/>
    <xf numFmtId="309" fontId="10" fillId="0" borderId="0"/>
    <xf numFmtId="310" fontId="10" fillId="0" borderId="0" applyFont="0" applyFill="0" applyBorder="0" applyAlignment="0" applyProtection="0"/>
    <xf numFmtId="311" fontId="10" fillId="0" borderId="0"/>
    <xf numFmtId="253" fontId="13" fillId="0" borderId="0">
      <protection locked="0"/>
    </xf>
    <xf numFmtId="254" fontId="13" fillId="0" borderId="0">
      <protection locked="0"/>
    </xf>
    <xf numFmtId="0" fontId="197" fillId="0" borderId="4" applyFill="0" applyBorder="0" applyProtection="0">
      <alignment vertical="center"/>
    </xf>
    <xf numFmtId="0" fontId="147" fillId="0" borderId="58" applyNumberFormat="0" applyFont="0" applyBorder="0" applyProtection="0">
      <alignment horizontal="center" vertical="center"/>
    </xf>
    <xf numFmtId="312" fontId="10" fillId="0" borderId="0"/>
    <xf numFmtId="41" fontId="144" fillId="0" borderId="0" applyFont="0" applyFill="0" applyBorder="0" applyAlignment="0" applyProtection="0"/>
    <xf numFmtId="43" fontId="144" fillId="0" borderId="0" applyFont="0" applyFill="0" applyBorder="0" applyAlignment="0" applyProtection="0"/>
    <xf numFmtId="0" fontId="198" fillId="0" borderId="4" applyProtection="0">
      <alignment vertical="center"/>
    </xf>
    <xf numFmtId="0" fontId="199" fillId="36" borderId="2" applyNumberFormat="0" applyFont="0" applyBorder="0" applyAlignment="0"/>
    <xf numFmtId="0" fontId="144" fillId="0" borderId="0"/>
    <xf numFmtId="0" fontId="15" fillId="21" borderId="0" applyNumberFormat="0" applyFont="0" applyFill="0" applyBorder="0" applyAlignment="0"/>
    <xf numFmtId="228" fontId="13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183" fillId="0" borderId="0" applyBorder="0" applyAlignment="0"/>
    <xf numFmtId="0" fontId="183" fillId="0" borderId="56" applyBorder="0" applyAlignment="0">
      <alignment horizontal="center"/>
    </xf>
    <xf numFmtId="0" fontId="183" fillId="0" borderId="46"/>
    <xf numFmtId="0" fontId="200" fillId="0" borderId="0"/>
    <xf numFmtId="41" fontId="201" fillId="0" borderId="17">
      <alignment horizontal="center" vertical="center"/>
    </xf>
    <xf numFmtId="0" fontId="13" fillId="0" borderId="0">
      <protection locked="0"/>
    </xf>
    <xf numFmtId="0" fontId="6" fillId="0" borderId="17">
      <alignment horizontal="center" vertical="center"/>
    </xf>
    <xf numFmtId="0" fontId="13" fillId="0" borderId="0">
      <protection locked="0"/>
    </xf>
    <xf numFmtId="190" fontId="53" fillId="0" borderId="57">
      <alignment vertical="center"/>
    </xf>
    <xf numFmtId="0" fontId="4" fillId="0" borderId="0"/>
    <xf numFmtId="2" fontId="202" fillId="0" borderId="16"/>
    <xf numFmtId="215" fontId="203" fillId="0" borderId="0">
      <alignment vertical="center"/>
    </xf>
    <xf numFmtId="41" fontId="4" fillId="0" borderId="0" applyFont="0" applyFill="0" applyBorder="0" applyAlignment="0" applyProtection="0"/>
    <xf numFmtId="0" fontId="7" fillId="0" borderId="0"/>
    <xf numFmtId="0" fontId="10" fillId="0" borderId="0"/>
    <xf numFmtId="0" fontId="10" fillId="0" borderId="0"/>
    <xf numFmtId="0" fontId="10" fillId="0" borderId="0"/>
    <xf numFmtId="0" fontId="175" fillId="0" borderId="0"/>
    <xf numFmtId="0" fontId="10" fillId="0" borderId="0"/>
    <xf numFmtId="0" fontId="8" fillId="0" borderId="0"/>
    <xf numFmtId="0" fontId="10" fillId="0" borderId="0"/>
    <xf numFmtId="3" fontId="10" fillId="0" borderId="0"/>
    <xf numFmtId="3" fontId="10" fillId="0" borderId="0"/>
    <xf numFmtId="0" fontId="10" fillId="0" borderId="0"/>
    <xf numFmtId="3" fontId="10" fillId="0" borderId="0"/>
    <xf numFmtId="0" fontId="57" fillId="0" borderId="0"/>
    <xf numFmtId="0" fontId="204" fillId="0" borderId="0" applyNumberFormat="0" applyFill="0" applyBorder="0" applyAlignment="0" applyProtection="0">
      <alignment vertical="top"/>
      <protection locked="0"/>
    </xf>
    <xf numFmtId="244" fontId="10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39" fontId="4" fillId="0" borderId="0" applyFont="0" applyFill="0" applyBorder="0" applyAlignment="0" applyProtection="0"/>
    <xf numFmtId="242" fontId="4" fillId="0" borderId="0" applyFont="0" applyFill="0" applyBorder="0" applyAlignment="0" applyProtection="0"/>
    <xf numFmtId="244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244" fontId="10" fillId="0" borderId="0" applyFont="0" applyFill="0" applyBorder="0" applyAlignment="0" applyProtection="0"/>
    <xf numFmtId="244" fontId="10" fillId="0" borderId="0" applyFont="0" applyFill="0" applyBorder="0" applyAlignment="0" applyProtection="0"/>
    <xf numFmtId="244" fontId="10" fillId="0" borderId="0" applyFont="0" applyFill="0" applyBorder="0" applyAlignment="0" applyProtection="0"/>
    <xf numFmtId="242" fontId="4" fillId="0" borderId="0" applyFont="0" applyFill="0" applyBorder="0" applyAlignment="0" applyProtection="0"/>
    <xf numFmtId="244" fontId="10" fillId="0" borderId="0" applyFont="0" applyFill="0" applyBorder="0" applyAlignment="0" applyProtection="0"/>
    <xf numFmtId="313" fontId="10" fillId="0" borderId="0" applyFont="0" applyFill="0" applyBorder="0" applyAlignment="0" applyProtection="0"/>
    <xf numFmtId="242" fontId="4" fillId="0" borderId="0" applyFont="0" applyFill="0" applyBorder="0" applyAlignment="0" applyProtection="0"/>
    <xf numFmtId="4" fontId="13" fillId="0" borderId="0">
      <protection locked="0"/>
    </xf>
    <xf numFmtId="4" fontId="93" fillId="0" borderId="0" applyFont="0" applyFill="0" applyBorder="0" applyAlignment="0" applyProtection="0"/>
    <xf numFmtId="252" fontId="13" fillId="0" borderId="0">
      <protection locked="0"/>
    </xf>
    <xf numFmtId="0" fontId="205" fillId="0" borderId="0" applyNumberFormat="0" applyAlignment="0"/>
    <xf numFmtId="1" fontId="147" fillId="18" borderId="0" applyNumberFormat="0" applyFont="0" applyFill="0" applyBorder="0" applyAlignment="0">
      <alignment vertical="center"/>
    </xf>
    <xf numFmtId="1" fontId="206" fillId="18" borderId="0" applyNumberFormat="0" applyBorder="0" applyAlignment="0">
      <alignment vertical="center"/>
    </xf>
    <xf numFmtId="1" fontId="207" fillId="18" borderId="0" applyNumberFormat="0" applyFont="0" applyFill="0" applyBorder="0" applyAlignment="0">
      <alignment vertical="center"/>
    </xf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291" fontId="63" fillId="0" borderId="0" applyFont="0" applyFill="0" applyBorder="0" applyAlignment="0" applyProtection="0"/>
    <xf numFmtId="251" fontId="13" fillId="0" borderId="0">
      <protection locked="0"/>
    </xf>
    <xf numFmtId="0" fontId="13" fillId="0" borderId="32">
      <protection locked="0"/>
    </xf>
    <xf numFmtId="253" fontId="13" fillId="0" borderId="0">
      <protection locked="0"/>
    </xf>
    <xf numFmtId="254" fontId="13" fillId="0" borderId="0">
      <protection locked="0"/>
    </xf>
    <xf numFmtId="216" fontId="13" fillId="0" borderId="0">
      <protection locked="0"/>
    </xf>
    <xf numFmtId="216" fontId="13" fillId="0" borderId="0">
      <protection locked="0"/>
    </xf>
    <xf numFmtId="41" fontId="4" fillId="0" borderId="0" applyFont="0" applyFill="0" applyBorder="0" applyAlignment="0" applyProtection="0"/>
    <xf numFmtId="299" fontId="11" fillId="0" borderId="0" applyFont="0" applyFill="0" applyBorder="0" applyAlignment="0" applyProtection="0"/>
    <xf numFmtId="0" fontId="4" fillId="0" borderId="0"/>
    <xf numFmtId="42" fontId="4" fillId="0" borderId="0" applyFont="0" applyFill="0" applyBorder="0" applyAlignment="0" applyProtection="0">
      <alignment vertical="center"/>
    </xf>
    <xf numFmtId="216" fontId="13" fillId="0" borderId="0">
      <protection locked="0"/>
    </xf>
    <xf numFmtId="216" fontId="13" fillId="0" borderId="0">
      <protection locked="0"/>
    </xf>
    <xf numFmtId="0" fontId="2" fillId="0" borderId="0">
      <alignment vertical="center"/>
    </xf>
    <xf numFmtId="0" fontId="189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/>
  </cellStyleXfs>
  <cellXfs count="314">
    <xf numFmtId="0" fontId="0" fillId="0" borderId="0" xfId="0"/>
    <xf numFmtId="0" fontId="6" fillId="0" borderId="0" xfId="1858" applyFont="1">
      <alignment vertical="center"/>
    </xf>
    <xf numFmtId="0" fontId="41" fillId="18" borderId="0" xfId="0" applyFont="1" applyFill="1"/>
    <xf numFmtId="0" fontId="41" fillId="0" borderId="0" xfId="1860" applyFont="1"/>
    <xf numFmtId="0" fontId="0" fillId="18" borderId="0" xfId="0" applyFill="1"/>
    <xf numFmtId="0" fontId="0" fillId="18" borderId="0" xfId="0" applyFill="1" applyAlignment="1">
      <alignment horizontal="center" vertical="center"/>
    </xf>
    <xf numFmtId="0" fontId="0" fillId="18" borderId="0" xfId="0" applyFill="1" applyAlignment="1">
      <alignment vertical="center"/>
    </xf>
    <xf numFmtId="0" fontId="42" fillId="18" borderId="0" xfId="0" applyFont="1" applyFill="1" applyAlignment="1">
      <alignment vertical="center"/>
    </xf>
    <xf numFmtId="0" fontId="43" fillId="18" borderId="40" xfId="0" applyFont="1" applyFill="1" applyBorder="1" applyAlignment="1">
      <alignment vertical="center"/>
    </xf>
    <xf numFmtId="0" fontId="43" fillId="18" borderId="41" xfId="0" applyFont="1" applyFill="1" applyBorder="1" applyAlignment="1">
      <alignment vertical="center"/>
    </xf>
    <xf numFmtId="0" fontId="43" fillId="18" borderId="42" xfId="0" applyFont="1" applyFill="1" applyBorder="1" applyAlignment="1">
      <alignment vertical="center"/>
    </xf>
    <xf numFmtId="0" fontId="43" fillId="18" borderId="0" xfId="0" applyFont="1" applyFill="1" applyAlignment="1">
      <alignment vertical="center"/>
    </xf>
    <xf numFmtId="0" fontId="45" fillId="18" borderId="43" xfId="0" applyFont="1" applyFill="1" applyBorder="1"/>
    <xf numFmtId="0" fontId="45" fillId="18" borderId="32" xfId="0" applyFont="1" applyFill="1" applyBorder="1"/>
    <xf numFmtId="0" fontId="45" fillId="18" borderId="44" xfId="0" applyFont="1" applyFill="1" applyBorder="1"/>
    <xf numFmtId="0" fontId="45" fillId="18" borderId="45" xfId="0" applyFont="1" applyFill="1" applyBorder="1" applyAlignment="1">
      <alignment horizontal="center" vertical="center"/>
    </xf>
    <xf numFmtId="0" fontId="47" fillId="18" borderId="46" xfId="0" applyFont="1" applyFill="1" applyBorder="1" applyAlignment="1">
      <alignment horizontal="center" vertical="center"/>
    </xf>
    <xf numFmtId="0" fontId="45" fillId="18" borderId="46" xfId="0" applyFont="1" applyFill="1" applyBorder="1" applyAlignment="1">
      <alignment horizontal="center" vertical="center"/>
    </xf>
    <xf numFmtId="0" fontId="45" fillId="18" borderId="45" xfId="0" applyFont="1" applyFill="1" applyBorder="1" applyAlignment="1">
      <alignment vertical="center"/>
    </xf>
    <xf numFmtId="0" fontId="45" fillId="18" borderId="0" xfId="0" applyFont="1" applyFill="1" applyBorder="1" applyAlignment="1">
      <alignment vertical="center"/>
    </xf>
    <xf numFmtId="0" fontId="45" fillId="18" borderId="46" xfId="0" applyFont="1" applyFill="1" applyBorder="1" applyAlignment="1">
      <alignment vertical="center"/>
    </xf>
    <xf numFmtId="0" fontId="50" fillId="18" borderId="45" xfId="0" applyFont="1" applyFill="1" applyBorder="1" applyAlignment="1">
      <alignment vertical="center"/>
    </xf>
    <xf numFmtId="0" fontId="50" fillId="18" borderId="0" xfId="0" applyFont="1" applyFill="1" applyBorder="1" applyAlignment="1">
      <alignment vertical="center"/>
    </xf>
    <xf numFmtId="0" fontId="50" fillId="18" borderId="0" xfId="0" applyFont="1" applyFill="1" applyBorder="1" applyAlignment="1">
      <alignment horizontal="right" vertical="center"/>
    </xf>
    <xf numFmtId="0" fontId="50" fillId="18" borderId="0" xfId="0" applyFont="1" applyFill="1" applyBorder="1" applyAlignment="1">
      <alignment horizontal="center" vertical="center"/>
    </xf>
    <xf numFmtId="0" fontId="50" fillId="18" borderId="46" xfId="0" applyFont="1" applyFill="1" applyBorder="1" applyAlignment="1">
      <alignment vertical="center"/>
    </xf>
    <xf numFmtId="0" fontId="51" fillId="18" borderId="0" xfId="0" applyFont="1" applyFill="1" applyBorder="1" applyAlignment="1">
      <alignment horizontal="right" vertical="center"/>
    </xf>
    <xf numFmtId="0" fontId="51" fillId="18" borderId="0" xfId="0" applyFont="1" applyFill="1" applyBorder="1" applyAlignment="1">
      <alignment horizontal="center" vertical="center"/>
    </xf>
    <xf numFmtId="0" fontId="50" fillId="18" borderId="0" xfId="1859" applyFont="1" applyFill="1" applyBorder="1" applyAlignment="1">
      <alignment horizontal="right" vertical="center"/>
    </xf>
    <xf numFmtId="213" fontId="52" fillId="18" borderId="0" xfId="0" applyNumberFormat="1" applyFont="1" applyFill="1" applyBorder="1" applyAlignment="1">
      <alignment horizontal="center" vertical="center"/>
    </xf>
    <xf numFmtId="213" fontId="42" fillId="18" borderId="0" xfId="0" applyNumberFormat="1" applyFont="1" applyFill="1" applyAlignment="1">
      <alignment vertical="center"/>
    </xf>
    <xf numFmtId="41" fontId="42" fillId="18" borderId="0" xfId="1653" applyFont="1" applyFill="1" applyAlignment="1">
      <alignment vertical="center"/>
    </xf>
    <xf numFmtId="0" fontId="53" fillId="0" borderId="0" xfId="0" applyFont="1" applyBorder="1" applyAlignment="1">
      <alignment vertical="center"/>
    </xf>
    <xf numFmtId="0" fontId="3" fillId="0" borderId="0" xfId="4810">
      <alignment vertical="center"/>
    </xf>
    <xf numFmtId="0" fontId="41" fillId="18" borderId="0" xfId="0" applyFont="1" applyFill="1" applyAlignment="1">
      <alignment horizontal="right"/>
    </xf>
    <xf numFmtId="0" fontId="4" fillId="0" borderId="0" xfId="7358" applyFill="1" applyAlignment="1">
      <alignment horizontal="center" vertical="center"/>
    </xf>
    <xf numFmtId="0" fontId="4" fillId="0" borderId="0" xfId="7358" applyAlignment="1">
      <alignment horizontal="center" vertical="center"/>
    </xf>
    <xf numFmtId="0" fontId="175" fillId="0" borderId="0" xfId="0" applyFont="1"/>
    <xf numFmtId="0" fontId="175" fillId="0" borderId="0" xfId="0" applyFont="1" applyFill="1"/>
    <xf numFmtId="0" fontId="209" fillId="0" borderId="0" xfId="1860" applyFont="1" applyBorder="1" applyAlignment="1">
      <alignment horizontal="center" vertical="center"/>
    </xf>
    <xf numFmtId="0" fontId="210" fillId="0" borderId="0" xfId="1856" applyFont="1" applyFill="1" applyBorder="1"/>
    <xf numFmtId="0" fontId="7" fillId="0" borderId="0" xfId="1856" applyFont="1" applyFill="1" applyBorder="1"/>
    <xf numFmtId="0" fontId="146" fillId="18" borderId="0" xfId="0" applyFont="1" applyFill="1" applyAlignment="1">
      <alignment horizontal="center"/>
    </xf>
    <xf numFmtId="0" fontId="146" fillId="0" borderId="0" xfId="1858" applyFont="1" applyAlignment="1">
      <alignment horizontal="center" vertical="center"/>
    </xf>
    <xf numFmtId="0" fontId="208" fillId="0" borderId="0" xfId="0" applyFont="1" applyBorder="1" applyAlignment="1">
      <alignment horizontal="center" vertical="center"/>
    </xf>
    <xf numFmtId="0" fontId="41" fillId="0" borderId="0" xfId="0" applyFont="1"/>
    <xf numFmtId="0" fontId="7" fillId="0" borderId="0" xfId="0" applyFont="1"/>
    <xf numFmtId="0" fontId="0" fillId="0" borderId="0" xfId="0" applyFont="1"/>
    <xf numFmtId="0" fontId="175" fillId="0" borderId="0" xfId="0" applyFont="1" applyBorder="1" applyAlignment="1"/>
    <xf numFmtId="0" fontId="7" fillId="0" borderId="0" xfId="0" applyFont="1" applyFill="1"/>
    <xf numFmtId="0" fontId="146" fillId="0" borderId="0" xfId="1858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214" fillId="0" borderId="0" xfId="1856" applyFont="1" applyFill="1" applyBorder="1"/>
    <xf numFmtId="0" fontId="7" fillId="23" borderId="0" xfId="1856" applyFont="1" applyFill="1" applyBorder="1"/>
    <xf numFmtId="0" fontId="215" fillId="0" borderId="0" xfId="0" applyFont="1" applyAlignment="1">
      <alignment vertical="center"/>
    </xf>
    <xf numFmtId="0" fontId="215" fillId="0" borderId="0" xfId="0" applyFont="1" applyBorder="1" applyAlignment="1">
      <alignment vertical="center"/>
    </xf>
    <xf numFmtId="0" fontId="217" fillId="0" borderId="0" xfId="0" applyFont="1" applyBorder="1" applyAlignment="1">
      <alignment horizontal="center" vertical="center"/>
    </xf>
    <xf numFmtId="0" fontId="218" fillId="0" borderId="0" xfId="0" applyFont="1" applyBorder="1" applyAlignment="1">
      <alignment horizontal="center" vertical="center"/>
    </xf>
    <xf numFmtId="0" fontId="218" fillId="0" borderId="0" xfId="0" applyFont="1" applyBorder="1" applyAlignment="1">
      <alignment horizontal="left" vertical="center"/>
    </xf>
    <xf numFmtId="42" fontId="218" fillId="0" borderId="0" xfId="0" applyNumberFormat="1" applyFont="1" applyBorder="1" applyAlignment="1">
      <alignment horizontal="center" vertical="center"/>
    </xf>
    <xf numFmtId="0" fontId="217" fillId="0" borderId="0" xfId="0" applyFont="1" applyBorder="1" applyAlignment="1">
      <alignment vertical="center"/>
    </xf>
    <xf numFmtId="42" fontId="215" fillId="0" borderId="0" xfId="0" applyNumberFormat="1" applyFont="1" applyAlignment="1">
      <alignment vertical="center"/>
    </xf>
    <xf numFmtId="41" fontId="215" fillId="0" borderId="0" xfId="1653" applyFont="1" applyAlignment="1">
      <alignment vertical="center"/>
    </xf>
    <xf numFmtId="0" fontId="219" fillId="0" borderId="0" xfId="0" applyFont="1" applyBorder="1" applyAlignment="1">
      <alignment vertical="center"/>
    </xf>
    <xf numFmtId="0" fontId="220" fillId="0" borderId="75" xfId="1856" applyFont="1" applyFill="1" applyBorder="1" applyAlignment="1">
      <alignment vertical="center" shrinkToFit="1"/>
    </xf>
    <xf numFmtId="0" fontId="220" fillId="0" borderId="75" xfId="1856" applyFont="1" applyFill="1" applyBorder="1" applyAlignment="1">
      <alignment horizontal="center" vertical="center" shrinkToFit="1"/>
    </xf>
    <xf numFmtId="314" fontId="220" fillId="0" borderId="75" xfId="1856" applyNumberFormat="1" applyFont="1" applyFill="1" applyBorder="1" applyAlignment="1">
      <alignment horizontal="right" vertical="center" shrinkToFit="1"/>
    </xf>
    <xf numFmtId="0" fontId="220" fillId="0" borderId="76" xfId="1856" applyFont="1" applyFill="1" applyBorder="1" applyAlignment="1">
      <alignment horizontal="center" vertical="center" shrinkToFit="1"/>
    </xf>
    <xf numFmtId="0" fontId="220" fillId="0" borderId="67" xfId="1856" applyFont="1" applyFill="1" applyBorder="1" applyAlignment="1">
      <alignment horizontal="center" vertical="center" shrinkToFit="1"/>
    </xf>
    <xf numFmtId="0" fontId="220" fillId="0" borderId="17" xfId="1856" applyFont="1" applyFill="1" applyBorder="1" applyAlignment="1">
      <alignment vertical="center" shrinkToFit="1"/>
    </xf>
    <xf numFmtId="0" fontId="220" fillId="0" borderId="17" xfId="1856" applyFont="1" applyFill="1" applyBorder="1" applyAlignment="1">
      <alignment horizontal="center" vertical="center" shrinkToFit="1"/>
    </xf>
    <xf numFmtId="314" fontId="220" fillId="0" borderId="17" xfId="1856" applyNumberFormat="1" applyFont="1" applyFill="1" applyBorder="1" applyAlignment="1">
      <alignment horizontal="right" vertical="center" shrinkToFit="1"/>
    </xf>
    <xf numFmtId="41" fontId="220" fillId="0" borderId="68" xfId="7359" applyFont="1" applyFill="1" applyBorder="1" applyAlignment="1">
      <alignment horizontal="center" vertical="center" shrinkToFit="1"/>
    </xf>
    <xf numFmtId="264" fontId="220" fillId="0" borderId="67" xfId="1856" applyNumberFormat="1" applyFont="1" applyFill="1" applyBorder="1" applyAlignment="1">
      <alignment horizontal="center" vertical="center" shrinkToFit="1"/>
    </xf>
    <xf numFmtId="314" fontId="221" fillId="0" borderId="17" xfId="1856" applyNumberFormat="1" applyFont="1" applyFill="1" applyBorder="1" applyAlignment="1">
      <alignment horizontal="right" vertical="center" shrinkToFit="1"/>
    </xf>
    <xf numFmtId="0" fontId="220" fillId="0" borderId="68" xfId="1856" applyFont="1" applyFill="1" applyBorder="1" applyAlignment="1">
      <alignment horizontal="center" vertical="center" shrinkToFit="1"/>
    </xf>
    <xf numFmtId="9" fontId="221" fillId="0" borderId="68" xfId="1856" applyNumberFormat="1" applyFont="1" applyFill="1" applyBorder="1" applyAlignment="1">
      <alignment horizontal="center" vertical="center" shrinkToFit="1"/>
    </xf>
    <xf numFmtId="264" fontId="220" fillId="37" borderId="74" xfId="1856" applyNumberFormat="1" applyFont="1" applyFill="1" applyBorder="1" applyAlignment="1">
      <alignment horizontal="center" vertical="center" shrinkToFit="1"/>
    </xf>
    <xf numFmtId="0" fontId="220" fillId="37" borderId="75" xfId="1856" applyFont="1" applyFill="1" applyBorder="1" applyAlignment="1">
      <alignment vertical="center" shrinkToFit="1"/>
    </xf>
    <xf numFmtId="0" fontId="220" fillId="37" borderId="75" xfId="1856" applyFont="1" applyFill="1" applyBorder="1" applyAlignment="1">
      <alignment horizontal="center" vertical="center" shrinkToFit="1"/>
    </xf>
    <xf numFmtId="314" fontId="220" fillId="37" borderId="75" xfId="1856" applyNumberFormat="1" applyFont="1" applyFill="1" applyBorder="1" applyAlignment="1">
      <alignment horizontal="right" vertical="center" shrinkToFit="1"/>
    </xf>
    <xf numFmtId="0" fontId="220" fillId="37" borderId="76" xfId="1856" applyFont="1" applyFill="1" applyBorder="1" applyAlignment="1">
      <alignment horizontal="center" vertical="center" shrinkToFit="1"/>
    </xf>
    <xf numFmtId="264" fontId="220" fillId="37" borderId="67" xfId="1856" applyNumberFormat="1" applyFont="1" applyFill="1" applyBorder="1" applyAlignment="1">
      <alignment horizontal="center" vertical="center" shrinkToFit="1"/>
    </xf>
    <xf numFmtId="0" fontId="220" fillId="37" borderId="17" xfId="1856" applyFont="1" applyFill="1" applyBorder="1" applyAlignment="1">
      <alignment vertical="center" shrinkToFit="1"/>
    </xf>
    <xf numFmtId="0" fontId="220" fillId="37" borderId="17" xfId="1856" applyFont="1" applyFill="1" applyBorder="1" applyAlignment="1">
      <alignment horizontal="center" vertical="center" shrinkToFit="1"/>
    </xf>
    <xf numFmtId="314" fontId="220" fillId="37" borderId="17" xfId="1856" applyNumberFormat="1" applyFont="1" applyFill="1" applyBorder="1" applyAlignment="1">
      <alignment horizontal="right" vertical="center" shrinkToFit="1"/>
    </xf>
    <xf numFmtId="0" fontId="220" fillId="37" borderId="68" xfId="1856" applyFont="1" applyFill="1" applyBorder="1" applyAlignment="1">
      <alignment horizontal="center" vertical="center" shrinkToFit="1"/>
    </xf>
    <xf numFmtId="0" fontId="170" fillId="0" borderId="17" xfId="0" applyFont="1" applyBorder="1" applyAlignment="1">
      <alignment horizontal="left" vertical="center"/>
    </xf>
    <xf numFmtId="0" fontId="170" fillId="0" borderId="17" xfId="7358" applyFont="1" applyBorder="1" applyAlignment="1">
      <alignment horizontal="center" vertical="center"/>
    </xf>
    <xf numFmtId="0" fontId="201" fillId="0" borderId="68" xfId="7358" applyFont="1" applyFill="1" applyBorder="1" applyAlignment="1">
      <alignment horizontal="center" vertical="center"/>
    </xf>
    <xf numFmtId="0" fontId="170" fillId="0" borderId="68" xfId="7358" applyFont="1" applyBorder="1" applyAlignment="1">
      <alignment horizontal="center" vertical="center"/>
    </xf>
    <xf numFmtId="0" fontId="170" fillId="0" borderId="70" xfId="0" applyFont="1" applyBorder="1" applyAlignment="1">
      <alignment horizontal="left" vertical="center"/>
    </xf>
    <xf numFmtId="0" fontId="170" fillId="0" borderId="70" xfId="7358" applyFont="1" applyBorder="1" applyAlignment="1">
      <alignment horizontal="center" vertical="center"/>
    </xf>
    <xf numFmtId="0" fontId="170" fillId="0" borderId="71" xfId="7358" applyFont="1" applyBorder="1" applyAlignment="1">
      <alignment horizontal="center" vertical="center"/>
    </xf>
    <xf numFmtId="41" fontId="170" fillId="0" borderId="17" xfId="1653" applyFont="1" applyFill="1" applyBorder="1" applyAlignment="1">
      <alignment horizontal="center" vertical="center"/>
    </xf>
    <xf numFmtId="41" fontId="170" fillId="0" borderId="17" xfId="1653" applyFont="1" applyBorder="1" applyAlignment="1">
      <alignment horizontal="center" vertical="center"/>
    </xf>
    <xf numFmtId="41" fontId="170" fillId="0" borderId="70" xfId="1653" applyFont="1" applyBorder="1" applyAlignment="1">
      <alignment horizontal="center" vertical="center"/>
    </xf>
    <xf numFmtId="0" fontId="225" fillId="0" borderId="74" xfId="0" applyFont="1" applyBorder="1" applyAlignment="1">
      <alignment horizontal="center" vertical="center"/>
    </xf>
    <xf numFmtId="41" fontId="225" fillId="0" borderId="75" xfId="1653" applyFont="1" applyBorder="1" applyAlignment="1">
      <alignment horizontal="center" vertical="center"/>
    </xf>
    <xf numFmtId="178" fontId="225" fillId="0" borderId="76" xfId="1653" applyNumberFormat="1" applyFont="1" applyBorder="1" applyAlignment="1">
      <alignment horizontal="center" vertical="center"/>
    </xf>
    <xf numFmtId="0" fontId="225" fillId="0" borderId="67" xfId="0" applyFont="1" applyBorder="1" applyAlignment="1">
      <alignment horizontal="center" vertical="center"/>
    </xf>
    <xf numFmtId="41" fontId="225" fillId="0" borderId="17" xfId="1653" applyFont="1" applyBorder="1" applyAlignment="1">
      <alignment horizontal="center" vertical="center"/>
    </xf>
    <xf numFmtId="178" fontId="225" fillId="0" borderId="68" xfId="0" applyNumberFormat="1" applyFont="1" applyBorder="1" applyAlignment="1">
      <alignment horizontal="center" vertical="center"/>
    </xf>
    <xf numFmtId="178" fontId="225" fillId="0" borderId="68" xfId="1653" applyNumberFormat="1" applyFont="1" applyBorder="1" applyAlignment="1">
      <alignment horizontal="center" vertical="center"/>
    </xf>
    <xf numFmtId="0" fontId="225" fillId="0" borderId="69" xfId="0" applyFont="1" applyBorder="1" applyAlignment="1">
      <alignment horizontal="center" vertical="center"/>
    </xf>
    <xf numFmtId="41" fontId="225" fillId="0" borderId="70" xfId="1653" applyFont="1" applyBorder="1" applyAlignment="1">
      <alignment horizontal="center" vertical="center"/>
    </xf>
    <xf numFmtId="178" fontId="225" fillId="0" borderId="71" xfId="0" applyNumberFormat="1" applyFont="1" applyBorder="1" applyAlignment="1">
      <alignment horizontal="center" vertical="center"/>
    </xf>
    <xf numFmtId="41" fontId="170" fillId="0" borderId="17" xfId="1653" applyFont="1" applyBorder="1" applyAlignment="1">
      <alignment horizontal="right" vertical="center"/>
    </xf>
    <xf numFmtId="0" fontId="146" fillId="0" borderId="38" xfId="1856" applyFont="1" applyFill="1" applyBorder="1" applyAlignment="1">
      <alignment horizontal="center"/>
    </xf>
    <xf numFmtId="0" fontId="146" fillId="0" borderId="38" xfId="1856" applyFont="1" applyFill="1" applyBorder="1" applyAlignment="1"/>
    <xf numFmtId="0" fontId="170" fillId="18" borderId="0" xfId="0" applyFont="1" applyFill="1"/>
    <xf numFmtId="0" fontId="170" fillId="0" borderId="0" xfId="0" applyFont="1" applyFill="1"/>
    <xf numFmtId="0" fontId="0" fillId="0" borderId="0" xfId="0" applyFill="1"/>
    <xf numFmtId="0" fontId="224" fillId="0" borderId="92" xfId="0" applyFont="1" applyFill="1" applyBorder="1" applyAlignment="1">
      <alignment horizontal="center" vertical="center"/>
    </xf>
    <xf numFmtId="41" fontId="224" fillId="0" borderId="93" xfId="1653" applyFont="1" applyFill="1" applyBorder="1" applyAlignment="1">
      <alignment horizontal="center" vertical="center"/>
    </xf>
    <xf numFmtId="0" fontId="224" fillId="0" borderId="93" xfId="0" applyFont="1" applyFill="1" applyBorder="1" applyAlignment="1">
      <alignment horizontal="center" vertical="center"/>
    </xf>
    <xf numFmtId="41" fontId="224" fillId="0" borderId="94" xfId="1653" applyFont="1" applyFill="1" applyBorder="1" applyAlignment="1">
      <alignment horizontal="center" vertical="center"/>
    </xf>
    <xf numFmtId="190" fontId="226" fillId="0" borderId="17" xfId="1856" applyNumberFormat="1" applyFont="1" applyFill="1" applyBorder="1" applyAlignment="1">
      <alignment horizontal="center" vertical="center" shrinkToFit="1"/>
    </xf>
    <xf numFmtId="0" fontId="226" fillId="0" borderId="17" xfId="1856" applyFont="1" applyFill="1" applyBorder="1" applyAlignment="1">
      <alignment horizontal="center" vertical="center" shrinkToFit="1"/>
    </xf>
    <xf numFmtId="0" fontId="201" fillId="0" borderId="92" xfId="7358" applyFont="1" applyFill="1" applyBorder="1" applyAlignment="1">
      <alignment horizontal="center" vertical="center"/>
    </xf>
    <xf numFmtId="0" fontId="201" fillId="0" borderId="93" xfId="7358" applyFont="1" applyFill="1" applyBorder="1" applyAlignment="1">
      <alignment horizontal="center" vertical="center"/>
    </xf>
    <xf numFmtId="0" fontId="201" fillId="0" borderId="94" xfId="7358" applyFont="1" applyFill="1" applyBorder="1" applyAlignment="1">
      <alignment horizontal="center" vertical="center"/>
    </xf>
    <xf numFmtId="0" fontId="170" fillId="0" borderId="17" xfId="0" applyFont="1" applyFill="1" applyBorder="1" applyAlignment="1">
      <alignment horizontal="center" vertical="center" shrinkToFit="1"/>
    </xf>
    <xf numFmtId="264" fontId="170" fillId="0" borderId="68" xfId="0" applyNumberFormat="1" applyFont="1" applyFill="1" applyBorder="1" applyAlignment="1">
      <alignment horizontal="center" vertical="center"/>
    </xf>
    <xf numFmtId="0" fontId="170" fillId="0" borderId="0" xfId="0" applyFont="1" applyBorder="1" applyAlignment="1">
      <alignment vertical="center"/>
    </xf>
    <xf numFmtId="0" fontId="201" fillId="0" borderId="0" xfId="0" applyFont="1" applyBorder="1" applyAlignment="1">
      <alignment horizontal="center" vertical="center"/>
    </xf>
    <xf numFmtId="0" fontId="201" fillId="0" borderId="61" xfId="0" applyFont="1" applyFill="1" applyBorder="1" applyAlignment="1">
      <alignment horizontal="center" vertical="center"/>
    </xf>
    <xf numFmtId="41" fontId="201" fillId="0" borderId="4" xfId="1653" applyFont="1" applyFill="1" applyBorder="1" applyAlignment="1">
      <alignment vertical="center"/>
    </xf>
    <xf numFmtId="41" fontId="170" fillId="0" borderId="4" xfId="1653" applyFont="1" applyFill="1" applyBorder="1" applyAlignment="1">
      <alignment vertical="center"/>
    </xf>
    <xf numFmtId="41" fontId="170" fillId="0" borderId="18" xfId="1653" applyFont="1" applyFill="1" applyBorder="1" applyAlignment="1">
      <alignment vertical="center"/>
    </xf>
    <xf numFmtId="41" fontId="201" fillId="0" borderId="1" xfId="1653" applyFont="1" applyFill="1" applyBorder="1" applyAlignment="1">
      <alignment vertical="center"/>
    </xf>
    <xf numFmtId="41" fontId="170" fillId="0" borderId="1" xfId="1653" applyFont="1" applyFill="1" applyBorder="1" applyAlignment="1">
      <alignment vertical="center"/>
    </xf>
    <xf numFmtId="41" fontId="170" fillId="0" borderId="63" xfId="1653" applyFont="1" applyFill="1" applyBorder="1" applyAlignment="1">
      <alignment vertical="center"/>
    </xf>
    <xf numFmtId="0" fontId="227" fillId="37" borderId="91" xfId="0" applyFont="1" applyFill="1" applyBorder="1" applyAlignment="1">
      <alignment horizontal="center" vertical="center"/>
    </xf>
    <xf numFmtId="0" fontId="228" fillId="0" borderId="7" xfId="0" applyFont="1" applyBorder="1" applyAlignment="1">
      <alignment horizontal="center" vertical="center"/>
    </xf>
    <xf numFmtId="0" fontId="228" fillId="0" borderId="24" xfId="0" applyFont="1" applyBorder="1" applyAlignment="1">
      <alignment horizontal="center" vertical="center"/>
    </xf>
    <xf numFmtId="0" fontId="228" fillId="0" borderId="24" xfId="0" applyFont="1" applyBorder="1" applyAlignment="1">
      <alignment horizontal="left" vertical="center"/>
    </xf>
    <xf numFmtId="0" fontId="228" fillId="0" borderId="16" xfId="0" applyFont="1" applyBorder="1" applyAlignment="1">
      <alignment horizontal="center" vertical="center"/>
    </xf>
    <xf numFmtId="0" fontId="227" fillId="0" borderId="88" xfId="0" applyFont="1" applyBorder="1" applyAlignment="1">
      <alignment horizontal="center" vertical="center"/>
    </xf>
    <xf numFmtId="0" fontId="228" fillId="0" borderId="2" xfId="0" applyFont="1" applyBorder="1" applyAlignment="1">
      <alignment horizontal="center" vertical="center"/>
    </xf>
    <xf numFmtId="0" fontId="228" fillId="0" borderId="36" xfId="0" applyFont="1" applyBorder="1" applyAlignment="1">
      <alignment horizontal="center" vertical="center"/>
    </xf>
    <xf numFmtId="0" fontId="228" fillId="0" borderId="36" xfId="0" applyFont="1" applyBorder="1" applyAlignment="1">
      <alignment horizontal="left" vertical="center"/>
    </xf>
    <xf numFmtId="0" fontId="228" fillId="0" borderId="8" xfId="0" applyFont="1" applyBorder="1" applyAlignment="1">
      <alignment horizontal="center" vertical="center"/>
    </xf>
    <xf numFmtId="0" fontId="227" fillId="0" borderId="18" xfId="0" applyFont="1" applyBorder="1" applyAlignment="1">
      <alignment horizontal="center" vertical="center"/>
    </xf>
    <xf numFmtId="0" fontId="228" fillId="0" borderId="86" xfId="0" applyFont="1" applyBorder="1" applyAlignment="1">
      <alignment horizontal="center" vertical="center"/>
    </xf>
    <xf numFmtId="0" fontId="228" fillId="0" borderId="84" xfId="0" applyFont="1" applyBorder="1" applyAlignment="1">
      <alignment horizontal="center" vertical="center"/>
    </xf>
    <xf numFmtId="0" fontId="228" fillId="0" borderId="84" xfId="0" applyFont="1" applyBorder="1" applyAlignment="1">
      <alignment horizontal="left" vertical="center"/>
    </xf>
    <xf numFmtId="0" fontId="228" fillId="0" borderId="85" xfId="0" applyFont="1" applyBorder="1" applyAlignment="1">
      <alignment horizontal="center" vertical="center"/>
    </xf>
    <xf numFmtId="0" fontId="227" fillId="0" borderId="63" xfId="0" applyFont="1" applyBorder="1" applyAlignment="1">
      <alignment horizontal="center" vertical="center"/>
    </xf>
    <xf numFmtId="0" fontId="201" fillId="0" borderId="80" xfId="0" applyFont="1" applyFill="1" applyBorder="1" applyAlignment="1">
      <alignment horizontal="center" vertical="center"/>
    </xf>
    <xf numFmtId="41" fontId="0" fillId="0" borderId="0" xfId="1653" applyFont="1"/>
    <xf numFmtId="0" fontId="170" fillId="0" borderId="68" xfId="0" applyFont="1" applyFill="1" applyBorder="1" applyAlignment="1">
      <alignment horizontal="center" vertical="center" shrinkToFit="1"/>
    </xf>
    <xf numFmtId="41" fontId="222" fillId="24" borderId="68" xfId="1653" applyFont="1" applyFill="1" applyBorder="1" applyAlignment="1">
      <alignment horizontal="center" vertical="center"/>
    </xf>
    <xf numFmtId="41" fontId="222" fillId="24" borderId="71" xfId="1653" applyFont="1" applyFill="1" applyBorder="1" applyAlignment="1">
      <alignment horizontal="center" vertical="center"/>
    </xf>
    <xf numFmtId="0" fontId="201" fillId="0" borderId="60" xfId="0" applyFont="1" applyFill="1" applyBorder="1" applyAlignment="1">
      <alignment horizontal="center" vertical="center"/>
    </xf>
    <xf numFmtId="0" fontId="201" fillId="0" borderId="0" xfId="0" applyFont="1" applyBorder="1" applyAlignment="1">
      <alignment horizontal="left" vertical="center"/>
    </xf>
    <xf numFmtId="0" fontId="170" fillId="0" borderId="17" xfId="0" applyFont="1" applyFill="1" applyBorder="1" applyAlignment="1">
      <alignment horizontal="center" vertical="center" wrapText="1" shrinkToFit="1"/>
    </xf>
    <xf numFmtId="41" fontId="201" fillId="0" borderId="96" xfId="1653" applyFont="1" applyFill="1" applyBorder="1" applyAlignment="1" applyProtection="1">
      <alignment horizontal="center" vertical="center"/>
      <protection locked="0"/>
    </xf>
    <xf numFmtId="0" fontId="201" fillId="0" borderId="99" xfId="0" applyFont="1" applyFill="1" applyBorder="1"/>
    <xf numFmtId="0" fontId="201" fillId="0" borderId="96" xfId="0" applyFont="1" applyFill="1" applyBorder="1"/>
    <xf numFmtId="41" fontId="201" fillId="0" borderId="96" xfId="1653" applyFont="1" applyFill="1" applyBorder="1" applyAlignment="1">
      <alignment horizontal="right"/>
    </xf>
    <xf numFmtId="41" fontId="201" fillId="0" borderId="96" xfId="1653" applyFont="1" applyFill="1" applyBorder="1"/>
    <xf numFmtId="41" fontId="201" fillId="0" borderId="96" xfId="1653" applyFont="1" applyFill="1" applyBorder="1" applyAlignment="1">
      <alignment horizontal="center" vertical="center"/>
    </xf>
    <xf numFmtId="41" fontId="201" fillId="0" borderId="97" xfId="1653" applyNumberFormat="1" applyFont="1" applyFill="1" applyBorder="1" applyAlignment="1">
      <alignment horizontal="center" vertical="center"/>
    </xf>
    <xf numFmtId="41" fontId="201" fillId="0" borderId="97" xfId="1653" applyFont="1" applyFill="1" applyBorder="1" applyAlignment="1" applyProtection="1">
      <alignment horizontal="center" vertical="center"/>
      <protection locked="0"/>
    </xf>
    <xf numFmtId="0" fontId="221" fillId="0" borderId="69" xfId="1856" applyFont="1" applyFill="1" applyBorder="1" applyAlignment="1">
      <alignment horizontal="center" vertical="center" shrinkToFit="1"/>
    </xf>
    <xf numFmtId="0" fontId="221" fillId="0" borderId="70" xfId="1856" applyFont="1" applyFill="1" applyBorder="1" applyAlignment="1">
      <alignment horizontal="center" vertical="center" shrinkToFit="1"/>
    </xf>
    <xf numFmtId="314" fontId="221" fillId="0" borderId="70" xfId="1856" applyNumberFormat="1" applyFont="1" applyFill="1" applyBorder="1" applyAlignment="1">
      <alignment horizontal="right" vertical="center" shrinkToFit="1"/>
    </xf>
    <xf numFmtId="9" fontId="221" fillId="0" borderId="71" xfId="1856" applyNumberFormat="1" applyFont="1" applyFill="1" applyBorder="1" applyAlignment="1">
      <alignment horizontal="center" vertical="center" shrinkToFit="1"/>
    </xf>
    <xf numFmtId="0" fontId="221" fillId="0" borderId="67" xfId="1856" applyFont="1" applyFill="1" applyBorder="1" applyAlignment="1">
      <alignment horizontal="center" vertical="center" shrinkToFit="1"/>
    </xf>
    <xf numFmtId="0" fontId="221" fillId="0" borderId="17" xfId="1856" applyFont="1" applyFill="1" applyBorder="1" applyAlignment="1">
      <alignment horizontal="center" vertical="center" shrinkToFit="1"/>
    </xf>
    <xf numFmtId="0" fontId="201" fillId="0" borderId="96" xfId="0" applyFont="1" applyFill="1" applyBorder="1" applyAlignment="1">
      <alignment horizontal="center" vertical="center"/>
    </xf>
    <xf numFmtId="0" fontId="170" fillId="0" borderId="100" xfId="0" applyFont="1" applyFill="1" applyBorder="1" applyAlignment="1">
      <alignment horizontal="center" vertical="center"/>
    </xf>
    <xf numFmtId="41" fontId="170" fillId="0" borderId="101" xfId="1653" applyFont="1" applyFill="1" applyBorder="1" applyAlignment="1">
      <alignment horizontal="center" vertical="center"/>
    </xf>
    <xf numFmtId="0" fontId="170" fillId="0" borderId="67" xfId="0" applyFont="1" applyFill="1" applyBorder="1" applyAlignment="1">
      <alignment horizontal="center" vertical="center"/>
    </xf>
    <xf numFmtId="0" fontId="170" fillId="0" borderId="17" xfId="7358" applyFont="1" applyFill="1" applyBorder="1" applyAlignment="1">
      <alignment horizontal="left" vertical="center"/>
    </xf>
    <xf numFmtId="0" fontId="170" fillId="0" borderId="17" xfId="7358" applyFont="1" applyFill="1" applyBorder="1" applyAlignment="1">
      <alignment horizontal="center" vertical="center"/>
    </xf>
    <xf numFmtId="41" fontId="170" fillId="0" borderId="17" xfId="1653" applyFont="1" applyFill="1" applyBorder="1" applyAlignment="1">
      <alignment horizontal="right" vertical="center"/>
    </xf>
    <xf numFmtId="41" fontId="170" fillId="0" borderId="17" xfId="1653" applyFont="1" applyFill="1" applyBorder="1" applyAlignment="1">
      <alignment vertical="center"/>
    </xf>
    <xf numFmtId="0" fontId="170" fillId="0" borderId="69" xfId="0" applyFont="1" applyFill="1" applyBorder="1" applyAlignment="1">
      <alignment horizontal="center" vertical="center"/>
    </xf>
    <xf numFmtId="0" fontId="221" fillId="0" borderId="67" xfId="1856" applyFont="1" applyFill="1" applyBorder="1" applyAlignment="1">
      <alignment horizontal="center" vertical="center" shrinkToFit="1"/>
    </xf>
    <xf numFmtId="0" fontId="221" fillId="0" borderId="17" xfId="1856" applyFont="1" applyFill="1" applyBorder="1" applyAlignment="1">
      <alignment horizontal="center" vertical="center" shrinkToFit="1"/>
    </xf>
    <xf numFmtId="41" fontId="222" fillId="24" borderId="102" xfId="1653" applyFont="1" applyFill="1" applyBorder="1" applyAlignment="1">
      <alignment horizontal="center" vertical="center"/>
    </xf>
    <xf numFmtId="41" fontId="170" fillId="0" borderId="17" xfId="1653" applyFont="1" applyFill="1" applyBorder="1" applyAlignment="1" applyProtection="1">
      <alignment horizontal="center" vertical="center"/>
      <protection locked="0"/>
    </xf>
    <xf numFmtId="41" fontId="170" fillId="0" borderId="68" xfId="1653" applyFont="1" applyFill="1" applyBorder="1" applyAlignment="1" applyProtection="1">
      <alignment horizontal="center" vertical="center"/>
      <protection locked="0"/>
    </xf>
    <xf numFmtId="41" fontId="170" fillId="0" borderId="70" xfId="1653" applyFont="1" applyFill="1" applyBorder="1" applyAlignment="1" applyProtection="1">
      <alignment horizontal="center" vertical="center"/>
      <protection locked="0"/>
    </xf>
    <xf numFmtId="41" fontId="170" fillId="0" borderId="71" xfId="1653" applyFont="1" applyFill="1" applyBorder="1" applyAlignment="1" applyProtection="1">
      <alignment horizontal="center" vertical="center"/>
      <protection locked="0"/>
    </xf>
    <xf numFmtId="2" fontId="220" fillId="0" borderId="17" xfId="1856" applyNumberFormat="1" applyFont="1" applyFill="1" applyBorder="1" applyAlignment="1">
      <alignment horizontal="center" vertical="center" shrinkToFit="1"/>
    </xf>
    <xf numFmtId="0" fontId="7" fillId="37" borderId="0" xfId="1856" applyFont="1" applyFill="1" applyBorder="1"/>
    <xf numFmtId="41" fontId="220" fillId="0" borderId="17" xfId="1856" applyNumberFormat="1" applyFont="1" applyFill="1" applyBorder="1" applyAlignment="1">
      <alignment horizontal="center" vertical="center" shrinkToFit="1"/>
    </xf>
    <xf numFmtId="41" fontId="170" fillId="0" borderId="101" xfId="0" applyNumberFormat="1" applyFont="1" applyFill="1" applyBorder="1" applyAlignment="1">
      <alignment horizontal="center" vertical="center"/>
    </xf>
    <xf numFmtId="41" fontId="170" fillId="0" borderId="17" xfId="0" applyNumberFormat="1" applyFont="1" applyFill="1" applyBorder="1" applyAlignment="1">
      <alignment horizontal="center" vertical="center"/>
    </xf>
    <xf numFmtId="41" fontId="170" fillId="0" borderId="70" xfId="0" applyNumberFormat="1" applyFont="1" applyFill="1" applyBorder="1" applyAlignment="1">
      <alignment horizontal="center" vertical="center"/>
    </xf>
    <xf numFmtId="0" fontId="221" fillId="0" borderId="67" xfId="1856" applyFont="1" applyFill="1" applyBorder="1" applyAlignment="1">
      <alignment horizontal="center" vertical="center" shrinkToFit="1"/>
    </xf>
    <xf numFmtId="0" fontId="221" fillId="0" borderId="17" xfId="1856" applyFont="1" applyFill="1" applyBorder="1" applyAlignment="1">
      <alignment horizontal="center" vertical="center" shrinkToFit="1"/>
    </xf>
    <xf numFmtId="41" fontId="170" fillId="0" borderId="70" xfId="1653" applyFont="1" applyBorder="1" applyAlignment="1">
      <alignment horizontal="right" vertical="center"/>
    </xf>
    <xf numFmtId="0" fontId="6" fillId="0" borderId="0" xfId="1858" applyFont="1" applyAlignment="1">
      <alignment horizontal="center" vertical="center"/>
    </xf>
    <xf numFmtId="0" fontId="170" fillId="0" borderId="101" xfId="0" applyFont="1" applyFill="1" applyBorder="1" applyAlignment="1">
      <alignment horizontal="left" vertical="center"/>
    </xf>
    <xf numFmtId="0" fontId="170" fillId="0" borderId="17" xfId="0" applyFont="1" applyFill="1" applyBorder="1" applyAlignment="1">
      <alignment horizontal="left" vertical="center"/>
    </xf>
    <xf numFmtId="0" fontId="170" fillId="0" borderId="70" xfId="0" applyFont="1" applyFill="1" applyBorder="1" applyAlignment="1">
      <alignment horizontal="left" vertical="center"/>
    </xf>
    <xf numFmtId="214" fontId="220" fillId="0" borderId="17" xfId="1856" applyNumberFormat="1" applyFont="1" applyFill="1" applyBorder="1" applyAlignment="1">
      <alignment horizontal="center" vertical="center" shrinkToFit="1"/>
    </xf>
    <xf numFmtId="0" fontId="170" fillId="0" borderId="81" xfId="0" applyFont="1" applyFill="1" applyBorder="1" applyAlignment="1">
      <alignment horizontal="center" vertical="center"/>
    </xf>
    <xf numFmtId="0" fontId="170" fillId="0" borderId="103" xfId="7358" applyFont="1" applyFill="1" applyBorder="1" applyAlignment="1">
      <alignment horizontal="left" vertical="center"/>
    </xf>
    <xf numFmtId="9" fontId="170" fillId="0" borderId="103" xfId="7358" applyNumberFormat="1" applyFont="1" applyFill="1" applyBorder="1" applyAlignment="1">
      <alignment horizontal="left" vertical="center"/>
    </xf>
    <xf numFmtId="0" fontId="170" fillId="0" borderId="103" xfId="7358" applyFont="1" applyFill="1" applyBorder="1" applyAlignment="1">
      <alignment horizontal="center" vertical="center"/>
    </xf>
    <xf numFmtId="9" fontId="170" fillId="0" borderId="103" xfId="1653" applyNumberFormat="1" applyFont="1" applyFill="1" applyBorder="1" applyAlignment="1">
      <alignment horizontal="right" vertical="center"/>
    </xf>
    <xf numFmtId="41" fontId="170" fillId="0" borderId="103" xfId="1653" applyFont="1" applyFill="1" applyBorder="1" applyAlignment="1">
      <alignment horizontal="center" vertical="center"/>
    </xf>
    <xf numFmtId="264" fontId="170" fillId="0" borderId="104" xfId="0" applyNumberFormat="1" applyFont="1" applyFill="1" applyBorder="1" applyAlignment="1">
      <alignment horizontal="center" vertical="center"/>
    </xf>
    <xf numFmtId="0" fontId="170" fillId="0" borderId="100" xfId="0" applyFont="1" applyBorder="1" applyAlignment="1">
      <alignment horizontal="center" vertical="center" wrapText="1"/>
    </xf>
    <xf numFmtId="0" fontId="170" fillId="0" borderId="101" xfId="0" applyFont="1" applyBorder="1" applyAlignment="1">
      <alignment vertical="center"/>
    </xf>
    <xf numFmtId="0" fontId="170" fillId="0" borderId="101" xfId="0" applyFont="1" applyBorder="1" applyAlignment="1">
      <alignment horizontal="left" vertical="center"/>
    </xf>
    <xf numFmtId="0" fontId="170" fillId="0" borderId="101" xfId="7358" applyFont="1" applyBorder="1" applyAlignment="1">
      <alignment horizontal="center" vertical="center"/>
    </xf>
    <xf numFmtId="0" fontId="201" fillId="0" borderId="102" xfId="7358" applyFont="1" applyFill="1" applyBorder="1" applyAlignment="1">
      <alignment horizontal="center" vertical="center"/>
    </xf>
    <xf numFmtId="0" fontId="170" fillId="0" borderId="67" xfId="0" applyFont="1" applyBorder="1" applyAlignment="1">
      <alignment horizontal="center" vertical="center" wrapText="1"/>
    </xf>
    <xf numFmtId="0" fontId="170" fillId="0" borderId="17" xfId="0" applyFont="1" applyBorder="1" applyAlignment="1">
      <alignment vertical="center"/>
    </xf>
    <xf numFmtId="41" fontId="170" fillId="0" borderId="17" xfId="7358" applyNumberFormat="1" applyFont="1" applyBorder="1" applyAlignment="1">
      <alignment horizontal="center" vertical="center"/>
    </xf>
    <xf numFmtId="0" fontId="170" fillId="0" borderId="69" xfId="0" applyFont="1" applyBorder="1" applyAlignment="1">
      <alignment horizontal="center" vertical="center" wrapText="1"/>
    </xf>
    <xf numFmtId="0" fontId="170" fillId="0" borderId="101" xfId="0" applyFont="1" applyFill="1" applyBorder="1" applyAlignment="1" applyProtection="1">
      <alignment horizontal="center" vertical="center"/>
      <protection locked="0"/>
    </xf>
    <xf numFmtId="41" fontId="170" fillId="0" borderId="101" xfId="1653" applyFont="1" applyFill="1" applyBorder="1" applyAlignment="1" applyProtection="1">
      <alignment horizontal="center" vertical="center"/>
      <protection locked="0"/>
    </xf>
    <xf numFmtId="41" fontId="170" fillId="0" borderId="102" xfId="1653" applyFont="1" applyFill="1" applyBorder="1" applyAlignment="1" applyProtection="1">
      <alignment horizontal="center" vertical="center"/>
      <protection locked="0"/>
    </xf>
    <xf numFmtId="0" fontId="170" fillId="0" borderId="17" xfId="0" applyFont="1" applyFill="1" applyBorder="1" applyAlignment="1" applyProtection="1">
      <alignment horizontal="center" vertical="center"/>
      <protection locked="0"/>
    </xf>
    <xf numFmtId="0" fontId="170" fillId="0" borderId="70" xfId="0" applyFont="1" applyFill="1" applyBorder="1" applyAlignment="1" applyProtection="1">
      <alignment horizontal="center" vertical="center"/>
      <protection locked="0"/>
    </xf>
    <xf numFmtId="0" fontId="201" fillId="0" borderId="66" xfId="0" applyFont="1" applyFill="1" applyBorder="1" applyAlignment="1">
      <alignment horizontal="center" vertical="center" wrapText="1"/>
    </xf>
    <xf numFmtId="0" fontId="170" fillId="0" borderId="17" xfId="0" applyFont="1" applyFill="1" applyBorder="1" applyAlignment="1">
      <alignment horizontal="center" vertical="center"/>
    </xf>
    <xf numFmtId="0" fontId="170" fillId="0" borderId="17" xfId="0" applyFont="1" applyFill="1" applyBorder="1" applyAlignment="1">
      <alignment horizontal="center" vertical="center" wrapText="1"/>
    </xf>
    <xf numFmtId="0" fontId="170" fillId="0" borderId="68" xfId="0" applyFont="1" applyFill="1" applyBorder="1" applyAlignment="1">
      <alignment horizontal="center" vertical="center" wrapText="1"/>
    </xf>
    <xf numFmtId="0" fontId="201" fillId="0" borderId="96" xfId="0" applyFont="1" applyFill="1" applyBorder="1" applyAlignment="1" applyProtection="1">
      <alignment horizontal="center" vertical="center"/>
      <protection locked="0"/>
    </xf>
    <xf numFmtId="0" fontId="170" fillId="0" borderId="101" xfId="0" applyFont="1" applyFill="1" applyBorder="1" applyAlignment="1">
      <alignment vertical="center"/>
    </xf>
    <xf numFmtId="0" fontId="170" fillId="0" borderId="17" xfId="0" applyFont="1" applyFill="1" applyBorder="1" applyAlignment="1">
      <alignment vertical="center"/>
    </xf>
    <xf numFmtId="0" fontId="170" fillId="0" borderId="70" xfId="0" applyFont="1" applyFill="1" applyBorder="1" applyAlignment="1">
      <alignment vertical="center"/>
    </xf>
    <xf numFmtId="0" fontId="170" fillId="0" borderId="77" xfId="7358" applyFont="1" applyFill="1" applyBorder="1" applyAlignment="1">
      <alignment vertical="center"/>
    </xf>
    <xf numFmtId="43" fontId="53" fillId="0" borderId="0" xfId="0" applyNumberFormat="1" applyFont="1" applyBorder="1" applyAlignment="1">
      <alignment vertical="center"/>
    </xf>
    <xf numFmtId="0" fontId="201" fillId="0" borderId="65" xfId="0" applyFont="1" applyFill="1" applyBorder="1" applyAlignment="1">
      <alignment horizontal="center" vertical="center"/>
    </xf>
    <xf numFmtId="0" fontId="201" fillId="0" borderId="17" xfId="0" applyFont="1" applyFill="1" applyBorder="1" applyAlignment="1">
      <alignment horizontal="center" vertical="center"/>
    </xf>
    <xf numFmtId="0" fontId="201" fillId="0" borderId="95" xfId="0" applyFont="1" applyFill="1" applyBorder="1" applyAlignment="1">
      <alignment horizontal="center" vertical="center"/>
    </xf>
    <xf numFmtId="0" fontId="201" fillId="0" borderId="96" xfId="0" applyFont="1" applyFill="1" applyBorder="1" applyAlignment="1">
      <alignment horizontal="center" vertical="center"/>
    </xf>
    <xf numFmtId="0" fontId="201" fillId="0" borderId="65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41" fontId="170" fillId="0" borderId="70" xfId="1653" applyFont="1" applyFill="1" applyBorder="1" applyAlignment="1">
      <alignment vertical="center"/>
    </xf>
    <xf numFmtId="41" fontId="170" fillId="0" borderId="70" xfId="1653" applyFont="1" applyFill="1" applyBorder="1" applyAlignment="1">
      <alignment horizontal="center" vertical="center"/>
    </xf>
    <xf numFmtId="213" fontId="52" fillId="18" borderId="0" xfId="0" applyNumberFormat="1" applyFont="1" applyFill="1" applyBorder="1" applyAlignment="1">
      <alignment horizontal="center" vertical="center"/>
    </xf>
    <xf numFmtId="0" fontId="46" fillId="18" borderId="47" xfId="0" applyFont="1" applyFill="1" applyBorder="1" applyAlignment="1">
      <alignment horizontal="center" vertical="center"/>
    </xf>
    <xf numFmtId="0" fontId="46" fillId="18" borderId="48" xfId="0" applyFont="1" applyFill="1" applyBorder="1" applyAlignment="1">
      <alignment horizontal="center" vertical="center"/>
    </xf>
    <xf numFmtId="0" fontId="49" fillId="18" borderId="45" xfId="0" applyFont="1" applyFill="1" applyBorder="1" applyAlignment="1">
      <alignment horizontal="center" vertical="center"/>
    </xf>
    <xf numFmtId="0" fontId="49" fillId="18" borderId="0" xfId="0" applyFont="1" applyFill="1" applyBorder="1" applyAlignment="1">
      <alignment horizontal="center" vertical="center"/>
    </xf>
    <xf numFmtId="0" fontId="49" fillId="18" borderId="46" xfId="0" applyFont="1" applyFill="1" applyBorder="1" applyAlignment="1">
      <alignment horizontal="center" vertical="center"/>
    </xf>
    <xf numFmtId="0" fontId="48" fillId="18" borderId="47" xfId="0" applyFont="1" applyFill="1" applyBorder="1" applyAlignment="1">
      <alignment horizontal="center" vertical="center"/>
    </xf>
    <xf numFmtId="0" fontId="48" fillId="18" borderId="48" xfId="0" applyFont="1" applyFill="1" applyBorder="1" applyAlignment="1">
      <alignment horizontal="center" vertical="center"/>
    </xf>
    <xf numFmtId="0" fontId="215" fillId="0" borderId="0" xfId="0" applyFont="1" applyBorder="1" applyAlignment="1">
      <alignment vertical="center"/>
    </xf>
    <xf numFmtId="0" fontId="223" fillId="0" borderId="0" xfId="0" applyFont="1" applyBorder="1" applyAlignment="1">
      <alignment horizontal="center" vertical="center"/>
    </xf>
    <xf numFmtId="0" fontId="227" fillId="37" borderId="89" xfId="0" applyFont="1" applyFill="1" applyBorder="1" applyAlignment="1">
      <alignment horizontal="center" vertical="center"/>
    </xf>
    <xf numFmtId="0" fontId="227" fillId="37" borderId="90" xfId="0" applyFont="1" applyFill="1" applyBorder="1" applyAlignment="1">
      <alignment horizontal="center" vertical="center"/>
    </xf>
    <xf numFmtId="0" fontId="215" fillId="0" borderId="0" xfId="0" applyFont="1" applyBorder="1" applyAlignment="1">
      <alignment horizontal="left" vertical="center" wrapText="1"/>
    </xf>
    <xf numFmtId="0" fontId="227" fillId="0" borderId="87" xfId="0" applyFont="1" applyBorder="1" applyAlignment="1">
      <alignment horizontal="center" vertical="center"/>
    </xf>
    <xf numFmtId="0" fontId="227" fillId="0" borderId="6" xfId="0" applyFont="1" applyBorder="1" applyAlignment="1">
      <alignment horizontal="center" vertical="center"/>
    </xf>
    <xf numFmtId="42" fontId="228" fillId="0" borderId="24" xfId="0" applyNumberFormat="1" applyFont="1" applyBorder="1" applyAlignment="1">
      <alignment horizontal="center" vertical="center"/>
    </xf>
    <xf numFmtId="0" fontId="227" fillId="0" borderId="82" xfId="0" applyFont="1" applyBorder="1" applyAlignment="1">
      <alignment horizontal="center" vertical="center"/>
    </xf>
    <xf numFmtId="0" fontId="227" fillId="0" borderId="36" xfId="0" applyFont="1" applyBorder="1" applyAlignment="1">
      <alignment horizontal="center" vertical="center"/>
    </xf>
    <xf numFmtId="0" fontId="227" fillId="0" borderId="8" xfId="0" applyFont="1" applyBorder="1" applyAlignment="1">
      <alignment horizontal="center" vertical="center"/>
    </xf>
    <xf numFmtId="42" fontId="228" fillId="0" borderId="36" xfId="0" applyNumberFormat="1" applyFont="1" applyBorder="1" applyAlignment="1">
      <alignment horizontal="center" vertical="center"/>
    </xf>
    <xf numFmtId="0" fontId="227" fillId="0" borderId="83" xfId="0" applyFont="1" applyBorder="1" applyAlignment="1">
      <alignment horizontal="center" vertical="center"/>
    </xf>
    <xf numFmtId="0" fontId="227" fillId="0" borderId="84" xfId="0" applyFont="1" applyBorder="1" applyAlignment="1">
      <alignment horizontal="center" vertical="center"/>
    </xf>
    <xf numFmtId="0" fontId="227" fillId="0" borderId="85" xfId="0" applyFont="1" applyBorder="1" applyAlignment="1">
      <alignment horizontal="center" vertical="center"/>
    </xf>
    <xf numFmtId="42" fontId="228" fillId="0" borderId="84" xfId="0" applyNumberFormat="1" applyFont="1" applyBorder="1" applyAlignment="1">
      <alignment horizontal="center" vertical="center"/>
    </xf>
    <xf numFmtId="41" fontId="201" fillId="0" borderId="62" xfId="1653" applyFont="1" applyFill="1" applyBorder="1" applyAlignment="1">
      <alignment horizontal="center" vertical="center"/>
    </xf>
    <xf numFmtId="41" fontId="201" fillId="0" borderId="1" xfId="1653" applyFont="1" applyFill="1" applyBorder="1" applyAlignment="1">
      <alignment horizontal="center" vertical="center"/>
    </xf>
    <xf numFmtId="0" fontId="213" fillId="0" borderId="0" xfId="0" applyFont="1" applyBorder="1" applyAlignment="1">
      <alignment horizontal="center" vertical="center"/>
    </xf>
    <xf numFmtId="0" fontId="201" fillId="0" borderId="59" xfId="0" applyFont="1" applyFill="1" applyBorder="1" applyAlignment="1">
      <alignment horizontal="center" vertical="center"/>
    </xf>
    <xf numFmtId="0" fontId="201" fillId="0" borderId="60" xfId="0" applyFont="1" applyFill="1" applyBorder="1" applyAlignment="1">
      <alignment horizontal="center" vertical="center"/>
    </xf>
    <xf numFmtId="41" fontId="170" fillId="0" borderId="19" xfId="1653" applyFont="1" applyFill="1" applyBorder="1" applyAlignment="1">
      <alignment horizontal="center" vertical="center" textRotation="255"/>
    </xf>
    <xf numFmtId="0" fontId="170" fillId="0" borderId="4" xfId="1653" applyNumberFormat="1" applyFont="1" applyFill="1" applyBorder="1" applyAlignment="1">
      <alignment horizontal="center" vertical="center" textRotation="255"/>
    </xf>
    <xf numFmtId="41" fontId="201" fillId="0" borderId="4" xfId="1653" applyFont="1" applyFill="1" applyBorder="1" applyAlignment="1">
      <alignment horizontal="center" vertical="center"/>
    </xf>
    <xf numFmtId="41" fontId="170" fillId="0" borderId="19" xfId="1653" applyFont="1" applyFill="1" applyBorder="1" applyAlignment="1">
      <alignment horizontal="center" vertical="center"/>
    </xf>
    <xf numFmtId="41" fontId="170" fillId="0" borderId="4" xfId="1653" applyFont="1" applyFill="1" applyBorder="1" applyAlignment="1">
      <alignment horizontal="center" vertical="center"/>
    </xf>
    <xf numFmtId="41" fontId="201" fillId="0" borderId="19" xfId="1653" applyFont="1" applyFill="1" applyBorder="1" applyAlignment="1">
      <alignment horizontal="center" vertical="center"/>
    </xf>
    <xf numFmtId="0" fontId="170" fillId="0" borderId="30" xfId="1653" applyNumberFormat="1" applyFont="1" applyFill="1" applyBorder="1" applyAlignment="1">
      <alignment horizontal="center" vertical="center" textRotation="255"/>
    </xf>
    <xf numFmtId="0" fontId="170" fillId="0" borderId="56" xfId="1653" applyNumberFormat="1" applyFont="1" applyFill="1" applyBorder="1" applyAlignment="1">
      <alignment horizontal="center" vertical="center" textRotation="255"/>
    </xf>
    <xf numFmtId="0" fontId="170" fillId="0" borderId="6" xfId="1653" applyNumberFormat="1" applyFont="1" applyFill="1" applyBorder="1" applyAlignment="1">
      <alignment horizontal="center" vertical="center" textRotation="255"/>
    </xf>
    <xf numFmtId="0" fontId="201" fillId="0" borderId="66" xfId="0" applyFont="1" applyFill="1" applyBorder="1" applyAlignment="1">
      <alignment horizontal="center" vertical="center"/>
    </xf>
    <xf numFmtId="0" fontId="201" fillId="0" borderId="68" xfId="0" applyFont="1" applyFill="1" applyBorder="1" applyAlignment="1">
      <alignment horizontal="center" vertical="center"/>
    </xf>
    <xf numFmtId="0" fontId="213" fillId="18" borderId="0" xfId="0" applyFont="1" applyFill="1" applyAlignment="1">
      <alignment horizontal="center"/>
    </xf>
    <xf numFmtId="0" fontId="201" fillId="0" borderId="64" xfId="0" applyFont="1" applyFill="1" applyBorder="1" applyAlignment="1">
      <alignment horizontal="center" vertical="center"/>
    </xf>
    <xf numFmtId="0" fontId="201" fillId="0" borderId="67" xfId="0" applyFont="1" applyFill="1" applyBorder="1" applyAlignment="1">
      <alignment horizontal="center" vertical="center"/>
    </xf>
    <xf numFmtId="0" fontId="201" fillId="0" borderId="73" xfId="0" applyFont="1" applyFill="1" applyBorder="1" applyAlignment="1">
      <alignment horizontal="center" vertical="center"/>
    </xf>
    <xf numFmtId="0" fontId="201" fillId="0" borderId="72" xfId="0" applyFont="1" applyFill="1" applyBorder="1" applyAlignment="1">
      <alignment horizontal="center" vertical="center"/>
    </xf>
    <xf numFmtId="0" fontId="201" fillId="0" borderId="65" xfId="0" applyFont="1" applyFill="1" applyBorder="1" applyAlignment="1">
      <alignment horizontal="center" vertical="center"/>
    </xf>
    <xf numFmtId="0" fontId="201" fillId="0" borderId="17" xfId="0" applyFont="1" applyFill="1" applyBorder="1" applyAlignment="1">
      <alignment horizontal="center" vertical="center"/>
    </xf>
    <xf numFmtId="0" fontId="201" fillId="0" borderId="78" xfId="0" applyFont="1" applyFill="1" applyBorder="1" applyAlignment="1">
      <alignment horizontal="center" vertical="center"/>
    </xf>
    <xf numFmtId="0" fontId="201" fillId="0" borderId="98" xfId="0" applyFont="1" applyFill="1" applyBorder="1" applyAlignment="1">
      <alignment horizontal="center" vertical="center"/>
    </xf>
    <xf numFmtId="0" fontId="201" fillId="0" borderId="75" xfId="0" applyFont="1" applyFill="1" applyBorder="1" applyAlignment="1">
      <alignment horizontal="center" vertical="center"/>
    </xf>
    <xf numFmtId="0" fontId="213" fillId="0" borderId="0" xfId="1856" applyFont="1" applyFill="1" applyBorder="1" applyAlignment="1">
      <alignment horizontal="center"/>
    </xf>
    <xf numFmtId="0" fontId="221" fillId="0" borderId="64" xfId="1856" applyFont="1" applyFill="1" applyBorder="1" applyAlignment="1">
      <alignment horizontal="center" vertical="center" shrinkToFit="1"/>
    </xf>
    <xf numFmtId="0" fontId="221" fillId="0" borderId="67" xfId="1856" applyFont="1" applyFill="1" applyBorder="1" applyAlignment="1">
      <alignment horizontal="center" vertical="center" shrinkToFit="1"/>
    </xf>
    <xf numFmtId="0" fontId="221" fillId="0" borderId="65" xfId="1856" applyFont="1" applyFill="1" applyBorder="1" applyAlignment="1">
      <alignment horizontal="center" vertical="center" shrinkToFit="1"/>
    </xf>
    <xf numFmtId="0" fontId="221" fillId="0" borderId="17" xfId="1856" applyFont="1" applyFill="1" applyBorder="1" applyAlignment="1">
      <alignment horizontal="center" vertical="center" shrinkToFit="1"/>
    </xf>
    <xf numFmtId="190" fontId="226" fillId="0" borderId="65" xfId="1856" applyNumberFormat="1" applyFont="1" applyFill="1" applyBorder="1" applyAlignment="1">
      <alignment horizontal="center" vertical="center" shrinkToFit="1"/>
    </xf>
    <xf numFmtId="0" fontId="221" fillId="0" borderId="66" xfId="1856" applyFont="1" applyFill="1" applyBorder="1" applyAlignment="1">
      <alignment horizontal="center" vertical="center"/>
    </xf>
    <xf numFmtId="0" fontId="221" fillId="0" borderId="68" xfId="1856" applyFont="1" applyFill="1" applyBorder="1" applyAlignment="1">
      <alignment horizontal="center" vertical="center"/>
    </xf>
    <xf numFmtId="0" fontId="201" fillId="0" borderId="97" xfId="0" applyFont="1" applyFill="1" applyBorder="1" applyAlignment="1">
      <alignment horizontal="center" vertical="center"/>
    </xf>
    <xf numFmtId="0" fontId="201" fillId="0" borderId="95" xfId="0" applyFont="1" applyFill="1" applyBorder="1" applyAlignment="1">
      <alignment horizontal="center" vertical="center"/>
    </xf>
    <xf numFmtId="0" fontId="201" fillId="0" borderId="96" xfId="0" applyFont="1" applyFill="1" applyBorder="1" applyAlignment="1">
      <alignment horizontal="center" vertical="center"/>
    </xf>
    <xf numFmtId="0" fontId="201" fillId="0" borderId="79" xfId="0" applyFont="1" applyFill="1" applyBorder="1" applyAlignment="1">
      <alignment horizontal="center" vertical="center"/>
    </xf>
    <xf numFmtId="0" fontId="213" fillId="0" borderId="0" xfId="1858" applyFont="1" applyAlignment="1">
      <alignment horizontal="center" vertical="center"/>
    </xf>
    <xf numFmtId="0" fontId="229" fillId="0" borderId="64" xfId="0" applyFont="1" applyFill="1" applyBorder="1" applyAlignment="1">
      <alignment horizontal="center" vertical="center"/>
    </xf>
    <xf numFmtId="0" fontId="229" fillId="0" borderId="67" xfId="0" applyFont="1" applyFill="1" applyBorder="1" applyAlignment="1">
      <alignment horizontal="center" vertical="center"/>
    </xf>
    <xf numFmtId="0" fontId="229" fillId="0" borderId="95" xfId="0" applyFont="1" applyFill="1" applyBorder="1" applyAlignment="1">
      <alignment horizontal="center" vertical="center"/>
    </xf>
    <xf numFmtId="0" fontId="213" fillId="0" borderId="0" xfId="0" applyFont="1" applyBorder="1" applyAlignment="1">
      <alignment horizontal="center"/>
    </xf>
    <xf numFmtId="0" fontId="201" fillId="0" borderId="65" xfId="0" applyFont="1" applyFill="1" applyBorder="1" applyAlignment="1">
      <alignment horizontal="center" vertical="center" wrapText="1"/>
    </xf>
    <xf numFmtId="0" fontId="229" fillId="0" borderId="100" xfId="0" applyFont="1" applyFill="1" applyBorder="1" applyAlignment="1">
      <alignment horizontal="center" vertical="center" wrapText="1"/>
    </xf>
    <xf numFmtId="0" fontId="229" fillId="0" borderId="67" xfId="0" applyFont="1" applyFill="1" applyBorder="1" applyAlignment="1">
      <alignment horizontal="center" vertical="center" wrapText="1"/>
    </xf>
    <xf numFmtId="0" fontId="229" fillId="0" borderId="69" xfId="0" applyFont="1" applyFill="1" applyBorder="1" applyAlignment="1">
      <alignment horizontal="center" vertical="center" wrapText="1"/>
    </xf>
    <xf numFmtId="0" fontId="21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7360">
    <cellStyle name="_x0014_" xfId="2147" xr:uid="{00000000-0005-0000-0000-000000000000}"/>
    <cellStyle name=" " xfId="2" xr:uid="{00000000-0005-0000-0000-000001000000}"/>
    <cellStyle name="          _x000d__x000a_386grabber=vga.3gr_x000d__x000a_" xfId="3" xr:uid="{00000000-0005-0000-0000-000002000000}"/>
    <cellStyle name=" _(주)신한건설-산성역(동진계약내역서)2010.06.28제출" xfId="4812" xr:uid="{00000000-0005-0000-0000-000003000000}"/>
    <cellStyle name=" _00부대내역서(11.04)" xfId="4813" xr:uid="{00000000-0005-0000-0000-000004000000}"/>
    <cellStyle name=" _00부대내역서(11.04)_사본 - 5차설계변경_(가로등) 09.12.05" xfId="4814" xr:uid="{00000000-0005-0000-0000-000005000000}"/>
    <cellStyle name=" _00부대내역서(11.04)_사본 - 5차설계변경_(가로등) 09.12.05_세무서 삼거리 신호등설치공사(진용) 2011년 11.03.11" xfId="4815" xr:uid="{00000000-0005-0000-0000-000006000000}"/>
    <cellStyle name=" _00부대내역서(11.04)_운중동 가압장인입공사 내역서-2차 09.11.14" xfId="4816" xr:uid="{00000000-0005-0000-0000-000007000000}"/>
    <cellStyle name=" _00부대내역서(11.04)_일위대가변경" xfId="4817" xr:uid="{00000000-0005-0000-0000-000008000000}"/>
    <cellStyle name=" _00부대내역서(11.04)_제1회설계변경_최종(1)-인우백업" xfId="4818" xr:uid="{00000000-0005-0000-0000-000009000000}"/>
    <cellStyle name=" _00부대내역서(11.04)_제1회설계변경_최종(1)-인우백업_세무서 삼거리 신호등설치공사(진용) 2011년 11.03.11" xfId="4819" xr:uid="{00000000-0005-0000-0000-00000A000000}"/>
    <cellStyle name=" _00부대내역서(11.04)_주공-통보단가" xfId="4820" xr:uid="{00000000-0005-0000-0000-00000B000000}"/>
    <cellStyle name=" _00부대내역서(11.04)_주공-통보단가_세무서 삼거리 신호등설치공사(진용) 2011년 11.03.11" xfId="4821" xr:uid="{00000000-0005-0000-0000-00000C000000}"/>
    <cellStyle name=" _00부대내역서(11.06)" xfId="4822" xr:uid="{00000000-0005-0000-0000-00000D000000}"/>
    <cellStyle name=" _00부대내역서(11.06)_사본 - 5차설계변경_(가로등) 09.12.05" xfId="4823" xr:uid="{00000000-0005-0000-0000-00000E000000}"/>
    <cellStyle name=" _00부대내역서(11.06)_사본 - 5차설계변경_(가로등) 09.12.05_세무서 삼거리 신호등설치공사(진용) 2011년 11.03.11" xfId="4824" xr:uid="{00000000-0005-0000-0000-00000F000000}"/>
    <cellStyle name=" _00부대내역서(11.06)_운중동 가압장인입공사 내역서-2차 09.11.14" xfId="4825" xr:uid="{00000000-0005-0000-0000-000010000000}"/>
    <cellStyle name=" _00부대내역서(11.06)_일위대가변경" xfId="4826" xr:uid="{00000000-0005-0000-0000-000011000000}"/>
    <cellStyle name=" _00부대내역서(11.06)_제1회설계변경_최종(1)-인우백업" xfId="4827" xr:uid="{00000000-0005-0000-0000-000012000000}"/>
    <cellStyle name=" _00부대내역서(11.06)_제1회설계변경_최종(1)-인우백업_세무서 삼거리 신호등설치공사(진용) 2011년 11.03.11" xfId="4828" xr:uid="{00000000-0005-0000-0000-000013000000}"/>
    <cellStyle name=" _00부대내역서(11.06)_주공-통보단가" xfId="4829" xr:uid="{00000000-0005-0000-0000-000014000000}"/>
    <cellStyle name=" _00부대내역서(11.06)_주공-통보단가_세무서 삼거리 신호등설치공사(진용) 2011년 11.03.11" xfId="4830" xr:uid="{00000000-0005-0000-0000-000015000000}"/>
    <cellStyle name=" _2회기성조서-'07.06.14(최종)" xfId="4831" xr:uid="{00000000-0005-0000-0000-000016000000}"/>
    <cellStyle name=" _97연말" xfId="4" xr:uid="{00000000-0005-0000-0000-000017000000}"/>
    <cellStyle name=" _97연말_00부대내역서(11.04)" xfId="4832" xr:uid="{00000000-0005-0000-0000-000018000000}"/>
    <cellStyle name=" _97연말_00부대내역서(11.04)_사본 - 5차설계변경_(가로등) 09.12.05" xfId="4833" xr:uid="{00000000-0005-0000-0000-000019000000}"/>
    <cellStyle name=" _97연말_00부대내역서(11.04)_사본 - 5차설계변경_(가로등) 09.12.05_세무서 삼거리 신호등설치공사(진용) 2011년 11.03.11" xfId="4834" xr:uid="{00000000-0005-0000-0000-00001A000000}"/>
    <cellStyle name=" _97연말_00부대내역서(11.04)_운중동 가압장인입공사 내역서-2차 09.11.14" xfId="4835" xr:uid="{00000000-0005-0000-0000-00001B000000}"/>
    <cellStyle name=" _97연말_00부대내역서(11.04)_일위대가변경" xfId="4836" xr:uid="{00000000-0005-0000-0000-00001C000000}"/>
    <cellStyle name=" _97연말_00부대내역서(11.04)_제1회설계변경_최종(1)-인우백업" xfId="4837" xr:uid="{00000000-0005-0000-0000-00001D000000}"/>
    <cellStyle name=" _97연말_00부대내역서(11.04)_제1회설계변경_최종(1)-인우백업_세무서 삼거리 신호등설치공사(진용) 2011년 11.03.11" xfId="4838" xr:uid="{00000000-0005-0000-0000-00001E000000}"/>
    <cellStyle name=" _97연말_00부대내역서(11.04)_주공-통보단가" xfId="4839" xr:uid="{00000000-0005-0000-0000-00001F000000}"/>
    <cellStyle name=" _97연말_00부대내역서(11.04)_주공-통보단가_세무서 삼거리 신호등설치공사(진용) 2011년 11.03.11" xfId="4840" xr:uid="{00000000-0005-0000-0000-000020000000}"/>
    <cellStyle name=" _97연말_00부대내역서(11.06)" xfId="4841" xr:uid="{00000000-0005-0000-0000-000021000000}"/>
    <cellStyle name=" _97연말_00부대내역서(11.06)_사본 - 5차설계변경_(가로등) 09.12.05" xfId="4842" xr:uid="{00000000-0005-0000-0000-000022000000}"/>
    <cellStyle name=" _97연말_00부대내역서(11.06)_사본 - 5차설계변경_(가로등) 09.12.05_세무서 삼거리 신호등설치공사(진용) 2011년 11.03.11" xfId="4843" xr:uid="{00000000-0005-0000-0000-000023000000}"/>
    <cellStyle name=" _97연말_00부대내역서(11.06)_운중동 가압장인입공사 내역서-2차 09.11.14" xfId="4844" xr:uid="{00000000-0005-0000-0000-000024000000}"/>
    <cellStyle name=" _97연말_00부대내역서(11.06)_일위대가변경" xfId="4845" xr:uid="{00000000-0005-0000-0000-000025000000}"/>
    <cellStyle name=" _97연말_00부대내역서(11.06)_제1회설계변경_최종(1)-인우백업" xfId="4846" xr:uid="{00000000-0005-0000-0000-000026000000}"/>
    <cellStyle name=" _97연말_00부대내역서(11.06)_제1회설계변경_최종(1)-인우백업_세무서 삼거리 신호등설치공사(진용) 2011년 11.03.11" xfId="4847" xr:uid="{00000000-0005-0000-0000-000027000000}"/>
    <cellStyle name=" _97연말_00부대내역서(11.06)_주공-통보단가" xfId="4848" xr:uid="{00000000-0005-0000-0000-000028000000}"/>
    <cellStyle name=" _97연말_00부대내역서(11.06)_주공-통보단가_세무서 삼거리 신호등설치공사(진용) 2011년 11.03.11" xfId="4849" xr:uid="{00000000-0005-0000-0000-000029000000}"/>
    <cellStyle name=" _97연말_2회기성조서-'07.06.14(최종)" xfId="4850" xr:uid="{00000000-0005-0000-0000-00002A000000}"/>
    <cellStyle name=" _97연말_기성준비(임시가로등)" xfId="4851" xr:uid="{00000000-0005-0000-0000-00002B000000}"/>
    <cellStyle name=" _97연말_기성준비(임시가로등)_사본 - 5차설계변경_(가로등) 09.12.05" xfId="4852" xr:uid="{00000000-0005-0000-0000-00002C000000}"/>
    <cellStyle name=" _97연말_기성준비(임시가로등)_사본 - 5차설계변경_(가로등) 09.12.05_세무서 삼거리 신호등설치공사(진용) 2011년 11.03.11" xfId="4853" xr:uid="{00000000-0005-0000-0000-00002D000000}"/>
    <cellStyle name=" _97연말_기성준비(임시가로등)_운중동 가압장인입공사 내역서-2차 09.11.14" xfId="4854" xr:uid="{00000000-0005-0000-0000-00002E000000}"/>
    <cellStyle name=" _97연말_기성준비(임시가로등)_일위대가변경" xfId="4855" xr:uid="{00000000-0005-0000-0000-00002F000000}"/>
    <cellStyle name=" _97연말_기성준비(임시가로등)_제1회설계변경_최종(1)-인우백업" xfId="4856" xr:uid="{00000000-0005-0000-0000-000030000000}"/>
    <cellStyle name=" _97연말_기성준비(임시가로등)_제1회설계변경_최종(1)-인우백업_세무서 삼거리 신호등설치공사(진용) 2011년 11.03.11" xfId="4857" xr:uid="{00000000-0005-0000-0000-000031000000}"/>
    <cellStyle name=" _97연말_기성준비(임시가로등)_주공-통보단가" xfId="4858" xr:uid="{00000000-0005-0000-0000-000032000000}"/>
    <cellStyle name=" _97연말_기성준비(임시가로등)_주공-통보단가_세무서 삼거리 신호등설치공사(진용) 2011년 11.03.11" xfId="4859" xr:uid="{00000000-0005-0000-0000-000033000000}"/>
    <cellStyle name=" _97연말_내역서(수정)" xfId="5" xr:uid="{00000000-0005-0000-0000-000034000000}"/>
    <cellStyle name=" _97연말_동의서" xfId="4860" xr:uid="{00000000-0005-0000-0000-000035000000}"/>
    <cellStyle name=" _97연말_물금취수장 감시시스템 이설공사내역서" xfId="6" xr:uid="{00000000-0005-0000-0000-000036000000}"/>
    <cellStyle name=" _97연말_사본 - 5차설계변경_(가로등) 09.12.05" xfId="4861" xr:uid="{00000000-0005-0000-0000-000037000000}"/>
    <cellStyle name=" _97연말_사본 - 5차설계변경_(가로등) 09.12.05_세무서 삼거리 신호등설치공사(진용) 2011년 11.03.11" xfId="4862" xr:uid="{00000000-0005-0000-0000-000038000000}"/>
    <cellStyle name=" _97연말_제1회 설계변경(완료)" xfId="4863" xr:uid="{00000000-0005-0000-0000-000039000000}"/>
    <cellStyle name=" _97연말_제1회 설계변경(완료)_사본 - 5차설계변경_(가로등) 09.12.05" xfId="4864" xr:uid="{00000000-0005-0000-0000-00003A000000}"/>
    <cellStyle name=" _97연말_제1회 설계변경(완료)_사본 - 5차설계변경_(가로등) 09.12.05_세무서 삼거리 신호등설치공사(진용) 2011년 11.03.11" xfId="4865" xr:uid="{00000000-0005-0000-0000-00003B000000}"/>
    <cellStyle name=" _97연말_제1회 설계변경(완료)_운중동 가압장인입공사 내역서-2차 09.11.14" xfId="4866" xr:uid="{00000000-0005-0000-0000-00003C000000}"/>
    <cellStyle name=" _97연말_제1회 설계변경(완료)_일위대가변경" xfId="4867" xr:uid="{00000000-0005-0000-0000-00003D000000}"/>
    <cellStyle name=" _97연말_제1회 설계변경(완료)_제1회설계변경_최종(1)-인우백업" xfId="4868" xr:uid="{00000000-0005-0000-0000-00003E000000}"/>
    <cellStyle name=" _97연말_제1회 설계변경(완료)_제1회설계변경_최종(1)-인우백업_세무서 삼거리 신호등설치공사(진용) 2011년 11.03.11" xfId="4869" xr:uid="{00000000-0005-0000-0000-00003F000000}"/>
    <cellStyle name=" _97연말_제1회 설계변경(완료)_주공-통보단가" xfId="4870" xr:uid="{00000000-0005-0000-0000-000040000000}"/>
    <cellStyle name=" _97연말_제1회 설계변경(완료)_주공-통보단가_세무서 삼거리 신호등설치공사(진용) 2011년 11.03.11" xfId="4871" xr:uid="{00000000-0005-0000-0000-000041000000}"/>
    <cellStyle name=" _97연말_제1회 설계변경(완료)-4(발전기)인쇄" xfId="4872" xr:uid="{00000000-0005-0000-0000-000042000000}"/>
    <cellStyle name=" _97연말_제1회설계변경_최종" xfId="4873" xr:uid="{00000000-0005-0000-0000-000043000000}"/>
    <cellStyle name=" _97연말_제1회연동제" xfId="4874" xr:uid="{00000000-0005-0000-0000-000044000000}"/>
    <cellStyle name=" _97연말_제2회 설계변경(공기연장)-최종(금액변동 없음)" xfId="4875" xr:uid="{00000000-0005-0000-0000-000045000000}"/>
    <cellStyle name=" _97연말_제2회 설계변경(공기연장)-최종(금액변동 없음)_1" xfId="4876" xr:uid="{00000000-0005-0000-0000-000046000000}"/>
    <cellStyle name=" _97연말_제2회 설계변경(내역서)-최종" xfId="4877" xr:uid="{00000000-0005-0000-0000-000047000000}"/>
    <cellStyle name=" _97연말_제4회설계변경내역서(공기연장)" xfId="4878" xr:uid="{00000000-0005-0000-0000-000048000000}"/>
    <cellStyle name=" _97연말_천성가압장 전기공사" xfId="7" xr:uid="{00000000-0005-0000-0000-000049000000}"/>
    <cellStyle name=" _97연말_회동수원지기자재내역서" xfId="8" xr:uid="{00000000-0005-0000-0000-00004A000000}"/>
    <cellStyle name=" _97연말1" xfId="9" xr:uid="{00000000-0005-0000-0000-00004B000000}"/>
    <cellStyle name=" _97연말1_00부대내역서(11.04)" xfId="4879" xr:uid="{00000000-0005-0000-0000-00004C000000}"/>
    <cellStyle name=" _97연말1_00부대내역서(11.04)_사본 - 5차설계변경_(가로등) 09.12.05" xfId="4880" xr:uid="{00000000-0005-0000-0000-00004D000000}"/>
    <cellStyle name=" _97연말1_00부대내역서(11.04)_사본 - 5차설계변경_(가로등) 09.12.05_세무서 삼거리 신호등설치공사(진용) 2011년 11.03.11" xfId="4881" xr:uid="{00000000-0005-0000-0000-00004E000000}"/>
    <cellStyle name=" _97연말1_00부대내역서(11.04)_운중동 가압장인입공사 내역서-2차 09.11.14" xfId="4882" xr:uid="{00000000-0005-0000-0000-00004F000000}"/>
    <cellStyle name=" _97연말1_00부대내역서(11.04)_일위대가변경" xfId="4883" xr:uid="{00000000-0005-0000-0000-000050000000}"/>
    <cellStyle name=" _97연말1_00부대내역서(11.04)_제1회설계변경_최종(1)-인우백업" xfId="4884" xr:uid="{00000000-0005-0000-0000-000051000000}"/>
    <cellStyle name=" _97연말1_00부대내역서(11.04)_제1회설계변경_최종(1)-인우백업_세무서 삼거리 신호등설치공사(진용) 2011년 11.03.11" xfId="4885" xr:uid="{00000000-0005-0000-0000-000052000000}"/>
    <cellStyle name=" _97연말1_00부대내역서(11.04)_주공-통보단가" xfId="4886" xr:uid="{00000000-0005-0000-0000-000053000000}"/>
    <cellStyle name=" _97연말1_00부대내역서(11.04)_주공-통보단가_세무서 삼거리 신호등설치공사(진용) 2011년 11.03.11" xfId="4887" xr:uid="{00000000-0005-0000-0000-000054000000}"/>
    <cellStyle name=" _97연말1_00부대내역서(11.06)" xfId="4888" xr:uid="{00000000-0005-0000-0000-000055000000}"/>
    <cellStyle name=" _97연말1_00부대내역서(11.06)_사본 - 5차설계변경_(가로등) 09.12.05" xfId="4889" xr:uid="{00000000-0005-0000-0000-000056000000}"/>
    <cellStyle name=" _97연말1_00부대내역서(11.06)_사본 - 5차설계변경_(가로등) 09.12.05_세무서 삼거리 신호등설치공사(진용) 2011년 11.03.11" xfId="4890" xr:uid="{00000000-0005-0000-0000-000057000000}"/>
    <cellStyle name=" _97연말1_00부대내역서(11.06)_운중동 가압장인입공사 내역서-2차 09.11.14" xfId="4891" xr:uid="{00000000-0005-0000-0000-000058000000}"/>
    <cellStyle name=" _97연말1_00부대내역서(11.06)_일위대가변경" xfId="4892" xr:uid="{00000000-0005-0000-0000-000059000000}"/>
    <cellStyle name=" _97연말1_00부대내역서(11.06)_제1회설계변경_최종(1)-인우백업" xfId="4893" xr:uid="{00000000-0005-0000-0000-00005A000000}"/>
    <cellStyle name=" _97연말1_00부대내역서(11.06)_제1회설계변경_최종(1)-인우백업_세무서 삼거리 신호등설치공사(진용) 2011년 11.03.11" xfId="4894" xr:uid="{00000000-0005-0000-0000-00005B000000}"/>
    <cellStyle name=" _97연말1_00부대내역서(11.06)_주공-통보단가" xfId="4895" xr:uid="{00000000-0005-0000-0000-00005C000000}"/>
    <cellStyle name=" _97연말1_00부대내역서(11.06)_주공-통보단가_세무서 삼거리 신호등설치공사(진용) 2011년 11.03.11" xfId="4896" xr:uid="{00000000-0005-0000-0000-00005D000000}"/>
    <cellStyle name=" _97연말1_2회기성조서-'07.06.14(최종)" xfId="4897" xr:uid="{00000000-0005-0000-0000-00005E000000}"/>
    <cellStyle name=" _97연말1_기성준비(임시가로등)" xfId="4898" xr:uid="{00000000-0005-0000-0000-00005F000000}"/>
    <cellStyle name=" _97연말1_기성준비(임시가로등)_사본 - 5차설계변경_(가로등) 09.12.05" xfId="4899" xr:uid="{00000000-0005-0000-0000-000060000000}"/>
    <cellStyle name=" _97연말1_기성준비(임시가로등)_사본 - 5차설계변경_(가로등) 09.12.05_세무서 삼거리 신호등설치공사(진용) 2011년 11.03.11" xfId="4900" xr:uid="{00000000-0005-0000-0000-000061000000}"/>
    <cellStyle name=" _97연말1_기성준비(임시가로등)_운중동 가압장인입공사 내역서-2차 09.11.14" xfId="4901" xr:uid="{00000000-0005-0000-0000-000062000000}"/>
    <cellStyle name=" _97연말1_기성준비(임시가로등)_일위대가변경" xfId="4902" xr:uid="{00000000-0005-0000-0000-000063000000}"/>
    <cellStyle name=" _97연말1_기성준비(임시가로등)_제1회설계변경_최종(1)-인우백업" xfId="4903" xr:uid="{00000000-0005-0000-0000-000064000000}"/>
    <cellStyle name=" _97연말1_기성준비(임시가로등)_제1회설계변경_최종(1)-인우백업_세무서 삼거리 신호등설치공사(진용) 2011년 11.03.11" xfId="4904" xr:uid="{00000000-0005-0000-0000-000065000000}"/>
    <cellStyle name=" _97연말1_기성준비(임시가로등)_주공-통보단가" xfId="4905" xr:uid="{00000000-0005-0000-0000-000066000000}"/>
    <cellStyle name=" _97연말1_기성준비(임시가로등)_주공-통보단가_세무서 삼거리 신호등설치공사(진용) 2011년 11.03.11" xfId="4906" xr:uid="{00000000-0005-0000-0000-000067000000}"/>
    <cellStyle name=" _97연말1_내역서(수정)" xfId="10" xr:uid="{00000000-0005-0000-0000-000068000000}"/>
    <cellStyle name=" _97연말1_동의서" xfId="4907" xr:uid="{00000000-0005-0000-0000-000069000000}"/>
    <cellStyle name=" _97연말1_물금취수장 감시시스템 이설공사내역서" xfId="11" xr:uid="{00000000-0005-0000-0000-00006A000000}"/>
    <cellStyle name=" _97연말1_사본 - 5차설계변경_(가로등) 09.12.05" xfId="4908" xr:uid="{00000000-0005-0000-0000-00006B000000}"/>
    <cellStyle name=" _97연말1_사본 - 5차설계변경_(가로등) 09.12.05_세무서 삼거리 신호등설치공사(진용) 2011년 11.03.11" xfId="4909" xr:uid="{00000000-0005-0000-0000-00006C000000}"/>
    <cellStyle name=" _97연말1_제1회 설계변경(완료)" xfId="4910" xr:uid="{00000000-0005-0000-0000-00006D000000}"/>
    <cellStyle name=" _97연말1_제1회 설계변경(완료)_사본 - 5차설계변경_(가로등) 09.12.05" xfId="4911" xr:uid="{00000000-0005-0000-0000-00006E000000}"/>
    <cellStyle name=" _97연말1_제1회 설계변경(완료)_사본 - 5차설계변경_(가로등) 09.12.05_세무서 삼거리 신호등설치공사(진용) 2011년 11.03.11" xfId="4912" xr:uid="{00000000-0005-0000-0000-00006F000000}"/>
    <cellStyle name=" _97연말1_제1회 설계변경(완료)_운중동 가압장인입공사 내역서-2차 09.11.14" xfId="4913" xr:uid="{00000000-0005-0000-0000-000070000000}"/>
    <cellStyle name=" _97연말1_제1회 설계변경(완료)_일위대가변경" xfId="4914" xr:uid="{00000000-0005-0000-0000-000071000000}"/>
    <cellStyle name=" _97연말1_제1회 설계변경(완료)_제1회설계변경_최종(1)-인우백업" xfId="4915" xr:uid="{00000000-0005-0000-0000-000072000000}"/>
    <cellStyle name=" _97연말1_제1회 설계변경(완료)_제1회설계변경_최종(1)-인우백업_세무서 삼거리 신호등설치공사(진용) 2011년 11.03.11" xfId="4916" xr:uid="{00000000-0005-0000-0000-000073000000}"/>
    <cellStyle name=" _97연말1_제1회 설계변경(완료)_주공-통보단가" xfId="4917" xr:uid="{00000000-0005-0000-0000-000074000000}"/>
    <cellStyle name=" _97연말1_제1회 설계변경(완료)_주공-통보단가_세무서 삼거리 신호등설치공사(진용) 2011년 11.03.11" xfId="4918" xr:uid="{00000000-0005-0000-0000-000075000000}"/>
    <cellStyle name=" _97연말1_제1회 설계변경(완료)-4(발전기)인쇄" xfId="4919" xr:uid="{00000000-0005-0000-0000-000076000000}"/>
    <cellStyle name=" _97연말1_제1회설계변경_최종" xfId="4920" xr:uid="{00000000-0005-0000-0000-000077000000}"/>
    <cellStyle name=" _97연말1_제1회연동제" xfId="4921" xr:uid="{00000000-0005-0000-0000-000078000000}"/>
    <cellStyle name=" _97연말1_제2회 설계변경(공기연장)-최종(금액변동 없음)" xfId="4922" xr:uid="{00000000-0005-0000-0000-000079000000}"/>
    <cellStyle name=" _97연말1_제2회 설계변경(공기연장)-최종(금액변동 없음)_1" xfId="4923" xr:uid="{00000000-0005-0000-0000-00007A000000}"/>
    <cellStyle name=" _97연말1_제2회 설계변경(내역서)-최종" xfId="4924" xr:uid="{00000000-0005-0000-0000-00007B000000}"/>
    <cellStyle name=" _97연말1_제4회설계변경내역서(공기연장)" xfId="4925" xr:uid="{00000000-0005-0000-0000-00007C000000}"/>
    <cellStyle name=" _97연말1_천성가압장 전기공사" xfId="12" xr:uid="{00000000-0005-0000-0000-00007D000000}"/>
    <cellStyle name=" _97연말1_회동수원지기자재내역서" xfId="13" xr:uid="{00000000-0005-0000-0000-00007E000000}"/>
    <cellStyle name=" _Book1" xfId="18" xr:uid="{00000000-0005-0000-0000-00007F000000}"/>
    <cellStyle name=" _Book1_00부대내역서(11.04)" xfId="4926" xr:uid="{00000000-0005-0000-0000-000080000000}"/>
    <cellStyle name=" _Book1_00부대내역서(11.04)_사본 - 5차설계변경_(가로등) 09.12.05" xfId="4927" xr:uid="{00000000-0005-0000-0000-000081000000}"/>
    <cellStyle name=" _Book1_00부대내역서(11.04)_사본 - 5차설계변경_(가로등) 09.12.05_세무서 삼거리 신호등설치공사(진용) 2011년 11.03.11" xfId="4928" xr:uid="{00000000-0005-0000-0000-000082000000}"/>
    <cellStyle name=" _Book1_00부대내역서(11.04)_운중동 가압장인입공사 내역서-2차 09.11.14" xfId="4929" xr:uid="{00000000-0005-0000-0000-000083000000}"/>
    <cellStyle name=" _Book1_00부대내역서(11.04)_일위대가변경" xfId="4930" xr:uid="{00000000-0005-0000-0000-000084000000}"/>
    <cellStyle name=" _Book1_00부대내역서(11.04)_제1회설계변경_최종(1)-인우백업" xfId="4931" xr:uid="{00000000-0005-0000-0000-000085000000}"/>
    <cellStyle name=" _Book1_00부대내역서(11.04)_제1회설계변경_최종(1)-인우백업_세무서 삼거리 신호등설치공사(진용) 2011년 11.03.11" xfId="4932" xr:uid="{00000000-0005-0000-0000-000086000000}"/>
    <cellStyle name=" _Book1_00부대내역서(11.04)_주공-통보단가" xfId="4933" xr:uid="{00000000-0005-0000-0000-000087000000}"/>
    <cellStyle name=" _Book1_00부대내역서(11.04)_주공-통보단가_세무서 삼거리 신호등설치공사(진용) 2011년 11.03.11" xfId="4934" xr:uid="{00000000-0005-0000-0000-000088000000}"/>
    <cellStyle name=" _Book1_00부대내역서(11.06)" xfId="4935" xr:uid="{00000000-0005-0000-0000-000089000000}"/>
    <cellStyle name=" _Book1_00부대내역서(11.06)_사본 - 5차설계변경_(가로등) 09.12.05" xfId="4936" xr:uid="{00000000-0005-0000-0000-00008A000000}"/>
    <cellStyle name=" _Book1_00부대내역서(11.06)_사본 - 5차설계변경_(가로등) 09.12.05_세무서 삼거리 신호등설치공사(진용) 2011년 11.03.11" xfId="4937" xr:uid="{00000000-0005-0000-0000-00008B000000}"/>
    <cellStyle name=" _Book1_00부대내역서(11.06)_운중동 가압장인입공사 내역서-2차 09.11.14" xfId="4938" xr:uid="{00000000-0005-0000-0000-00008C000000}"/>
    <cellStyle name=" _Book1_00부대내역서(11.06)_일위대가변경" xfId="4939" xr:uid="{00000000-0005-0000-0000-00008D000000}"/>
    <cellStyle name=" _Book1_00부대내역서(11.06)_제1회설계변경_최종(1)-인우백업" xfId="4940" xr:uid="{00000000-0005-0000-0000-00008E000000}"/>
    <cellStyle name=" _Book1_00부대내역서(11.06)_제1회설계변경_최종(1)-인우백업_세무서 삼거리 신호등설치공사(진용) 2011년 11.03.11" xfId="4941" xr:uid="{00000000-0005-0000-0000-00008F000000}"/>
    <cellStyle name=" _Book1_00부대내역서(11.06)_주공-통보단가" xfId="4942" xr:uid="{00000000-0005-0000-0000-000090000000}"/>
    <cellStyle name=" _Book1_00부대내역서(11.06)_주공-통보단가_세무서 삼거리 신호등설치공사(진용) 2011년 11.03.11" xfId="4943" xr:uid="{00000000-0005-0000-0000-000091000000}"/>
    <cellStyle name=" _Book1_2회기성조서-'07.06.14(최종)" xfId="4944" xr:uid="{00000000-0005-0000-0000-000092000000}"/>
    <cellStyle name=" _Book1_기성준비(임시가로등)" xfId="4945" xr:uid="{00000000-0005-0000-0000-000093000000}"/>
    <cellStyle name=" _Book1_기성준비(임시가로등)_사본 - 5차설계변경_(가로등) 09.12.05" xfId="4946" xr:uid="{00000000-0005-0000-0000-000094000000}"/>
    <cellStyle name=" _Book1_기성준비(임시가로등)_사본 - 5차설계변경_(가로등) 09.12.05_세무서 삼거리 신호등설치공사(진용) 2011년 11.03.11" xfId="4947" xr:uid="{00000000-0005-0000-0000-000095000000}"/>
    <cellStyle name=" _Book1_기성준비(임시가로등)_운중동 가압장인입공사 내역서-2차 09.11.14" xfId="4948" xr:uid="{00000000-0005-0000-0000-000096000000}"/>
    <cellStyle name=" _Book1_기성준비(임시가로등)_일위대가변경" xfId="4949" xr:uid="{00000000-0005-0000-0000-000097000000}"/>
    <cellStyle name=" _Book1_기성준비(임시가로등)_제1회설계변경_최종(1)-인우백업" xfId="4950" xr:uid="{00000000-0005-0000-0000-000098000000}"/>
    <cellStyle name=" _Book1_기성준비(임시가로등)_제1회설계변경_최종(1)-인우백업_세무서 삼거리 신호등설치공사(진용) 2011년 11.03.11" xfId="4951" xr:uid="{00000000-0005-0000-0000-000099000000}"/>
    <cellStyle name=" _Book1_기성준비(임시가로등)_주공-통보단가" xfId="4952" xr:uid="{00000000-0005-0000-0000-00009A000000}"/>
    <cellStyle name=" _Book1_기성준비(임시가로등)_주공-통보단가_세무서 삼거리 신호등설치공사(진용) 2011년 11.03.11" xfId="4953" xr:uid="{00000000-0005-0000-0000-00009B000000}"/>
    <cellStyle name=" _Book1_내역서(수정)" xfId="19" xr:uid="{00000000-0005-0000-0000-00009C000000}"/>
    <cellStyle name=" _Book1_동의서" xfId="4954" xr:uid="{00000000-0005-0000-0000-00009D000000}"/>
    <cellStyle name=" _Book1_물금취수장 감시시스템 이설공사내역서" xfId="20" xr:uid="{00000000-0005-0000-0000-00009E000000}"/>
    <cellStyle name=" _Book1_사본 - 5차설계변경_(가로등) 09.12.05" xfId="4955" xr:uid="{00000000-0005-0000-0000-00009F000000}"/>
    <cellStyle name=" _Book1_사본 - 5차설계변경_(가로등) 09.12.05_세무서 삼거리 신호등설치공사(진용) 2011년 11.03.11" xfId="4956" xr:uid="{00000000-0005-0000-0000-0000A0000000}"/>
    <cellStyle name=" _Book1_제1회 설계변경(완료)" xfId="4957" xr:uid="{00000000-0005-0000-0000-0000A1000000}"/>
    <cellStyle name=" _Book1_제1회 설계변경(완료)_사본 - 5차설계변경_(가로등) 09.12.05" xfId="4958" xr:uid="{00000000-0005-0000-0000-0000A2000000}"/>
    <cellStyle name=" _Book1_제1회 설계변경(완료)_사본 - 5차설계변경_(가로등) 09.12.05_세무서 삼거리 신호등설치공사(진용) 2011년 11.03.11" xfId="4959" xr:uid="{00000000-0005-0000-0000-0000A3000000}"/>
    <cellStyle name=" _Book1_제1회 설계변경(완료)_운중동 가압장인입공사 내역서-2차 09.11.14" xfId="4960" xr:uid="{00000000-0005-0000-0000-0000A4000000}"/>
    <cellStyle name=" _Book1_제1회 설계변경(완료)_일위대가변경" xfId="4961" xr:uid="{00000000-0005-0000-0000-0000A5000000}"/>
    <cellStyle name=" _Book1_제1회 설계변경(완료)_제1회설계변경_최종(1)-인우백업" xfId="4962" xr:uid="{00000000-0005-0000-0000-0000A6000000}"/>
    <cellStyle name=" _Book1_제1회 설계변경(완료)_제1회설계변경_최종(1)-인우백업_세무서 삼거리 신호등설치공사(진용) 2011년 11.03.11" xfId="4963" xr:uid="{00000000-0005-0000-0000-0000A7000000}"/>
    <cellStyle name=" _Book1_제1회 설계변경(완료)_주공-통보단가" xfId="4964" xr:uid="{00000000-0005-0000-0000-0000A8000000}"/>
    <cellStyle name=" _Book1_제1회 설계변경(완료)_주공-통보단가_세무서 삼거리 신호등설치공사(진용) 2011년 11.03.11" xfId="4965" xr:uid="{00000000-0005-0000-0000-0000A9000000}"/>
    <cellStyle name=" _Book1_제1회 설계변경(완료)-4(발전기)인쇄" xfId="4966" xr:uid="{00000000-0005-0000-0000-0000AA000000}"/>
    <cellStyle name=" _Book1_제1회설계변경_최종" xfId="4967" xr:uid="{00000000-0005-0000-0000-0000AB000000}"/>
    <cellStyle name=" _Book1_제1회연동제" xfId="4968" xr:uid="{00000000-0005-0000-0000-0000AC000000}"/>
    <cellStyle name=" _Book1_제2회 설계변경(공기연장)-최종(금액변동 없음)" xfId="4969" xr:uid="{00000000-0005-0000-0000-0000AD000000}"/>
    <cellStyle name=" _Book1_제2회 설계변경(공기연장)-최종(금액변동 없음)_1" xfId="4970" xr:uid="{00000000-0005-0000-0000-0000AE000000}"/>
    <cellStyle name=" _Book1_제2회 설계변경(내역서)-최종" xfId="4971" xr:uid="{00000000-0005-0000-0000-0000AF000000}"/>
    <cellStyle name=" _Book1_제4회설계변경내역서(공기연장)" xfId="4972" xr:uid="{00000000-0005-0000-0000-0000B0000000}"/>
    <cellStyle name=" _Book1_천성가압장 전기공사" xfId="21" xr:uid="{00000000-0005-0000-0000-0000B1000000}"/>
    <cellStyle name=" _Book1_회동수원지기자재내역서" xfId="22" xr:uid="{00000000-0005-0000-0000-0000B2000000}"/>
    <cellStyle name=" _기성준비(임시가로등)" xfId="4973" xr:uid="{00000000-0005-0000-0000-0000B3000000}"/>
    <cellStyle name=" _기성준비(임시가로등)_사본 - 5차설계변경_(가로등) 09.12.05" xfId="4974" xr:uid="{00000000-0005-0000-0000-0000B4000000}"/>
    <cellStyle name=" _기성준비(임시가로등)_사본 - 5차설계변경_(가로등) 09.12.05_세무서 삼거리 신호등설치공사(진용) 2011년 11.03.11" xfId="4975" xr:uid="{00000000-0005-0000-0000-0000B5000000}"/>
    <cellStyle name=" _기성준비(임시가로등)_운중동 가압장인입공사 내역서-2차 09.11.14" xfId="4976" xr:uid="{00000000-0005-0000-0000-0000B6000000}"/>
    <cellStyle name=" _기성준비(임시가로등)_일위대가변경" xfId="4977" xr:uid="{00000000-0005-0000-0000-0000B7000000}"/>
    <cellStyle name=" _기성준비(임시가로등)_제1회설계변경_최종(1)-인우백업" xfId="4978" xr:uid="{00000000-0005-0000-0000-0000B8000000}"/>
    <cellStyle name=" _기성준비(임시가로등)_제1회설계변경_최종(1)-인우백업_세무서 삼거리 신호등설치공사(진용) 2011년 11.03.11" xfId="4979" xr:uid="{00000000-0005-0000-0000-0000B9000000}"/>
    <cellStyle name=" _기성준비(임시가로등)_주공-통보단가" xfId="4980" xr:uid="{00000000-0005-0000-0000-0000BA000000}"/>
    <cellStyle name=" _기성준비(임시가로등)_주공-통보단가_세무서 삼거리 신호등설치공사(진용) 2011년 11.03.11" xfId="4981" xr:uid="{00000000-0005-0000-0000-0000BB000000}"/>
    <cellStyle name=" _내역서(수정)" xfId="14" xr:uid="{00000000-0005-0000-0000-0000BC000000}"/>
    <cellStyle name=" _동의서" xfId="4982" xr:uid="{00000000-0005-0000-0000-0000BD000000}"/>
    <cellStyle name=" _물금취수장 감시시스템 이설공사내역서" xfId="15" xr:uid="{00000000-0005-0000-0000-0000BE000000}"/>
    <cellStyle name=" _사본 - 5차설계변경_(가로등) 09.12.05" xfId="4983" xr:uid="{00000000-0005-0000-0000-0000BF000000}"/>
    <cellStyle name=" _사본 - 5차설계변경_(가로등) 09.12.05_세무서 삼거리 신호등설치공사(진용) 2011년 11.03.11" xfId="4984" xr:uid="{00000000-0005-0000-0000-0000C0000000}"/>
    <cellStyle name=" _세무서 삼거리 신호등설치공사(진용) 2011년 11.04.20(제출)" xfId="4985" xr:uid="{00000000-0005-0000-0000-0000C1000000}"/>
    <cellStyle name=" _운중동 가압장인입공사 내역서-2차 09.11.14" xfId="4986" xr:uid="{00000000-0005-0000-0000-0000C2000000}"/>
    <cellStyle name=" _제1회 설계변경(완료)" xfId="4987" xr:uid="{00000000-0005-0000-0000-0000C3000000}"/>
    <cellStyle name=" _제1회 설계변경(완료)_사본 - 5차설계변경_(가로등) 09.12.05" xfId="4988" xr:uid="{00000000-0005-0000-0000-0000C4000000}"/>
    <cellStyle name=" _제1회 설계변경(완료)_사본 - 5차설계변경_(가로등) 09.12.05_세무서 삼거리 신호등설치공사(진용) 2011년 11.03.11" xfId="4989" xr:uid="{00000000-0005-0000-0000-0000C5000000}"/>
    <cellStyle name=" _제1회 설계변경(완료)_운중동 가압장인입공사 내역서-2차 09.11.14" xfId="4990" xr:uid="{00000000-0005-0000-0000-0000C6000000}"/>
    <cellStyle name=" _제1회 설계변경(완료)_일위대가변경" xfId="4991" xr:uid="{00000000-0005-0000-0000-0000C7000000}"/>
    <cellStyle name=" _제1회 설계변경(완료)_제1회설계변경_최종(1)-인우백업" xfId="4992" xr:uid="{00000000-0005-0000-0000-0000C8000000}"/>
    <cellStyle name=" _제1회 설계변경(완료)_제1회설계변경_최종(1)-인우백업_세무서 삼거리 신호등설치공사(진용) 2011년 11.03.11" xfId="4993" xr:uid="{00000000-0005-0000-0000-0000C9000000}"/>
    <cellStyle name=" _제1회 설계변경(완료)_주공-통보단가" xfId="4994" xr:uid="{00000000-0005-0000-0000-0000CA000000}"/>
    <cellStyle name=" _제1회 설계변경(완료)_주공-통보단가_세무서 삼거리 신호등설치공사(진용) 2011년 11.03.11" xfId="4995" xr:uid="{00000000-0005-0000-0000-0000CB000000}"/>
    <cellStyle name=" _제1회 설계변경(완료)-4(발전기)인쇄" xfId="4996" xr:uid="{00000000-0005-0000-0000-0000CC000000}"/>
    <cellStyle name=" _제1회설계변경_최종" xfId="4997" xr:uid="{00000000-0005-0000-0000-0000CD000000}"/>
    <cellStyle name=" _제1회연동제" xfId="4998" xr:uid="{00000000-0005-0000-0000-0000CE000000}"/>
    <cellStyle name=" _제2회 설계변경(공기연장)-최종(금액변동 없음)" xfId="4999" xr:uid="{00000000-0005-0000-0000-0000CF000000}"/>
    <cellStyle name=" _제2회 설계변경(공기연장)-최종(금액변동 없음)_1" xfId="5000" xr:uid="{00000000-0005-0000-0000-0000D0000000}"/>
    <cellStyle name=" _제2회 설계변경(내역서)-최종" xfId="5001" xr:uid="{00000000-0005-0000-0000-0000D1000000}"/>
    <cellStyle name=" _제4회설계변경내역서(공기연장)" xfId="5002" xr:uid="{00000000-0005-0000-0000-0000D2000000}"/>
    <cellStyle name=" _천성가압장 전기공사" xfId="16" xr:uid="{00000000-0005-0000-0000-0000D3000000}"/>
    <cellStyle name=" _회동수원지기자재내역서" xfId="17" xr:uid="{00000000-0005-0000-0000-0000D4000000}"/>
    <cellStyle name="&quot;" xfId="23" xr:uid="{00000000-0005-0000-0000-0000D5000000}"/>
    <cellStyle name="&quot;큰제목&quot;" xfId="24" xr:uid="{00000000-0005-0000-0000-0000D6000000}"/>
    <cellStyle name="#" xfId="25" xr:uid="{00000000-0005-0000-0000-0000D7000000}"/>
    <cellStyle name="#,### M" xfId="26" xr:uid="{00000000-0005-0000-0000-0000D8000000}"/>
    <cellStyle name="#,##0" xfId="27" xr:uid="{00000000-0005-0000-0000-0000D9000000}"/>
    <cellStyle name="#,##0.0" xfId="28" xr:uid="{00000000-0005-0000-0000-0000DA000000}"/>
    <cellStyle name="#,##0.00" xfId="29" xr:uid="{00000000-0005-0000-0000-0000DB000000}"/>
    <cellStyle name="#,##0.000" xfId="30" xr:uid="{00000000-0005-0000-0000-0000DC000000}"/>
    <cellStyle name="#,##0_080213 송도 A1, A2BL CCTV 견적서_v1.0" xfId="2148" xr:uid="{00000000-0005-0000-0000-0000DD000000}"/>
    <cellStyle name="#_080213 송도 A1, A2BL CCTV 견적서_v1.0" xfId="2149" xr:uid="{00000000-0005-0000-0000-0000DE000000}"/>
    <cellStyle name="#_080421 동국제강 통합방범 견적서" xfId="2150" xr:uid="{00000000-0005-0000-0000-0000DF000000}"/>
    <cellStyle name="#_CCTV내역(포스코22블럭)_070724_M" xfId="2151" xr:uid="{00000000-0005-0000-0000-0000E0000000}"/>
    <cellStyle name="#_cost9702" xfId="2152" xr:uid="{00000000-0005-0000-0000-0000E1000000}"/>
    <cellStyle name="#_cost9702 (2)" xfId="2153" xr:uid="{00000000-0005-0000-0000-0000E2000000}"/>
    <cellStyle name="#_cost9702 (2)_Book1" xfId="2154" xr:uid="{00000000-0005-0000-0000-0000E3000000}"/>
    <cellStyle name="#_cost9702 (2)_Book1_04년도서울지역굴착계획" xfId="2155" xr:uid="{00000000-0005-0000-0000-0000E4000000}"/>
    <cellStyle name="#_cost9702 (2)_Book1_04년도서울지역굴착계획_09_덕-H02통신공사_설계서_v4" xfId="6443" xr:uid="{00000000-0005-0000-0000-0000E5000000}"/>
    <cellStyle name="#_cost9702 (2)_Book1_04년도서울지역굴착계획_설계서_CCTV-V1" xfId="6444" xr:uid="{00000000-0005-0000-0000-0000E6000000}"/>
    <cellStyle name="#_cost9702 (2)_Book1_04년도서울지역굴착계획_수량산출" xfId="2156" xr:uid="{00000000-0005-0000-0000-0000E7000000}"/>
    <cellStyle name="#_cost9702 (2)_Book1_04년도서울지역굴착계획_수량산출_수신-VDS내역서_20061103" xfId="2157" xr:uid="{00000000-0005-0000-0000-0000E8000000}"/>
    <cellStyle name="#_cost9702 (2)_Book1_04년도서울지역굴착계획_수신-VDS내역서_20061103" xfId="2158" xr:uid="{00000000-0005-0000-0000-0000E9000000}"/>
    <cellStyle name="#_cost9702 (2)_Book1_04년도서울지역굴착계획_육군 - 수량산출" xfId="2159" xr:uid="{00000000-0005-0000-0000-0000EA000000}"/>
    <cellStyle name="#_cost9702 (2)_Book1_04년도서울지역굴착계획_육군 - 수량산출_수신-VDS내역서_20061103" xfId="2160" xr:uid="{00000000-0005-0000-0000-0000EB000000}"/>
    <cellStyle name="#_cost9702 (2)_Book1_04년도서울지역굴착계획_육군관로" xfId="2161" xr:uid="{00000000-0005-0000-0000-0000EC000000}"/>
    <cellStyle name="#_cost9702 (2)_Book1_04년도서울지역굴착계획_육군관로_수신-VDS내역서_20061103" xfId="2162" xr:uid="{00000000-0005-0000-0000-0000ED000000}"/>
    <cellStyle name="#_cost9702 (2)_Book1_04년도서울지역굴착계획_토토토" xfId="2163" xr:uid="{00000000-0005-0000-0000-0000EE000000}"/>
    <cellStyle name="#_cost9702 (2)_Book1_04년도서울지역굴착계획_토토토_수신-VDS내역서_20061103" xfId="2164" xr:uid="{00000000-0005-0000-0000-0000EF000000}"/>
    <cellStyle name="#_cost9702 (2)_Book1_09_덕-H02통신공사_설계서_v4" xfId="6445" xr:uid="{00000000-0005-0000-0000-0000F0000000}"/>
    <cellStyle name="#_cost9702 (2)_Book1_설계서_CCTV-V1" xfId="6446" xr:uid="{00000000-0005-0000-0000-0000F1000000}"/>
    <cellStyle name="#_cost9702 (2)_Book1_수량산출" xfId="2165" xr:uid="{00000000-0005-0000-0000-0000F2000000}"/>
    <cellStyle name="#_cost9702 (2)_Book1_수량산출_수신-VDS내역서_20061103" xfId="2166" xr:uid="{00000000-0005-0000-0000-0000F3000000}"/>
    <cellStyle name="#_cost9702 (2)_Book1_수신-VDS내역서_20061103" xfId="2167" xr:uid="{00000000-0005-0000-0000-0000F4000000}"/>
    <cellStyle name="#_cost9702 (2)_Book1_육군 - 수량산출" xfId="2168" xr:uid="{00000000-0005-0000-0000-0000F5000000}"/>
    <cellStyle name="#_cost9702 (2)_Book1_육군 - 수량산출_수신-VDS내역서_20061103" xfId="2169" xr:uid="{00000000-0005-0000-0000-0000F6000000}"/>
    <cellStyle name="#_cost9702 (2)_Book1_육군관로" xfId="2170" xr:uid="{00000000-0005-0000-0000-0000F7000000}"/>
    <cellStyle name="#_cost9702 (2)_Book1_육군관로_수신-VDS내역서_20061103" xfId="2171" xr:uid="{00000000-0005-0000-0000-0000F8000000}"/>
    <cellStyle name="#_cost9702 (2)_Book1_토토토" xfId="2172" xr:uid="{00000000-0005-0000-0000-0000F9000000}"/>
    <cellStyle name="#_cost9702 (2)_Book1_토토토_수신-VDS내역서_20061103" xfId="2173" xr:uid="{00000000-0005-0000-0000-0000FA000000}"/>
    <cellStyle name="#_cost9702 (2)_NEGS" xfId="2174" xr:uid="{00000000-0005-0000-0000-0000FB000000}"/>
    <cellStyle name="#_cost9702 (2)_NEGS_04년도서울지역굴착계획" xfId="2175" xr:uid="{00000000-0005-0000-0000-0000FC000000}"/>
    <cellStyle name="#_cost9702 (2)_NEGS_04년도서울지역굴착계획_09_덕-H02통신공사_설계서_v4" xfId="6447" xr:uid="{00000000-0005-0000-0000-0000FD000000}"/>
    <cellStyle name="#_cost9702 (2)_NEGS_04년도서울지역굴착계획_설계서_CCTV-V1" xfId="6448" xr:uid="{00000000-0005-0000-0000-0000FE000000}"/>
    <cellStyle name="#_cost9702 (2)_NEGS_04년도서울지역굴착계획_수량산출" xfId="2176" xr:uid="{00000000-0005-0000-0000-0000FF000000}"/>
    <cellStyle name="#_cost9702 (2)_NEGS_04년도서울지역굴착계획_수량산출_수신-VDS내역서_20061103" xfId="2177" xr:uid="{00000000-0005-0000-0000-000000010000}"/>
    <cellStyle name="#_cost9702 (2)_NEGS_04년도서울지역굴착계획_수신-VDS내역서_20061103" xfId="2178" xr:uid="{00000000-0005-0000-0000-000001010000}"/>
    <cellStyle name="#_cost9702 (2)_NEGS_04년도서울지역굴착계획_육군 - 수량산출" xfId="2179" xr:uid="{00000000-0005-0000-0000-000002010000}"/>
    <cellStyle name="#_cost9702 (2)_NEGS_04년도서울지역굴착계획_육군 - 수량산출_수신-VDS내역서_20061103" xfId="2180" xr:uid="{00000000-0005-0000-0000-000003010000}"/>
    <cellStyle name="#_cost9702 (2)_NEGS_04년도서울지역굴착계획_육군관로" xfId="2181" xr:uid="{00000000-0005-0000-0000-000004010000}"/>
    <cellStyle name="#_cost9702 (2)_NEGS_04년도서울지역굴착계획_육군관로_수신-VDS내역서_20061103" xfId="2182" xr:uid="{00000000-0005-0000-0000-000005010000}"/>
    <cellStyle name="#_cost9702 (2)_NEGS_04년도서울지역굴착계획_토토토" xfId="2183" xr:uid="{00000000-0005-0000-0000-000006010000}"/>
    <cellStyle name="#_cost9702 (2)_NEGS_04년도서울지역굴착계획_토토토_수신-VDS내역서_20061103" xfId="2184" xr:uid="{00000000-0005-0000-0000-000007010000}"/>
    <cellStyle name="#_cost9702 (2)_NEGS_09_덕-H02통신공사_설계서_v4" xfId="6449" xr:uid="{00000000-0005-0000-0000-000008010000}"/>
    <cellStyle name="#_cost9702 (2)_NEGS_설계서_CCTV-V1" xfId="6450" xr:uid="{00000000-0005-0000-0000-000009010000}"/>
    <cellStyle name="#_cost9702 (2)_NEGS_수량산출" xfId="2185" xr:uid="{00000000-0005-0000-0000-00000A010000}"/>
    <cellStyle name="#_cost9702 (2)_NEGS_수량산출_수신-VDS내역서_20061103" xfId="2186" xr:uid="{00000000-0005-0000-0000-00000B010000}"/>
    <cellStyle name="#_cost9702 (2)_NEGS_수신-VDS내역서_20061103" xfId="2187" xr:uid="{00000000-0005-0000-0000-00000C010000}"/>
    <cellStyle name="#_cost9702 (2)_NEGS_육군 - 수량산출" xfId="2188" xr:uid="{00000000-0005-0000-0000-00000D010000}"/>
    <cellStyle name="#_cost9702 (2)_NEGS_육군 - 수량산출_수신-VDS내역서_20061103" xfId="2189" xr:uid="{00000000-0005-0000-0000-00000E010000}"/>
    <cellStyle name="#_cost9702 (2)_NEGS_육군관로" xfId="2190" xr:uid="{00000000-0005-0000-0000-00000F010000}"/>
    <cellStyle name="#_cost9702 (2)_NEGS_육군관로_수신-VDS내역서_20061103" xfId="2191" xr:uid="{00000000-0005-0000-0000-000010010000}"/>
    <cellStyle name="#_cost9702 (2)_NEGS_토토토" xfId="2192" xr:uid="{00000000-0005-0000-0000-000011010000}"/>
    <cellStyle name="#_cost9702 (2)_NEGS_토토토_수신-VDS내역서_20061103" xfId="2193" xr:uid="{00000000-0005-0000-0000-000012010000}"/>
    <cellStyle name="#_cost9702 (2)_SKT CS-A4정산내역서 최종12.3" xfId="2194" xr:uid="{00000000-0005-0000-0000-000013010000}"/>
    <cellStyle name="#_cost9702 (2)_SKT CS-A4정산내역서 최종12.3_04년도서울지역굴착계획" xfId="2195" xr:uid="{00000000-0005-0000-0000-000014010000}"/>
    <cellStyle name="#_cost9702 (2)_SKT CS-A4정산내역서 최종12.3_04년도서울지역굴착계획_09_덕-H02통신공사_설계서_v4" xfId="6451" xr:uid="{00000000-0005-0000-0000-000015010000}"/>
    <cellStyle name="#_cost9702 (2)_SKT CS-A4정산내역서 최종12.3_04년도서울지역굴착계획_설계서_CCTV-V1" xfId="6452" xr:uid="{00000000-0005-0000-0000-000016010000}"/>
    <cellStyle name="#_cost9702 (2)_SKT CS-A4정산내역서 최종12.3_04년도서울지역굴착계획_수량산출" xfId="2196" xr:uid="{00000000-0005-0000-0000-000017010000}"/>
    <cellStyle name="#_cost9702 (2)_SKT CS-A4정산내역서 최종12.3_04년도서울지역굴착계획_수량산출_수신-VDS내역서_20061103" xfId="2197" xr:uid="{00000000-0005-0000-0000-000018010000}"/>
    <cellStyle name="#_cost9702 (2)_SKT CS-A4정산내역서 최종12.3_04년도서울지역굴착계획_수신-VDS내역서_20061103" xfId="2198" xr:uid="{00000000-0005-0000-0000-000019010000}"/>
    <cellStyle name="#_cost9702 (2)_SKT CS-A4정산내역서 최종12.3_04년도서울지역굴착계획_육군 - 수량산출" xfId="2199" xr:uid="{00000000-0005-0000-0000-00001A010000}"/>
    <cellStyle name="#_cost9702 (2)_SKT CS-A4정산내역서 최종12.3_04년도서울지역굴착계획_육군 - 수량산출_수신-VDS내역서_20061103" xfId="2200" xr:uid="{00000000-0005-0000-0000-00001B010000}"/>
    <cellStyle name="#_cost9702 (2)_SKT CS-A4정산내역서 최종12.3_04년도서울지역굴착계획_육군관로" xfId="2201" xr:uid="{00000000-0005-0000-0000-00001C010000}"/>
    <cellStyle name="#_cost9702 (2)_SKT CS-A4정산내역서 최종12.3_04년도서울지역굴착계획_육군관로_수신-VDS내역서_20061103" xfId="2202" xr:uid="{00000000-0005-0000-0000-00001D010000}"/>
    <cellStyle name="#_cost9702 (2)_SKT CS-A4정산내역서 최종12.3_04년도서울지역굴착계획_토토토" xfId="2203" xr:uid="{00000000-0005-0000-0000-00001E010000}"/>
    <cellStyle name="#_cost9702 (2)_SKT CS-A4정산내역서 최종12.3_04년도서울지역굴착계획_토토토_수신-VDS내역서_20061103" xfId="2204" xr:uid="{00000000-0005-0000-0000-00001F010000}"/>
    <cellStyle name="#_cost9702 (2)_SKT CS-A4정산내역서 최종12.3_09_덕-H02통신공사_설계서_v4" xfId="6453" xr:uid="{00000000-0005-0000-0000-000020010000}"/>
    <cellStyle name="#_cost9702 (2)_SKT CS-A4정산내역서 최종12.3_설계서_CCTV-V1" xfId="6454" xr:uid="{00000000-0005-0000-0000-000021010000}"/>
    <cellStyle name="#_cost9702 (2)_SKT CS-A4정산내역서 최종12.3_수량산출" xfId="2205" xr:uid="{00000000-0005-0000-0000-000022010000}"/>
    <cellStyle name="#_cost9702 (2)_SKT CS-A4정산내역서 최종12.3_수량산출_수신-VDS내역서_20061103" xfId="2206" xr:uid="{00000000-0005-0000-0000-000023010000}"/>
    <cellStyle name="#_cost9702 (2)_SKT CS-A4정산내역서 최종12.3_수신-VDS내역서_20061103" xfId="2207" xr:uid="{00000000-0005-0000-0000-000024010000}"/>
    <cellStyle name="#_cost9702 (2)_SKT CS-A4정산내역서 최종12.3_육군 - 수량산출" xfId="2208" xr:uid="{00000000-0005-0000-0000-000025010000}"/>
    <cellStyle name="#_cost9702 (2)_SKT CS-A4정산내역서 최종12.3_육군 - 수량산출_수신-VDS내역서_20061103" xfId="2209" xr:uid="{00000000-0005-0000-0000-000026010000}"/>
    <cellStyle name="#_cost9702 (2)_SKT CS-A4정산내역서 최종12.3_육군관로" xfId="2210" xr:uid="{00000000-0005-0000-0000-000027010000}"/>
    <cellStyle name="#_cost9702 (2)_SKT CS-A4정산내역서 최종12.3_육군관로_수신-VDS내역서_20061103" xfId="2211" xr:uid="{00000000-0005-0000-0000-000028010000}"/>
    <cellStyle name="#_cost9702 (2)_SKT CS-A4정산내역서 최종12.3_토토토" xfId="2212" xr:uid="{00000000-0005-0000-0000-000029010000}"/>
    <cellStyle name="#_cost9702 (2)_SKT CS-A4정산내역서 최종12.3_토토토_수신-VDS내역서_20061103" xfId="2213" xr:uid="{00000000-0005-0000-0000-00002A010000}"/>
    <cellStyle name="#_cost9702 (2)_SKT CS-A4정산내역서+CS-A2" xfId="2214" xr:uid="{00000000-0005-0000-0000-00002B010000}"/>
    <cellStyle name="#_cost9702 (2)_SKT CS-A4정산내역서+CS-A2_04년도서울지역굴착계획" xfId="2215" xr:uid="{00000000-0005-0000-0000-00002C010000}"/>
    <cellStyle name="#_cost9702 (2)_SKT CS-A4정산내역서+CS-A2_04년도서울지역굴착계획_09_덕-H02통신공사_설계서_v4" xfId="6455" xr:uid="{00000000-0005-0000-0000-00002D010000}"/>
    <cellStyle name="#_cost9702 (2)_SKT CS-A4정산내역서+CS-A2_04년도서울지역굴착계획_설계서_CCTV-V1" xfId="6456" xr:uid="{00000000-0005-0000-0000-00002E010000}"/>
    <cellStyle name="#_cost9702 (2)_SKT CS-A4정산내역서+CS-A2_04년도서울지역굴착계획_수량산출" xfId="2216" xr:uid="{00000000-0005-0000-0000-00002F010000}"/>
    <cellStyle name="#_cost9702 (2)_SKT CS-A4정산내역서+CS-A2_04년도서울지역굴착계획_수량산출_수신-VDS내역서_20061103" xfId="2217" xr:uid="{00000000-0005-0000-0000-000030010000}"/>
    <cellStyle name="#_cost9702 (2)_SKT CS-A4정산내역서+CS-A2_04년도서울지역굴착계획_수신-VDS내역서_20061103" xfId="2218" xr:uid="{00000000-0005-0000-0000-000031010000}"/>
    <cellStyle name="#_cost9702 (2)_SKT CS-A4정산내역서+CS-A2_04년도서울지역굴착계획_육군 - 수량산출" xfId="2219" xr:uid="{00000000-0005-0000-0000-000032010000}"/>
    <cellStyle name="#_cost9702 (2)_SKT CS-A4정산내역서+CS-A2_04년도서울지역굴착계획_육군 - 수량산출_수신-VDS내역서_20061103" xfId="2220" xr:uid="{00000000-0005-0000-0000-000033010000}"/>
    <cellStyle name="#_cost9702 (2)_SKT CS-A4정산내역서+CS-A2_04년도서울지역굴착계획_육군관로" xfId="2221" xr:uid="{00000000-0005-0000-0000-000034010000}"/>
    <cellStyle name="#_cost9702 (2)_SKT CS-A4정산내역서+CS-A2_04년도서울지역굴착계획_육군관로_수신-VDS내역서_20061103" xfId="2222" xr:uid="{00000000-0005-0000-0000-000035010000}"/>
    <cellStyle name="#_cost9702 (2)_SKT CS-A4정산내역서+CS-A2_04년도서울지역굴착계획_토토토" xfId="2223" xr:uid="{00000000-0005-0000-0000-000036010000}"/>
    <cellStyle name="#_cost9702 (2)_SKT CS-A4정산내역서+CS-A2_04년도서울지역굴착계획_토토토_수신-VDS내역서_20061103" xfId="2224" xr:uid="{00000000-0005-0000-0000-000037010000}"/>
    <cellStyle name="#_cost9702 (2)_SKT CS-A4정산내역서+CS-A2_09_덕-H02통신공사_설계서_v4" xfId="6457" xr:uid="{00000000-0005-0000-0000-000038010000}"/>
    <cellStyle name="#_cost9702 (2)_SKT CS-A4정산내역서+CS-A2_설계서_CCTV-V1" xfId="6458" xr:uid="{00000000-0005-0000-0000-000039010000}"/>
    <cellStyle name="#_cost9702 (2)_SKT CS-A4정산내역서+CS-A2_수량산출" xfId="2225" xr:uid="{00000000-0005-0000-0000-00003A010000}"/>
    <cellStyle name="#_cost9702 (2)_SKT CS-A4정산내역서+CS-A2_수량산출_수신-VDS내역서_20061103" xfId="2226" xr:uid="{00000000-0005-0000-0000-00003B010000}"/>
    <cellStyle name="#_cost9702 (2)_SKT CS-A4정산내역서+CS-A2_수신-VDS내역서_20061103" xfId="2227" xr:uid="{00000000-0005-0000-0000-00003C010000}"/>
    <cellStyle name="#_cost9702 (2)_SKT CS-A4정산내역서+CS-A2_육군 - 수량산출" xfId="2228" xr:uid="{00000000-0005-0000-0000-00003D010000}"/>
    <cellStyle name="#_cost9702 (2)_SKT CS-A4정산내역서+CS-A2_육군 - 수량산출_수신-VDS내역서_20061103" xfId="2229" xr:uid="{00000000-0005-0000-0000-00003E010000}"/>
    <cellStyle name="#_cost9702 (2)_SKT CS-A4정산내역서+CS-A2_육군관로" xfId="2230" xr:uid="{00000000-0005-0000-0000-00003F010000}"/>
    <cellStyle name="#_cost9702 (2)_SKT CS-A4정산내역서+CS-A2_육군관로_수신-VDS내역서_20061103" xfId="2231" xr:uid="{00000000-0005-0000-0000-000040010000}"/>
    <cellStyle name="#_cost9702 (2)_SKT CS-A4정산내역서+CS-A2_토토토" xfId="2232" xr:uid="{00000000-0005-0000-0000-000041010000}"/>
    <cellStyle name="#_cost9702 (2)_SKT CS-A4정산내역서+CS-A2_토토토_수신-VDS내역서_20061103" xfId="2233" xr:uid="{00000000-0005-0000-0000-000042010000}"/>
    <cellStyle name="#_cost9702 (2)_강동구청허가신청" xfId="2234" xr:uid="{00000000-0005-0000-0000-000043010000}"/>
    <cellStyle name="#_cost9702 (2)_강동구청허가신청_04년도서울지역굴착계획" xfId="2235" xr:uid="{00000000-0005-0000-0000-000044010000}"/>
    <cellStyle name="#_cost9702 (2)_강동구청허가신청_04년도서울지역굴착계획_09_덕-H02통신공사_설계서_v4" xfId="6459" xr:uid="{00000000-0005-0000-0000-000045010000}"/>
    <cellStyle name="#_cost9702 (2)_강동구청허가신청_04년도서울지역굴착계획_설계서_CCTV-V1" xfId="6460" xr:uid="{00000000-0005-0000-0000-000046010000}"/>
    <cellStyle name="#_cost9702 (2)_강동구청허가신청_04년도서울지역굴착계획_수신-VDS내역서_20061103" xfId="2236" xr:uid="{00000000-0005-0000-0000-000047010000}"/>
    <cellStyle name="#_cost9702 (2)_강동구청허가신청_09_덕-H02통신공사_설계서_v4" xfId="6461" xr:uid="{00000000-0005-0000-0000-000048010000}"/>
    <cellStyle name="#_cost9702 (2)_강동구청허가신청_설계서_CCTV-V1" xfId="6462" xr:uid="{00000000-0005-0000-0000-000049010000}"/>
    <cellStyle name="#_cost9702 (2)_강동구청허가신청_수신-VDS내역서_20061103" xfId="2237" xr:uid="{00000000-0005-0000-0000-00004A010000}"/>
    <cellStyle name="#_cost9702 (2)_계통도 (2)" xfId="2238" xr:uid="{00000000-0005-0000-0000-00004B010000}"/>
    <cellStyle name="#_cost9702 (2)_계통도 (2)_Book1" xfId="2239" xr:uid="{00000000-0005-0000-0000-00004C010000}"/>
    <cellStyle name="#_cost9702 (2)_계통도 (2)_Book1_04년도서울지역굴착계획" xfId="2240" xr:uid="{00000000-0005-0000-0000-00004D010000}"/>
    <cellStyle name="#_cost9702 (2)_계통도 (2)_Book1_04년도서울지역굴착계획_09_덕-H02통신공사_설계서_v4" xfId="6463" xr:uid="{00000000-0005-0000-0000-00004E010000}"/>
    <cellStyle name="#_cost9702 (2)_계통도 (2)_Book1_04년도서울지역굴착계획_설계서_CCTV-V1" xfId="6464" xr:uid="{00000000-0005-0000-0000-00004F010000}"/>
    <cellStyle name="#_cost9702 (2)_계통도 (2)_Book1_04년도서울지역굴착계획_수신-VDS내역서_20061103" xfId="2241" xr:uid="{00000000-0005-0000-0000-000050010000}"/>
    <cellStyle name="#_cost9702 (2)_계통도 (2)_Book1_09_덕-H02통신공사_설계서_v4" xfId="6465" xr:uid="{00000000-0005-0000-0000-000051010000}"/>
    <cellStyle name="#_cost9702 (2)_계통도 (2)_Book1_설계서_CCTV-V1" xfId="6466" xr:uid="{00000000-0005-0000-0000-000052010000}"/>
    <cellStyle name="#_cost9702 (2)_계통도 (2)_Book1_수신-VDS내역서_20061103" xfId="2242" xr:uid="{00000000-0005-0000-0000-000053010000}"/>
    <cellStyle name="#_cost9702 (2)_계통도 (2)_NEGS" xfId="2243" xr:uid="{00000000-0005-0000-0000-000054010000}"/>
    <cellStyle name="#_cost9702 (2)_계통도 (2)_NEGS_04년도서울지역굴착계획" xfId="2244" xr:uid="{00000000-0005-0000-0000-000055010000}"/>
    <cellStyle name="#_cost9702 (2)_계통도 (2)_NEGS_04년도서울지역굴착계획_09_덕-H02통신공사_설계서_v4" xfId="6467" xr:uid="{00000000-0005-0000-0000-000056010000}"/>
    <cellStyle name="#_cost9702 (2)_계통도 (2)_NEGS_04년도서울지역굴착계획_설계서_CCTV-V1" xfId="6468" xr:uid="{00000000-0005-0000-0000-000057010000}"/>
    <cellStyle name="#_cost9702 (2)_계통도 (2)_NEGS_04년도서울지역굴착계획_수량산출" xfId="2245" xr:uid="{00000000-0005-0000-0000-000058010000}"/>
    <cellStyle name="#_cost9702 (2)_계통도 (2)_NEGS_04년도서울지역굴착계획_수량산출_수신-VDS내역서_20061103" xfId="2246" xr:uid="{00000000-0005-0000-0000-000059010000}"/>
    <cellStyle name="#_cost9702 (2)_계통도 (2)_NEGS_04년도서울지역굴착계획_수신-VDS내역서_20061103" xfId="2247" xr:uid="{00000000-0005-0000-0000-00005A010000}"/>
    <cellStyle name="#_cost9702 (2)_계통도 (2)_NEGS_04년도서울지역굴착계획_육군 - 수량산출" xfId="2248" xr:uid="{00000000-0005-0000-0000-00005B010000}"/>
    <cellStyle name="#_cost9702 (2)_계통도 (2)_NEGS_04년도서울지역굴착계획_육군 - 수량산출_수신-VDS내역서_20061103" xfId="2249" xr:uid="{00000000-0005-0000-0000-00005C010000}"/>
    <cellStyle name="#_cost9702 (2)_계통도 (2)_NEGS_04년도서울지역굴착계획_육군관로" xfId="2250" xr:uid="{00000000-0005-0000-0000-00005D010000}"/>
    <cellStyle name="#_cost9702 (2)_계통도 (2)_NEGS_04년도서울지역굴착계획_육군관로_수신-VDS내역서_20061103" xfId="2251" xr:uid="{00000000-0005-0000-0000-00005E010000}"/>
    <cellStyle name="#_cost9702 (2)_계통도 (2)_NEGS_04년도서울지역굴착계획_토토토" xfId="2252" xr:uid="{00000000-0005-0000-0000-00005F010000}"/>
    <cellStyle name="#_cost9702 (2)_계통도 (2)_NEGS_04년도서울지역굴착계획_토토토_수신-VDS내역서_20061103" xfId="2253" xr:uid="{00000000-0005-0000-0000-000060010000}"/>
    <cellStyle name="#_cost9702 (2)_계통도 (2)_NEGS_09_덕-H02통신공사_설계서_v4" xfId="6469" xr:uid="{00000000-0005-0000-0000-000061010000}"/>
    <cellStyle name="#_cost9702 (2)_계통도 (2)_NEGS_설계서_CCTV-V1" xfId="6470" xr:uid="{00000000-0005-0000-0000-000062010000}"/>
    <cellStyle name="#_cost9702 (2)_계통도 (2)_NEGS_수량산출" xfId="2254" xr:uid="{00000000-0005-0000-0000-000063010000}"/>
    <cellStyle name="#_cost9702 (2)_계통도 (2)_NEGS_수량산출_수신-VDS내역서_20061103" xfId="2255" xr:uid="{00000000-0005-0000-0000-000064010000}"/>
    <cellStyle name="#_cost9702 (2)_계통도 (2)_NEGS_수신-VDS내역서_20061103" xfId="2256" xr:uid="{00000000-0005-0000-0000-000065010000}"/>
    <cellStyle name="#_cost9702 (2)_계통도 (2)_NEGS_육군 - 수량산출" xfId="2257" xr:uid="{00000000-0005-0000-0000-000066010000}"/>
    <cellStyle name="#_cost9702 (2)_계통도 (2)_NEGS_육군 - 수량산출_수신-VDS내역서_20061103" xfId="2258" xr:uid="{00000000-0005-0000-0000-000067010000}"/>
    <cellStyle name="#_cost9702 (2)_계통도 (2)_NEGS_육군관로" xfId="2259" xr:uid="{00000000-0005-0000-0000-000068010000}"/>
    <cellStyle name="#_cost9702 (2)_계통도 (2)_NEGS_육군관로_수신-VDS내역서_20061103" xfId="2260" xr:uid="{00000000-0005-0000-0000-000069010000}"/>
    <cellStyle name="#_cost9702 (2)_계통도 (2)_NEGS_토토토" xfId="2261" xr:uid="{00000000-0005-0000-0000-00006A010000}"/>
    <cellStyle name="#_cost9702 (2)_계통도 (2)_NEGS_토토토_수신-VDS내역서_20061103" xfId="2262" xr:uid="{00000000-0005-0000-0000-00006B010000}"/>
    <cellStyle name="#_cost9702 (2)_계통도 (2)_SKT CS-A4정산내역서 최종12.3" xfId="2263" xr:uid="{00000000-0005-0000-0000-00006C010000}"/>
    <cellStyle name="#_cost9702 (2)_계통도 (2)_SKT CS-A4정산내역서 최종12.3_04년도서울지역굴착계획" xfId="2264" xr:uid="{00000000-0005-0000-0000-00006D010000}"/>
    <cellStyle name="#_cost9702 (2)_계통도 (2)_SKT CS-A4정산내역서 최종12.3_04년도서울지역굴착계획_09_덕-H02통신공사_설계서_v4" xfId="6471" xr:uid="{00000000-0005-0000-0000-00006E010000}"/>
    <cellStyle name="#_cost9702 (2)_계통도 (2)_SKT CS-A4정산내역서 최종12.3_04년도서울지역굴착계획_설계서_CCTV-V1" xfId="6472" xr:uid="{00000000-0005-0000-0000-00006F010000}"/>
    <cellStyle name="#_cost9702 (2)_계통도 (2)_SKT CS-A4정산내역서 최종12.3_04년도서울지역굴착계획_수신-VDS내역서_20061103" xfId="2265" xr:uid="{00000000-0005-0000-0000-000070010000}"/>
    <cellStyle name="#_cost9702 (2)_계통도 (2)_SKT CS-A4정산내역서 최종12.3_09_덕-H02통신공사_설계서_v4" xfId="6473" xr:uid="{00000000-0005-0000-0000-000071010000}"/>
    <cellStyle name="#_cost9702 (2)_계통도 (2)_SKT CS-A4정산내역서 최종12.3_설계서_CCTV-V1" xfId="6474" xr:uid="{00000000-0005-0000-0000-000072010000}"/>
    <cellStyle name="#_cost9702 (2)_계통도 (2)_SKT CS-A4정산내역서 최종12.3_수신-VDS내역서_20061103" xfId="2266" xr:uid="{00000000-0005-0000-0000-000073010000}"/>
    <cellStyle name="#_cost9702 (2)_계통도 (2)_SKT CS-A4정산내역서+CS-A2" xfId="2267" xr:uid="{00000000-0005-0000-0000-000074010000}"/>
    <cellStyle name="#_cost9702 (2)_계통도 (2)_SKT CS-A4정산내역서+CS-A2_04년도서울지역굴착계획" xfId="2268" xr:uid="{00000000-0005-0000-0000-000075010000}"/>
    <cellStyle name="#_cost9702 (2)_계통도 (2)_SKT CS-A4정산내역서+CS-A2_04년도서울지역굴착계획_09_덕-H02통신공사_설계서_v4" xfId="6475" xr:uid="{00000000-0005-0000-0000-000076010000}"/>
    <cellStyle name="#_cost9702 (2)_계통도 (2)_SKT CS-A4정산내역서+CS-A2_04년도서울지역굴착계획_설계서_CCTV-V1" xfId="6476" xr:uid="{00000000-0005-0000-0000-000077010000}"/>
    <cellStyle name="#_cost9702 (2)_계통도 (2)_SKT CS-A4정산내역서+CS-A2_04년도서울지역굴착계획_수신-VDS내역서_20061103" xfId="2269" xr:uid="{00000000-0005-0000-0000-000078010000}"/>
    <cellStyle name="#_cost9702 (2)_계통도 (2)_SKT CS-A4정산내역서+CS-A2_09_덕-H02통신공사_설계서_v4" xfId="6477" xr:uid="{00000000-0005-0000-0000-000079010000}"/>
    <cellStyle name="#_cost9702 (2)_계통도 (2)_SKT CS-A4정산내역서+CS-A2_설계서_CCTV-V1" xfId="6478" xr:uid="{00000000-0005-0000-0000-00007A010000}"/>
    <cellStyle name="#_cost9702 (2)_계통도 (2)_SKT CS-A4정산내역서+CS-A2_수신-VDS내역서_20061103" xfId="2270" xr:uid="{00000000-0005-0000-0000-00007B010000}"/>
    <cellStyle name="#_cost9702 (2)_계통도 (2)_강동구청허가신청" xfId="2271" xr:uid="{00000000-0005-0000-0000-00007C010000}"/>
    <cellStyle name="#_cost9702 (2)_계통도 (2)_강동구청허가신청_04년도서울지역굴착계획" xfId="2272" xr:uid="{00000000-0005-0000-0000-00007D010000}"/>
    <cellStyle name="#_cost9702 (2)_계통도 (2)_강동구청허가신청_04년도서울지역굴착계획_09_덕-H02통신공사_설계서_v4" xfId="6479" xr:uid="{00000000-0005-0000-0000-00007E010000}"/>
    <cellStyle name="#_cost9702 (2)_계통도 (2)_강동구청허가신청_04년도서울지역굴착계획_설계서_CCTV-V1" xfId="6480" xr:uid="{00000000-0005-0000-0000-00007F010000}"/>
    <cellStyle name="#_cost9702 (2)_계통도 (2)_강동구청허가신청_04년도서울지역굴착계획_수신-VDS내역서_20061103" xfId="2273" xr:uid="{00000000-0005-0000-0000-000080010000}"/>
    <cellStyle name="#_cost9702 (2)_계통도 (2)_강동구청허가신청_09_덕-H02통신공사_설계서_v4" xfId="6481" xr:uid="{00000000-0005-0000-0000-000081010000}"/>
    <cellStyle name="#_cost9702 (2)_계통도 (2)_강동구청허가신청_설계서_CCTV-V1" xfId="6482" xr:uid="{00000000-0005-0000-0000-000082010000}"/>
    <cellStyle name="#_cost9702 (2)_계통도 (2)_강동구청허가신청_수신-VDS내역서_20061103" xfId="2274" xr:uid="{00000000-0005-0000-0000-000083010000}"/>
    <cellStyle name="#_cost9702 (2)_계통도 (2)_계통도 " xfId="35" xr:uid="{00000000-0005-0000-0000-000084010000}"/>
    <cellStyle name="#_cost9702 (2)_계통도 (2)_계통도 _(@클릭 pc방)준공자료" xfId="2275" xr:uid="{00000000-0005-0000-0000-000085010000}"/>
    <cellStyle name="#_cost9702 (2)_계통도 (2)_계통도 _(@클릭 pc방)준공자료_16준공자료(데이콤 중앙국사 ~ 한빛은행)" xfId="2276" xr:uid="{00000000-0005-0000-0000-000086010000}"/>
    <cellStyle name="#_cost9702 (2)_계통도 (2)_계통도 _개통자료((주)모인텍)" xfId="2277" xr:uid="{00000000-0005-0000-0000-000087010000}"/>
    <cellStyle name="#_cost9702 (2)_계통도 (2)_계통도 _개통자료((주)모인텍)_개통자료(STI 남가좌 ~ STI 홍은설악)" xfId="2278" xr:uid="{00000000-0005-0000-0000-000088010000}"/>
    <cellStyle name="#_cost9702 (2)_계통도 (2)_계통도 _개통자료(STI북아현-STI북아현3)" xfId="2279" xr:uid="{00000000-0005-0000-0000-000089010000}"/>
    <cellStyle name="#_cost9702 (2)_계통도 (2)_계통도 _개통자료(STI북아현-STI북아현3)_개통자료(STI 남가좌 ~ STI 홍은설악)" xfId="2280" xr:uid="{00000000-0005-0000-0000-00008A010000}"/>
    <cellStyle name="#_cost9702 (2)_계통도 (2)_계통도 _기별종합(미정산0306)" xfId="2281" xr:uid="{00000000-0005-0000-0000-00008B010000}"/>
    <cellStyle name="#_cost9702 (2)_계통도 (2)_계통도 _기별종합(미정산0306)_정산내역서(2002년청주5차)" xfId="2282" xr:uid="{00000000-0005-0000-0000-00008C010000}"/>
    <cellStyle name="#_cost9702 (2)_계통도 (2)_계통도 _기별총괄" xfId="2283" xr:uid="{00000000-0005-0000-0000-00008D010000}"/>
    <cellStyle name="#_cost9702 (2)_계통도 (2)_계통도 _설계내역서(02년청주10차)" xfId="2284" xr:uid="{00000000-0005-0000-0000-00008E010000}"/>
    <cellStyle name="#_cost9702 (2)_계통도 (2)_계통도 _설계내역서(02년청주11차)" xfId="2285" xr:uid="{00000000-0005-0000-0000-00008F010000}"/>
    <cellStyle name="#_cost9702 (2)_계통도 (2)_계통도 _설계내역서(02년청주3차)" xfId="2286" xr:uid="{00000000-0005-0000-0000-000090010000}"/>
    <cellStyle name="#_cost9702 (2)_계통도 (2)_계통도 _설계내역서(02년청주4차)" xfId="2287" xr:uid="{00000000-0005-0000-0000-000091010000}"/>
    <cellStyle name="#_cost9702 (2)_계통도 (2)_계통도 _설계내역서(02년청주5차)" xfId="2288" xr:uid="{00000000-0005-0000-0000-000092010000}"/>
    <cellStyle name="#_cost9702 (2)_계통도 (2)_계통도 _설계내역서(02년청주6차)" xfId="2289" xr:uid="{00000000-0005-0000-0000-000093010000}"/>
    <cellStyle name="#_cost9702 (2)_계통도 (2)_계통도 _설계내역서(02년청주7차)" xfId="2290" xr:uid="{00000000-0005-0000-0000-000094010000}"/>
    <cellStyle name="#_cost9702 (2)_계통도 (2)_계통도 _설계내역서(02년청주8차)" xfId="2291" xr:uid="{00000000-0005-0000-0000-000095010000}"/>
    <cellStyle name="#_cost9702 (2)_계통도 (2)_계통도 _세부계통도(비하 프리존pc방외 1건)" xfId="2292" xr:uid="{00000000-0005-0000-0000-000096010000}"/>
    <cellStyle name="#_cost9702 (2)_계통도 (2)_계통도 _세부계통도(비하 프리존pc방외 1건)_정산내역서(2002년청주5차)" xfId="2293" xr:uid="{00000000-0005-0000-0000-000097010000}"/>
    <cellStyle name="#_cost9702 (2)_계통도 (2)_계통도 _세부도종합(미정산0306)" xfId="2294" xr:uid="{00000000-0005-0000-0000-000098010000}"/>
    <cellStyle name="#_cost9702 (2)_계통도 (2)_계통도 _신세기11차추가(함체)" xfId="2295" xr:uid="{00000000-0005-0000-0000-000099010000}"/>
    <cellStyle name="#_cost9702 (2)_계통도 (2)_계통도 _신세기11차추가(함체)_04년도서울지역굴착계획" xfId="2296" xr:uid="{00000000-0005-0000-0000-00009A010000}"/>
    <cellStyle name="#_cost9702 (2)_계통도 (2)_계통도 _신세기11차추가(함체)_04년도서울지역굴착계획_09_덕-H02통신공사_설계서_v4" xfId="6483" xr:uid="{00000000-0005-0000-0000-00009B010000}"/>
    <cellStyle name="#_cost9702 (2)_계통도 (2)_계통도 _신세기11차추가(함체)_04년도서울지역굴착계획_설계서_CCTV-V1" xfId="6484" xr:uid="{00000000-0005-0000-0000-00009C010000}"/>
    <cellStyle name="#_cost9702 (2)_계통도 (2)_계통도 _신세기11차추가(함체)_04년도서울지역굴착계획_수량산출" xfId="2297" xr:uid="{00000000-0005-0000-0000-00009D010000}"/>
    <cellStyle name="#_cost9702 (2)_계통도 (2)_계통도 _신세기11차추가(함체)_04년도서울지역굴착계획_수량산출_수신-VDS내역서_20061103" xfId="2298" xr:uid="{00000000-0005-0000-0000-00009E010000}"/>
    <cellStyle name="#_cost9702 (2)_계통도 (2)_계통도 _신세기11차추가(함체)_04년도서울지역굴착계획_수신-VDS내역서_20061103" xfId="2299" xr:uid="{00000000-0005-0000-0000-00009F010000}"/>
    <cellStyle name="#_cost9702 (2)_계통도 (2)_계통도 _신세기11차추가(함체)_04년도서울지역굴착계획_육군 - 수량산출" xfId="2300" xr:uid="{00000000-0005-0000-0000-0000A0010000}"/>
    <cellStyle name="#_cost9702 (2)_계통도 (2)_계통도 _신세기11차추가(함체)_04년도서울지역굴착계획_육군 - 수량산출_수신-VDS내역서_20061103" xfId="2301" xr:uid="{00000000-0005-0000-0000-0000A1010000}"/>
    <cellStyle name="#_cost9702 (2)_계통도 (2)_계통도 _신세기11차추가(함체)_04년도서울지역굴착계획_육군관로" xfId="2302" xr:uid="{00000000-0005-0000-0000-0000A2010000}"/>
    <cellStyle name="#_cost9702 (2)_계통도 (2)_계통도 _신세기11차추가(함체)_04년도서울지역굴착계획_육군관로_수신-VDS내역서_20061103" xfId="2303" xr:uid="{00000000-0005-0000-0000-0000A3010000}"/>
    <cellStyle name="#_cost9702 (2)_계통도 (2)_계통도 _신세기11차추가(함체)_04년도서울지역굴착계획_토토토" xfId="2304" xr:uid="{00000000-0005-0000-0000-0000A4010000}"/>
    <cellStyle name="#_cost9702 (2)_계통도 (2)_계통도 _신세기11차추가(함체)_04년도서울지역굴착계획_토토토_수신-VDS내역서_20061103" xfId="2305" xr:uid="{00000000-0005-0000-0000-0000A5010000}"/>
    <cellStyle name="#_cost9702 (2)_계통도 (2)_계통도 _신세기11차추가(함체)_09_덕-H02통신공사_설계서_v4" xfId="6485" xr:uid="{00000000-0005-0000-0000-0000A6010000}"/>
    <cellStyle name="#_cost9702 (2)_계통도 (2)_계통도 _신세기11차추가(함체)_설계서_CCTV-V1" xfId="6486" xr:uid="{00000000-0005-0000-0000-0000A7010000}"/>
    <cellStyle name="#_cost9702 (2)_계통도 (2)_계통도 _신세기11차추가(함체)_수량산출" xfId="2306" xr:uid="{00000000-0005-0000-0000-0000A8010000}"/>
    <cellStyle name="#_cost9702 (2)_계통도 (2)_계통도 _신세기11차추가(함체)_수량산출_수신-VDS내역서_20061103" xfId="2307" xr:uid="{00000000-0005-0000-0000-0000A9010000}"/>
    <cellStyle name="#_cost9702 (2)_계통도 (2)_계통도 _신세기11차추가(함체)_수신-VDS내역서_20061103" xfId="2308" xr:uid="{00000000-0005-0000-0000-0000AA010000}"/>
    <cellStyle name="#_cost9702 (2)_계통도 (2)_계통도 _신세기11차추가(함체)_육군 - 수량산출" xfId="2309" xr:uid="{00000000-0005-0000-0000-0000AB010000}"/>
    <cellStyle name="#_cost9702 (2)_계통도 (2)_계통도 _신세기11차추가(함체)_육군 - 수량산출_수신-VDS내역서_20061103" xfId="2310" xr:uid="{00000000-0005-0000-0000-0000AC010000}"/>
    <cellStyle name="#_cost9702 (2)_계통도 (2)_계통도 _신세기11차추가(함체)_육군관로" xfId="2311" xr:uid="{00000000-0005-0000-0000-0000AD010000}"/>
    <cellStyle name="#_cost9702 (2)_계통도 (2)_계통도 _신세기11차추가(함체)_육군관로_수신-VDS내역서_20061103" xfId="2312" xr:uid="{00000000-0005-0000-0000-0000AE010000}"/>
    <cellStyle name="#_cost9702 (2)_계통도 (2)_계통도 _신세기11차추가(함체)_토토토" xfId="2313" xr:uid="{00000000-0005-0000-0000-0000AF010000}"/>
    <cellStyle name="#_cost9702 (2)_계통도 (2)_계통도 _신세기11차추가(함체)_토토토_수신-VDS내역서_20061103" xfId="2314" xr:uid="{00000000-0005-0000-0000-0000B0010000}"/>
    <cellStyle name="#_cost9702 (2)_계통도 (2)_계통도 _정산내역서(02년청주3차)" xfId="2315" xr:uid="{00000000-0005-0000-0000-0000B1010000}"/>
    <cellStyle name="#_cost9702 (2)_계통도 (2)_계통도 _정산내역서(02년청주4차)" xfId="2316" xr:uid="{00000000-0005-0000-0000-0000B2010000}"/>
    <cellStyle name="#_cost9702 (2)_계통도 (2)_계통도 _정산내역서(02년청주5차)" xfId="2317" xr:uid="{00000000-0005-0000-0000-0000B3010000}"/>
    <cellStyle name="#_cost9702 (2)_계통도 (2)_계통도 _정산내역서(02년청주6차)" xfId="2318" xr:uid="{00000000-0005-0000-0000-0000B4010000}"/>
    <cellStyle name="#_cost9702 (2)_계통도 (2)_계통도 _정산내역서(2002년청주10차)1" xfId="2319" xr:uid="{00000000-0005-0000-0000-0000B5010000}"/>
    <cellStyle name="#_cost9702 (2)_계통도 (2)_계통도 _정산내역서(2002년청주11차)" xfId="2320" xr:uid="{00000000-0005-0000-0000-0000B6010000}"/>
    <cellStyle name="#_cost9702 (2)_계통도 (2)_계통도 _정산내역서(2002년청주11차)1" xfId="2321" xr:uid="{00000000-0005-0000-0000-0000B7010000}"/>
    <cellStyle name="#_cost9702 (2)_계통도 (2)_계통도 _정산내역서(2002년청주16차)1" xfId="2322" xr:uid="{00000000-0005-0000-0000-0000B8010000}"/>
    <cellStyle name="#_cost9702 (2)_계통도 (2)_계통도 _정산내역서(2002년청주5차)1" xfId="2323" xr:uid="{00000000-0005-0000-0000-0000B9010000}"/>
    <cellStyle name="#_cost9702 (2)_계통도 (2)_계통도 _정산내역서(2002년청주7차)" xfId="2324" xr:uid="{00000000-0005-0000-0000-0000BA010000}"/>
    <cellStyle name="#_cost9702 (2)_계통도 (2)_계통도 _정산내역서(2002년청주7차)1" xfId="2325" xr:uid="{00000000-0005-0000-0000-0000BB010000}"/>
    <cellStyle name="#_cost9702 (2)_계통도 (2)_계통도 _정산내역서(2002년청주8차)1" xfId="2326" xr:uid="{00000000-0005-0000-0000-0000BC010000}"/>
    <cellStyle name="#_cost9702 (2)_계통도 (2)_계통도 _정산설계(5차 광이더넷)" xfId="2327" xr:uid="{00000000-0005-0000-0000-0000BD010000}"/>
    <cellStyle name="#_cost9702 (2)_계통도 (2)_계통도 _하나로 통신 기별(버즈 PC방외 7건)" xfId="2328" xr:uid="{00000000-0005-0000-0000-0000BE010000}"/>
    <cellStyle name="#_cost9702 (2)_계통도 (2)_계통도 _하나로기별(사이버킹PC방외 5건)" xfId="2329" xr:uid="{00000000-0005-0000-0000-0000BF010000}"/>
    <cellStyle name="#_cost9702 (2)_계통도 (2)_계통도 _하나로기별(테란PC방외 12건)" xfId="2330" xr:uid="{00000000-0005-0000-0000-0000C0010000}"/>
    <cellStyle name="#_cost9702 (2)_계통도 (2)_계통도 _하나로기별(테란PC방외 12건)_정산내역서(2002년청주5차)" xfId="2331" xr:uid="{00000000-0005-0000-0000-0000C1010000}"/>
    <cellStyle name="#_cost9702 (2)_계통도 (2)_담당자" xfId="6487" xr:uid="{00000000-0005-0000-0000-0000C2010000}"/>
    <cellStyle name="#_cost9702 (2)_계통도 (2)_담당자_설계종합514" xfId="6488" xr:uid="{00000000-0005-0000-0000-0000C3010000}"/>
    <cellStyle name="#_cost9702 (2)_계통도 (2)_도로공사신고서(수서경찰서)" xfId="2332" xr:uid="{00000000-0005-0000-0000-0000C4010000}"/>
    <cellStyle name="#_cost9702 (2)_계통도 (2)_도로공사신고서(수서경찰서)_수량산출" xfId="2333" xr:uid="{00000000-0005-0000-0000-0000C5010000}"/>
    <cellStyle name="#_cost9702 (2)_계통도 (2)_도로공사신고서(수서경찰서)_육군 - 수량산출" xfId="2334" xr:uid="{00000000-0005-0000-0000-0000C6010000}"/>
    <cellStyle name="#_cost9702 (2)_계통도 (2)_도로공사신고서(수서경찰서)_육군관로" xfId="2335" xr:uid="{00000000-0005-0000-0000-0000C7010000}"/>
    <cellStyle name="#_cost9702 (2)_계통도 (2)_도로공사신고서(수서경찰서)_토토토" xfId="2336" xr:uid="{00000000-0005-0000-0000-0000C8010000}"/>
    <cellStyle name="#_cost9702 (2)_계통도 (2)_설계서" xfId="2337" xr:uid="{00000000-0005-0000-0000-0000C9010000}"/>
    <cellStyle name="#_cost9702 (2)_계통도 (2)_설계서_04년도서울지역굴착계획" xfId="2338" xr:uid="{00000000-0005-0000-0000-0000CA010000}"/>
    <cellStyle name="#_cost9702 (2)_계통도 (2)_설계서_04년도서울지역굴착계획_09_덕-H02통신공사_설계서_v4" xfId="6489" xr:uid="{00000000-0005-0000-0000-0000CB010000}"/>
    <cellStyle name="#_cost9702 (2)_계통도 (2)_설계서_04년도서울지역굴착계획_설계서_CCTV-V1" xfId="6490" xr:uid="{00000000-0005-0000-0000-0000CC010000}"/>
    <cellStyle name="#_cost9702 (2)_계통도 (2)_설계서_04년도서울지역굴착계획_수신-VDS내역서_20061103" xfId="2339" xr:uid="{00000000-0005-0000-0000-0000CD010000}"/>
    <cellStyle name="#_cost9702 (2)_계통도 (2)_설계서_09_덕-H02통신공사_설계서_v4" xfId="6491" xr:uid="{00000000-0005-0000-0000-0000CE010000}"/>
    <cellStyle name="#_cost9702 (2)_계통도 (2)_설계서_설계서_CCTV-V1" xfId="6492" xr:uid="{00000000-0005-0000-0000-0000CF010000}"/>
    <cellStyle name="#_cost9702 (2)_계통도 (2)_설계서_수신-VDS내역서_20061103" xfId="2340" xr:uid="{00000000-0005-0000-0000-0000D0010000}"/>
    <cellStyle name="#_cost9702 (2)_계통도 (2)_수량산출" xfId="2341" xr:uid="{00000000-0005-0000-0000-0000D1010000}"/>
    <cellStyle name="#_cost9702 (2)_계통도 (2)_예술의 전당(KEPGO)" xfId="2342" xr:uid="{00000000-0005-0000-0000-0000D2010000}"/>
    <cellStyle name="#_cost9702 (2)_계통도 (2)_예술의 전당(KEPGO)_04년도서울지역굴착계획" xfId="2343" xr:uid="{00000000-0005-0000-0000-0000D3010000}"/>
    <cellStyle name="#_cost9702 (2)_계통도 (2)_예술의 전당(KEPGO)_04년도서울지역굴착계획_09_덕-H02통신공사_설계서_v4" xfId="6493" xr:uid="{00000000-0005-0000-0000-0000D4010000}"/>
    <cellStyle name="#_cost9702 (2)_계통도 (2)_예술의 전당(KEPGO)_04년도서울지역굴착계획_설계서_CCTV-V1" xfId="6494" xr:uid="{00000000-0005-0000-0000-0000D5010000}"/>
    <cellStyle name="#_cost9702 (2)_계통도 (2)_예술의 전당(KEPGO)_04년도서울지역굴착계획_수량산출" xfId="2344" xr:uid="{00000000-0005-0000-0000-0000D6010000}"/>
    <cellStyle name="#_cost9702 (2)_계통도 (2)_예술의 전당(KEPGO)_04년도서울지역굴착계획_수량산출_수신-VDS내역서_20061103" xfId="2345" xr:uid="{00000000-0005-0000-0000-0000D7010000}"/>
    <cellStyle name="#_cost9702 (2)_계통도 (2)_예술의 전당(KEPGO)_04년도서울지역굴착계획_수신-VDS내역서_20061103" xfId="2346" xr:uid="{00000000-0005-0000-0000-0000D8010000}"/>
    <cellStyle name="#_cost9702 (2)_계통도 (2)_예술의 전당(KEPGO)_04년도서울지역굴착계획_육군 - 수량산출" xfId="2347" xr:uid="{00000000-0005-0000-0000-0000D9010000}"/>
    <cellStyle name="#_cost9702 (2)_계통도 (2)_예술의 전당(KEPGO)_04년도서울지역굴착계획_육군 - 수량산출_수신-VDS내역서_20061103" xfId="2348" xr:uid="{00000000-0005-0000-0000-0000DA010000}"/>
    <cellStyle name="#_cost9702 (2)_계통도 (2)_예술의 전당(KEPGO)_04년도서울지역굴착계획_육군관로" xfId="2349" xr:uid="{00000000-0005-0000-0000-0000DB010000}"/>
    <cellStyle name="#_cost9702 (2)_계통도 (2)_예술의 전당(KEPGO)_04년도서울지역굴착계획_육군관로_수신-VDS내역서_20061103" xfId="2350" xr:uid="{00000000-0005-0000-0000-0000DC010000}"/>
    <cellStyle name="#_cost9702 (2)_계통도 (2)_예술의 전당(KEPGO)_04년도서울지역굴착계획_토토토" xfId="2351" xr:uid="{00000000-0005-0000-0000-0000DD010000}"/>
    <cellStyle name="#_cost9702 (2)_계통도 (2)_예술의 전당(KEPGO)_04년도서울지역굴착계획_토토토_수신-VDS내역서_20061103" xfId="2352" xr:uid="{00000000-0005-0000-0000-0000DE010000}"/>
    <cellStyle name="#_cost9702 (2)_계통도 (2)_예술의 전당(KEPGO)_09_덕-H02통신공사_설계서_v4" xfId="6495" xr:uid="{00000000-0005-0000-0000-0000DF010000}"/>
    <cellStyle name="#_cost9702 (2)_계통도 (2)_예술의 전당(KEPGO)_설계서_CCTV-V1" xfId="6496" xr:uid="{00000000-0005-0000-0000-0000E0010000}"/>
    <cellStyle name="#_cost9702 (2)_계통도 (2)_예술의 전당(KEPGO)_수량산출" xfId="2353" xr:uid="{00000000-0005-0000-0000-0000E1010000}"/>
    <cellStyle name="#_cost9702 (2)_계통도 (2)_예술의 전당(KEPGO)_수량산출_수신-VDS내역서_20061103" xfId="2354" xr:uid="{00000000-0005-0000-0000-0000E2010000}"/>
    <cellStyle name="#_cost9702 (2)_계통도 (2)_예술의 전당(KEPGO)_수신-VDS내역서_20061103" xfId="2355" xr:uid="{00000000-0005-0000-0000-0000E3010000}"/>
    <cellStyle name="#_cost9702 (2)_계통도 (2)_예술의 전당(KEPGO)_육군 - 수량산출" xfId="2356" xr:uid="{00000000-0005-0000-0000-0000E4010000}"/>
    <cellStyle name="#_cost9702 (2)_계통도 (2)_예술의 전당(KEPGO)_육군 - 수량산출_수신-VDS내역서_20061103" xfId="2357" xr:uid="{00000000-0005-0000-0000-0000E5010000}"/>
    <cellStyle name="#_cost9702 (2)_계통도 (2)_예술의 전당(KEPGO)_육군관로" xfId="2358" xr:uid="{00000000-0005-0000-0000-0000E6010000}"/>
    <cellStyle name="#_cost9702 (2)_계통도 (2)_예술의 전당(KEPGO)_육군관로_수신-VDS내역서_20061103" xfId="2359" xr:uid="{00000000-0005-0000-0000-0000E7010000}"/>
    <cellStyle name="#_cost9702 (2)_계통도 (2)_예술의 전당(KEPGO)_토토토" xfId="2360" xr:uid="{00000000-0005-0000-0000-0000E8010000}"/>
    <cellStyle name="#_cost9702 (2)_계통도 (2)_예술의 전당(KEPGO)_토토토_수신-VDS내역서_20061103" xfId="2361" xr:uid="{00000000-0005-0000-0000-0000E9010000}"/>
    <cellStyle name="#_cost9702 (2)_계통도 (2)_육군 - 수량산출" xfId="2362" xr:uid="{00000000-0005-0000-0000-0000EA010000}"/>
    <cellStyle name="#_cost9702 (2)_계통도 (2)_육군관로" xfId="2363" xr:uid="{00000000-0005-0000-0000-0000EB010000}"/>
    <cellStyle name="#_cost9702 (2)_계통도 (2)_토토토" xfId="2364" xr:uid="{00000000-0005-0000-0000-0000EC010000}"/>
    <cellStyle name="#_cost9702 (2)_공사비예산서" xfId="2365" xr:uid="{00000000-0005-0000-0000-0000ED010000}"/>
    <cellStyle name="#_cost9702 (2)_공사비예산서 (2)" xfId="2366" xr:uid="{00000000-0005-0000-0000-0000EE010000}"/>
    <cellStyle name="#_cost9702 (2)_공사비예산서 (2)_Book1" xfId="2367" xr:uid="{00000000-0005-0000-0000-0000EF010000}"/>
    <cellStyle name="#_cost9702 (2)_공사비예산서 (2)_Book1_04년도서울지역굴착계획" xfId="2368" xr:uid="{00000000-0005-0000-0000-0000F0010000}"/>
    <cellStyle name="#_cost9702 (2)_공사비예산서 (2)_Book1_04년도서울지역굴착계획_09_덕-H02통신공사_설계서_v4" xfId="6497" xr:uid="{00000000-0005-0000-0000-0000F1010000}"/>
    <cellStyle name="#_cost9702 (2)_공사비예산서 (2)_Book1_04년도서울지역굴착계획_설계서_CCTV-V1" xfId="6498" xr:uid="{00000000-0005-0000-0000-0000F2010000}"/>
    <cellStyle name="#_cost9702 (2)_공사비예산서 (2)_Book1_04년도서울지역굴착계획_수신-VDS내역서_20061103" xfId="2369" xr:uid="{00000000-0005-0000-0000-0000F3010000}"/>
    <cellStyle name="#_cost9702 (2)_공사비예산서 (2)_Book1_09_덕-H02통신공사_설계서_v4" xfId="6499" xr:uid="{00000000-0005-0000-0000-0000F4010000}"/>
    <cellStyle name="#_cost9702 (2)_공사비예산서 (2)_Book1_설계서_CCTV-V1" xfId="6500" xr:uid="{00000000-0005-0000-0000-0000F5010000}"/>
    <cellStyle name="#_cost9702 (2)_공사비예산서 (2)_Book1_수신-VDS내역서_20061103" xfId="2370" xr:uid="{00000000-0005-0000-0000-0000F6010000}"/>
    <cellStyle name="#_cost9702 (2)_공사비예산서 (2)_NEGS" xfId="2371" xr:uid="{00000000-0005-0000-0000-0000F7010000}"/>
    <cellStyle name="#_cost9702 (2)_공사비예산서 (2)_NEGS_04년도서울지역굴착계획" xfId="2372" xr:uid="{00000000-0005-0000-0000-0000F8010000}"/>
    <cellStyle name="#_cost9702 (2)_공사비예산서 (2)_NEGS_04년도서울지역굴착계획_09_덕-H02통신공사_설계서_v4" xfId="6501" xr:uid="{00000000-0005-0000-0000-0000F9010000}"/>
    <cellStyle name="#_cost9702 (2)_공사비예산서 (2)_NEGS_04년도서울지역굴착계획_설계서_CCTV-V1" xfId="6502" xr:uid="{00000000-0005-0000-0000-0000FA010000}"/>
    <cellStyle name="#_cost9702 (2)_공사비예산서 (2)_NEGS_04년도서울지역굴착계획_수량산출" xfId="2373" xr:uid="{00000000-0005-0000-0000-0000FB010000}"/>
    <cellStyle name="#_cost9702 (2)_공사비예산서 (2)_NEGS_04년도서울지역굴착계획_수량산출_수신-VDS내역서_20061103" xfId="2374" xr:uid="{00000000-0005-0000-0000-0000FC010000}"/>
    <cellStyle name="#_cost9702 (2)_공사비예산서 (2)_NEGS_04년도서울지역굴착계획_수신-VDS내역서_20061103" xfId="2375" xr:uid="{00000000-0005-0000-0000-0000FD010000}"/>
    <cellStyle name="#_cost9702 (2)_공사비예산서 (2)_NEGS_04년도서울지역굴착계획_육군 - 수량산출" xfId="2376" xr:uid="{00000000-0005-0000-0000-0000FE010000}"/>
    <cellStyle name="#_cost9702 (2)_공사비예산서 (2)_NEGS_04년도서울지역굴착계획_육군 - 수량산출_수신-VDS내역서_20061103" xfId="2377" xr:uid="{00000000-0005-0000-0000-0000FF010000}"/>
    <cellStyle name="#_cost9702 (2)_공사비예산서 (2)_NEGS_04년도서울지역굴착계획_육군관로" xfId="2378" xr:uid="{00000000-0005-0000-0000-000000020000}"/>
    <cellStyle name="#_cost9702 (2)_공사비예산서 (2)_NEGS_04년도서울지역굴착계획_육군관로_수신-VDS내역서_20061103" xfId="2379" xr:uid="{00000000-0005-0000-0000-000001020000}"/>
    <cellStyle name="#_cost9702 (2)_공사비예산서 (2)_NEGS_04년도서울지역굴착계획_토토토" xfId="2380" xr:uid="{00000000-0005-0000-0000-000002020000}"/>
    <cellStyle name="#_cost9702 (2)_공사비예산서 (2)_NEGS_04년도서울지역굴착계획_토토토_수신-VDS내역서_20061103" xfId="2381" xr:uid="{00000000-0005-0000-0000-000003020000}"/>
    <cellStyle name="#_cost9702 (2)_공사비예산서 (2)_NEGS_09_덕-H02통신공사_설계서_v4" xfId="6503" xr:uid="{00000000-0005-0000-0000-000004020000}"/>
    <cellStyle name="#_cost9702 (2)_공사비예산서 (2)_NEGS_설계서_CCTV-V1" xfId="6504" xr:uid="{00000000-0005-0000-0000-000005020000}"/>
    <cellStyle name="#_cost9702 (2)_공사비예산서 (2)_NEGS_수량산출" xfId="2382" xr:uid="{00000000-0005-0000-0000-000006020000}"/>
    <cellStyle name="#_cost9702 (2)_공사비예산서 (2)_NEGS_수량산출_수신-VDS내역서_20061103" xfId="2383" xr:uid="{00000000-0005-0000-0000-000007020000}"/>
    <cellStyle name="#_cost9702 (2)_공사비예산서 (2)_NEGS_수신-VDS내역서_20061103" xfId="2384" xr:uid="{00000000-0005-0000-0000-000008020000}"/>
    <cellStyle name="#_cost9702 (2)_공사비예산서 (2)_NEGS_육군 - 수량산출" xfId="2385" xr:uid="{00000000-0005-0000-0000-000009020000}"/>
    <cellStyle name="#_cost9702 (2)_공사비예산서 (2)_NEGS_육군 - 수량산출_수신-VDS내역서_20061103" xfId="2386" xr:uid="{00000000-0005-0000-0000-00000A020000}"/>
    <cellStyle name="#_cost9702 (2)_공사비예산서 (2)_NEGS_육군관로" xfId="2387" xr:uid="{00000000-0005-0000-0000-00000B020000}"/>
    <cellStyle name="#_cost9702 (2)_공사비예산서 (2)_NEGS_육군관로_수신-VDS내역서_20061103" xfId="2388" xr:uid="{00000000-0005-0000-0000-00000C020000}"/>
    <cellStyle name="#_cost9702 (2)_공사비예산서 (2)_NEGS_토토토" xfId="2389" xr:uid="{00000000-0005-0000-0000-00000D020000}"/>
    <cellStyle name="#_cost9702 (2)_공사비예산서 (2)_NEGS_토토토_수신-VDS내역서_20061103" xfId="2390" xr:uid="{00000000-0005-0000-0000-00000E020000}"/>
    <cellStyle name="#_cost9702 (2)_공사비예산서 (2)_SKT CS-A4정산내역서 최종12.3" xfId="2391" xr:uid="{00000000-0005-0000-0000-00000F020000}"/>
    <cellStyle name="#_cost9702 (2)_공사비예산서 (2)_SKT CS-A4정산내역서 최종12.3_04년도서울지역굴착계획" xfId="2392" xr:uid="{00000000-0005-0000-0000-000010020000}"/>
    <cellStyle name="#_cost9702 (2)_공사비예산서 (2)_SKT CS-A4정산내역서 최종12.3_04년도서울지역굴착계획_09_덕-H02통신공사_설계서_v4" xfId="6505" xr:uid="{00000000-0005-0000-0000-000011020000}"/>
    <cellStyle name="#_cost9702 (2)_공사비예산서 (2)_SKT CS-A4정산내역서 최종12.3_04년도서울지역굴착계획_설계서_CCTV-V1" xfId="6506" xr:uid="{00000000-0005-0000-0000-000012020000}"/>
    <cellStyle name="#_cost9702 (2)_공사비예산서 (2)_SKT CS-A4정산내역서 최종12.3_04년도서울지역굴착계획_수신-VDS내역서_20061103" xfId="2393" xr:uid="{00000000-0005-0000-0000-000013020000}"/>
    <cellStyle name="#_cost9702 (2)_공사비예산서 (2)_SKT CS-A4정산내역서 최종12.3_09_덕-H02통신공사_설계서_v4" xfId="6507" xr:uid="{00000000-0005-0000-0000-000014020000}"/>
    <cellStyle name="#_cost9702 (2)_공사비예산서 (2)_SKT CS-A4정산내역서 최종12.3_설계서_CCTV-V1" xfId="6508" xr:uid="{00000000-0005-0000-0000-000015020000}"/>
    <cellStyle name="#_cost9702 (2)_공사비예산서 (2)_SKT CS-A4정산내역서 최종12.3_수신-VDS내역서_20061103" xfId="2394" xr:uid="{00000000-0005-0000-0000-000016020000}"/>
    <cellStyle name="#_cost9702 (2)_공사비예산서 (2)_SKT CS-A4정산내역서+CS-A2" xfId="2395" xr:uid="{00000000-0005-0000-0000-000017020000}"/>
    <cellStyle name="#_cost9702 (2)_공사비예산서 (2)_SKT CS-A4정산내역서+CS-A2_04년도서울지역굴착계획" xfId="2396" xr:uid="{00000000-0005-0000-0000-000018020000}"/>
    <cellStyle name="#_cost9702 (2)_공사비예산서 (2)_SKT CS-A4정산내역서+CS-A2_04년도서울지역굴착계획_09_덕-H02통신공사_설계서_v4" xfId="6509" xr:uid="{00000000-0005-0000-0000-000019020000}"/>
    <cellStyle name="#_cost9702 (2)_공사비예산서 (2)_SKT CS-A4정산내역서+CS-A2_04년도서울지역굴착계획_설계서_CCTV-V1" xfId="6510" xr:uid="{00000000-0005-0000-0000-00001A020000}"/>
    <cellStyle name="#_cost9702 (2)_공사비예산서 (2)_SKT CS-A4정산내역서+CS-A2_04년도서울지역굴착계획_수신-VDS내역서_20061103" xfId="2397" xr:uid="{00000000-0005-0000-0000-00001B020000}"/>
    <cellStyle name="#_cost9702 (2)_공사비예산서 (2)_SKT CS-A4정산내역서+CS-A2_09_덕-H02통신공사_설계서_v4" xfId="6511" xr:uid="{00000000-0005-0000-0000-00001C020000}"/>
    <cellStyle name="#_cost9702 (2)_공사비예산서 (2)_SKT CS-A4정산내역서+CS-A2_설계서_CCTV-V1" xfId="6512" xr:uid="{00000000-0005-0000-0000-00001D020000}"/>
    <cellStyle name="#_cost9702 (2)_공사비예산서 (2)_SKT CS-A4정산내역서+CS-A2_수신-VDS내역서_20061103" xfId="2398" xr:uid="{00000000-0005-0000-0000-00001E020000}"/>
    <cellStyle name="#_cost9702 (2)_공사비예산서 (2)_강동구청허가신청" xfId="2399" xr:uid="{00000000-0005-0000-0000-00001F020000}"/>
    <cellStyle name="#_cost9702 (2)_공사비예산서 (2)_강동구청허가신청_04년도서울지역굴착계획" xfId="2400" xr:uid="{00000000-0005-0000-0000-000020020000}"/>
    <cellStyle name="#_cost9702 (2)_공사비예산서 (2)_강동구청허가신청_04년도서울지역굴착계획_09_덕-H02통신공사_설계서_v4" xfId="6513" xr:uid="{00000000-0005-0000-0000-000021020000}"/>
    <cellStyle name="#_cost9702 (2)_공사비예산서 (2)_강동구청허가신청_04년도서울지역굴착계획_설계서_CCTV-V1" xfId="6514" xr:uid="{00000000-0005-0000-0000-000022020000}"/>
    <cellStyle name="#_cost9702 (2)_공사비예산서 (2)_강동구청허가신청_04년도서울지역굴착계획_수신-VDS내역서_20061103" xfId="2401" xr:uid="{00000000-0005-0000-0000-000023020000}"/>
    <cellStyle name="#_cost9702 (2)_공사비예산서 (2)_강동구청허가신청_09_덕-H02통신공사_설계서_v4" xfId="6515" xr:uid="{00000000-0005-0000-0000-000024020000}"/>
    <cellStyle name="#_cost9702 (2)_공사비예산서 (2)_강동구청허가신청_설계서_CCTV-V1" xfId="6516" xr:uid="{00000000-0005-0000-0000-000025020000}"/>
    <cellStyle name="#_cost9702 (2)_공사비예산서 (2)_강동구청허가신청_수신-VDS내역서_20061103" xfId="2402" xr:uid="{00000000-0005-0000-0000-000026020000}"/>
    <cellStyle name="#_cost9702 (2)_공사비예산서 (2)_계통도 " xfId="36" xr:uid="{00000000-0005-0000-0000-000027020000}"/>
    <cellStyle name="#_cost9702 (2)_공사비예산서 (2)_계통도 _(@클릭 pc방)준공자료" xfId="2403" xr:uid="{00000000-0005-0000-0000-000028020000}"/>
    <cellStyle name="#_cost9702 (2)_공사비예산서 (2)_계통도 _(@클릭 pc방)준공자료_16준공자료(데이콤 중앙국사 ~ 한빛은행)" xfId="2404" xr:uid="{00000000-0005-0000-0000-000029020000}"/>
    <cellStyle name="#_cost9702 (2)_공사비예산서 (2)_계통도 _개통자료((주)모인텍)" xfId="2405" xr:uid="{00000000-0005-0000-0000-00002A020000}"/>
    <cellStyle name="#_cost9702 (2)_공사비예산서 (2)_계통도 _개통자료((주)모인텍)_개통자료(STI 남가좌 ~ STI 홍은설악)" xfId="2406" xr:uid="{00000000-0005-0000-0000-00002B020000}"/>
    <cellStyle name="#_cost9702 (2)_공사비예산서 (2)_계통도 _개통자료(STI북아현-STI북아현3)" xfId="2407" xr:uid="{00000000-0005-0000-0000-00002C020000}"/>
    <cellStyle name="#_cost9702 (2)_공사비예산서 (2)_계통도 _개통자료(STI북아현-STI북아현3)_개통자료(STI 남가좌 ~ STI 홍은설악)" xfId="2408" xr:uid="{00000000-0005-0000-0000-00002D020000}"/>
    <cellStyle name="#_cost9702 (2)_공사비예산서 (2)_계통도 _기별종합(미정산0306)" xfId="2409" xr:uid="{00000000-0005-0000-0000-00002E020000}"/>
    <cellStyle name="#_cost9702 (2)_공사비예산서 (2)_계통도 _기별종합(미정산0306)_정산내역서(2002년청주5차)" xfId="2410" xr:uid="{00000000-0005-0000-0000-00002F020000}"/>
    <cellStyle name="#_cost9702 (2)_공사비예산서 (2)_계통도 _기별총괄" xfId="2411" xr:uid="{00000000-0005-0000-0000-000030020000}"/>
    <cellStyle name="#_cost9702 (2)_공사비예산서 (2)_계통도 _설계내역서(02년청주10차)" xfId="2412" xr:uid="{00000000-0005-0000-0000-000031020000}"/>
    <cellStyle name="#_cost9702 (2)_공사비예산서 (2)_계통도 _설계내역서(02년청주11차)" xfId="2413" xr:uid="{00000000-0005-0000-0000-000032020000}"/>
    <cellStyle name="#_cost9702 (2)_공사비예산서 (2)_계통도 _설계내역서(02년청주3차)" xfId="2414" xr:uid="{00000000-0005-0000-0000-000033020000}"/>
    <cellStyle name="#_cost9702 (2)_공사비예산서 (2)_계통도 _설계내역서(02년청주4차)" xfId="2415" xr:uid="{00000000-0005-0000-0000-000034020000}"/>
    <cellStyle name="#_cost9702 (2)_공사비예산서 (2)_계통도 _설계내역서(02년청주5차)" xfId="2416" xr:uid="{00000000-0005-0000-0000-000035020000}"/>
    <cellStyle name="#_cost9702 (2)_공사비예산서 (2)_계통도 _설계내역서(02년청주6차)" xfId="2417" xr:uid="{00000000-0005-0000-0000-000036020000}"/>
    <cellStyle name="#_cost9702 (2)_공사비예산서 (2)_계통도 _설계내역서(02년청주7차)" xfId="2418" xr:uid="{00000000-0005-0000-0000-000037020000}"/>
    <cellStyle name="#_cost9702 (2)_공사비예산서 (2)_계통도 _설계내역서(02년청주8차)" xfId="2419" xr:uid="{00000000-0005-0000-0000-000038020000}"/>
    <cellStyle name="#_cost9702 (2)_공사비예산서 (2)_계통도 _세부계통도(비하 프리존pc방외 1건)" xfId="2420" xr:uid="{00000000-0005-0000-0000-000039020000}"/>
    <cellStyle name="#_cost9702 (2)_공사비예산서 (2)_계통도 _세부계통도(비하 프리존pc방외 1건)_정산내역서(2002년청주5차)" xfId="2421" xr:uid="{00000000-0005-0000-0000-00003A020000}"/>
    <cellStyle name="#_cost9702 (2)_공사비예산서 (2)_계통도 _세부도종합(미정산0306)" xfId="2422" xr:uid="{00000000-0005-0000-0000-00003B020000}"/>
    <cellStyle name="#_cost9702 (2)_공사비예산서 (2)_계통도 _신세기11차추가(함체)" xfId="2423" xr:uid="{00000000-0005-0000-0000-00003C020000}"/>
    <cellStyle name="#_cost9702 (2)_공사비예산서 (2)_계통도 _신세기11차추가(함체)_04년도서울지역굴착계획" xfId="2424" xr:uid="{00000000-0005-0000-0000-00003D020000}"/>
    <cellStyle name="#_cost9702 (2)_공사비예산서 (2)_계통도 _신세기11차추가(함체)_04년도서울지역굴착계획_09_덕-H02통신공사_설계서_v4" xfId="6517" xr:uid="{00000000-0005-0000-0000-00003E020000}"/>
    <cellStyle name="#_cost9702 (2)_공사비예산서 (2)_계통도 _신세기11차추가(함체)_04년도서울지역굴착계획_설계서_CCTV-V1" xfId="6518" xr:uid="{00000000-0005-0000-0000-00003F020000}"/>
    <cellStyle name="#_cost9702 (2)_공사비예산서 (2)_계통도 _신세기11차추가(함체)_04년도서울지역굴착계획_수량산출" xfId="2425" xr:uid="{00000000-0005-0000-0000-000040020000}"/>
    <cellStyle name="#_cost9702 (2)_공사비예산서 (2)_계통도 _신세기11차추가(함체)_04년도서울지역굴착계획_수량산출_수신-VDS내역서_20061103" xfId="2426" xr:uid="{00000000-0005-0000-0000-000041020000}"/>
    <cellStyle name="#_cost9702 (2)_공사비예산서 (2)_계통도 _신세기11차추가(함체)_04년도서울지역굴착계획_수신-VDS내역서_20061103" xfId="2427" xr:uid="{00000000-0005-0000-0000-000042020000}"/>
    <cellStyle name="#_cost9702 (2)_공사비예산서 (2)_계통도 _신세기11차추가(함체)_04년도서울지역굴착계획_육군 - 수량산출" xfId="2428" xr:uid="{00000000-0005-0000-0000-000043020000}"/>
    <cellStyle name="#_cost9702 (2)_공사비예산서 (2)_계통도 _신세기11차추가(함체)_04년도서울지역굴착계획_육군 - 수량산출_수신-VDS내역서_20061103" xfId="2429" xr:uid="{00000000-0005-0000-0000-000044020000}"/>
    <cellStyle name="#_cost9702 (2)_공사비예산서 (2)_계통도 _신세기11차추가(함체)_04년도서울지역굴착계획_육군관로" xfId="2430" xr:uid="{00000000-0005-0000-0000-000045020000}"/>
    <cellStyle name="#_cost9702 (2)_공사비예산서 (2)_계통도 _신세기11차추가(함체)_04년도서울지역굴착계획_육군관로_수신-VDS내역서_20061103" xfId="2431" xr:uid="{00000000-0005-0000-0000-000046020000}"/>
    <cellStyle name="#_cost9702 (2)_공사비예산서 (2)_계통도 _신세기11차추가(함체)_04년도서울지역굴착계획_토토토" xfId="2432" xr:uid="{00000000-0005-0000-0000-000047020000}"/>
    <cellStyle name="#_cost9702 (2)_공사비예산서 (2)_계통도 _신세기11차추가(함체)_04년도서울지역굴착계획_토토토_수신-VDS내역서_20061103" xfId="2433" xr:uid="{00000000-0005-0000-0000-000048020000}"/>
    <cellStyle name="#_cost9702 (2)_공사비예산서 (2)_계통도 _신세기11차추가(함체)_09_덕-H02통신공사_설계서_v4" xfId="6519" xr:uid="{00000000-0005-0000-0000-000049020000}"/>
    <cellStyle name="#_cost9702 (2)_공사비예산서 (2)_계통도 _신세기11차추가(함체)_설계서_CCTV-V1" xfId="6520" xr:uid="{00000000-0005-0000-0000-00004A020000}"/>
    <cellStyle name="#_cost9702 (2)_공사비예산서 (2)_계통도 _신세기11차추가(함체)_수량산출" xfId="2434" xr:uid="{00000000-0005-0000-0000-00004B020000}"/>
    <cellStyle name="#_cost9702 (2)_공사비예산서 (2)_계통도 _신세기11차추가(함체)_수량산출_수신-VDS내역서_20061103" xfId="2435" xr:uid="{00000000-0005-0000-0000-00004C020000}"/>
    <cellStyle name="#_cost9702 (2)_공사비예산서 (2)_계통도 _신세기11차추가(함체)_수신-VDS내역서_20061103" xfId="2436" xr:uid="{00000000-0005-0000-0000-00004D020000}"/>
    <cellStyle name="#_cost9702 (2)_공사비예산서 (2)_계통도 _신세기11차추가(함체)_육군 - 수량산출" xfId="2437" xr:uid="{00000000-0005-0000-0000-00004E020000}"/>
    <cellStyle name="#_cost9702 (2)_공사비예산서 (2)_계통도 _신세기11차추가(함체)_육군 - 수량산출_수신-VDS내역서_20061103" xfId="2438" xr:uid="{00000000-0005-0000-0000-00004F020000}"/>
    <cellStyle name="#_cost9702 (2)_공사비예산서 (2)_계통도 _신세기11차추가(함체)_육군관로" xfId="2439" xr:uid="{00000000-0005-0000-0000-000050020000}"/>
    <cellStyle name="#_cost9702 (2)_공사비예산서 (2)_계통도 _신세기11차추가(함체)_육군관로_수신-VDS내역서_20061103" xfId="2440" xr:uid="{00000000-0005-0000-0000-000051020000}"/>
    <cellStyle name="#_cost9702 (2)_공사비예산서 (2)_계통도 _신세기11차추가(함체)_토토토" xfId="2441" xr:uid="{00000000-0005-0000-0000-000052020000}"/>
    <cellStyle name="#_cost9702 (2)_공사비예산서 (2)_계통도 _신세기11차추가(함체)_토토토_수신-VDS내역서_20061103" xfId="2442" xr:uid="{00000000-0005-0000-0000-000053020000}"/>
    <cellStyle name="#_cost9702 (2)_공사비예산서 (2)_계통도 _정산내역서(02년청주3차)" xfId="2443" xr:uid="{00000000-0005-0000-0000-000054020000}"/>
    <cellStyle name="#_cost9702 (2)_공사비예산서 (2)_계통도 _정산내역서(02년청주4차)" xfId="2444" xr:uid="{00000000-0005-0000-0000-000055020000}"/>
    <cellStyle name="#_cost9702 (2)_공사비예산서 (2)_계통도 _정산내역서(02년청주5차)" xfId="2445" xr:uid="{00000000-0005-0000-0000-000056020000}"/>
    <cellStyle name="#_cost9702 (2)_공사비예산서 (2)_계통도 _정산내역서(02년청주6차)" xfId="2446" xr:uid="{00000000-0005-0000-0000-000057020000}"/>
    <cellStyle name="#_cost9702 (2)_공사비예산서 (2)_계통도 _정산내역서(2002년청주10차)1" xfId="2447" xr:uid="{00000000-0005-0000-0000-000058020000}"/>
    <cellStyle name="#_cost9702 (2)_공사비예산서 (2)_계통도 _정산내역서(2002년청주11차)" xfId="2448" xr:uid="{00000000-0005-0000-0000-000059020000}"/>
    <cellStyle name="#_cost9702 (2)_공사비예산서 (2)_계통도 _정산내역서(2002년청주11차)1" xfId="2449" xr:uid="{00000000-0005-0000-0000-00005A020000}"/>
    <cellStyle name="#_cost9702 (2)_공사비예산서 (2)_계통도 _정산내역서(2002년청주16차)1" xfId="2450" xr:uid="{00000000-0005-0000-0000-00005B020000}"/>
    <cellStyle name="#_cost9702 (2)_공사비예산서 (2)_계통도 _정산내역서(2002년청주5차)1" xfId="2451" xr:uid="{00000000-0005-0000-0000-00005C020000}"/>
    <cellStyle name="#_cost9702 (2)_공사비예산서 (2)_계통도 _정산내역서(2002년청주7차)" xfId="2452" xr:uid="{00000000-0005-0000-0000-00005D020000}"/>
    <cellStyle name="#_cost9702 (2)_공사비예산서 (2)_계통도 _정산내역서(2002년청주7차)1" xfId="2453" xr:uid="{00000000-0005-0000-0000-00005E020000}"/>
    <cellStyle name="#_cost9702 (2)_공사비예산서 (2)_계통도 _정산내역서(2002년청주8차)1" xfId="2454" xr:uid="{00000000-0005-0000-0000-00005F020000}"/>
    <cellStyle name="#_cost9702 (2)_공사비예산서 (2)_계통도 _정산설계(5차 광이더넷)" xfId="2455" xr:uid="{00000000-0005-0000-0000-000060020000}"/>
    <cellStyle name="#_cost9702 (2)_공사비예산서 (2)_계통도 _하나로 통신 기별(버즈 PC방외 7건)" xfId="2456" xr:uid="{00000000-0005-0000-0000-000061020000}"/>
    <cellStyle name="#_cost9702 (2)_공사비예산서 (2)_계통도 _하나로기별(사이버킹PC방외 5건)" xfId="2457" xr:uid="{00000000-0005-0000-0000-000062020000}"/>
    <cellStyle name="#_cost9702 (2)_공사비예산서 (2)_계통도 _하나로기별(테란PC방외 12건)" xfId="2458" xr:uid="{00000000-0005-0000-0000-000063020000}"/>
    <cellStyle name="#_cost9702 (2)_공사비예산서 (2)_계통도 _하나로기별(테란PC방외 12건)_정산내역서(2002년청주5차)" xfId="2459" xr:uid="{00000000-0005-0000-0000-000064020000}"/>
    <cellStyle name="#_cost9702 (2)_공사비예산서 (2)_담당자" xfId="6521" xr:uid="{00000000-0005-0000-0000-000065020000}"/>
    <cellStyle name="#_cost9702 (2)_공사비예산서 (2)_담당자_설계종합514" xfId="6522" xr:uid="{00000000-0005-0000-0000-000066020000}"/>
    <cellStyle name="#_cost9702 (2)_공사비예산서 (2)_도로공사신고서(수서경찰서)" xfId="2460" xr:uid="{00000000-0005-0000-0000-000067020000}"/>
    <cellStyle name="#_cost9702 (2)_공사비예산서 (2)_도로공사신고서(수서경찰서)_수량산출" xfId="2461" xr:uid="{00000000-0005-0000-0000-000068020000}"/>
    <cellStyle name="#_cost9702 (2)_공사비예산서 (2)_도로공사신고서(수서경찰서)_육군 - 수량산출" xfId="2462" xr:uid="{00000000-0005-0000-0000-000069020000}"/>
    <cellStyle name="#_cost9702 (2)_공사비예산서 (2)_도로공사신고서(수서경찰서)_육군관로" xfId="2463" xr:uid="{00000000-0005-0000-0000-00006A020000}"/>
    <cellStyle name="#_cost9702 (2)_공사비예산서 (2)_도로공사신고서(수서경찰서)_토토토" xfId="2464" xr:uid="{00000000-0005-0000-0000-00006B020000}"/>
    <cellStyle name="#_cost9702 (2)_공사비예산서 (2)_설계서" xfId="2465" xr:uid="{00000000-0005-0000-0000-00006C020000}"/>
    <cellStyle name="#_cost9702 (2)_공사비예산서 (2)_설계서_04년도서울지역굴착계획" xfId="2466" xr:uid="{00000000-0005-0000-0000-00006D020000}"/>
    <cellStyle name="#_cost9702 (2)_공사비예산서 (2)_설계서_04년도서울지역굴착계획_09_덕-H02통신공사_설계서_v4" xfId="6523" xr:uid="{00000000-0005-0000-0000-00006E020000}"/>
    <cellStyle name="#_cost9702 (2)_공사비예산서 (2)_설계서_04년도서울지역굴착계획_설계서_CCTV-V1" xfId="6524" xr:uid="{00000000-0005-0000-0000-00006F020000}"/>
    <cellStyle name="#_cost9702 (2)_공사비예산서 (2)_설계서_04년도서울지역굴착계획_수신-VDS내역서_20061103" xfId="2467" xr:uid="{00000000-0005-0000-0000-000070020000}"/>
    <cellStyle name="#_cost9702 (2)_공사비예산서 (2)_설계서_09_덕-H02통신공사_설계서_v4" xfId="6525" xr:uid="{00000000-0005-0000-0000-000071020000}"/>
    <cellStyle name="#_cost9702 (2)_공사비예산서 (2)_설계서_설계서_CCTV-V1" xfId="6526" xr:uid="{00000000-0005-0000-0000-000072020000}"/>
    <cellStyle name="#_cost9702 (2)_공사비예산서 (2)_설계서_수신-VDS내역서_20061103" xfId="2468" xr:uid="{00000000-0005-0000-0000-000073020000}"/>
    <cellStyle name="#_cost9702 (2)_공사비예산서 (2)_수량산출" xfId="2469" xr:uid="{00000000-0005-0000-0000-000074020000}"/>
    <cellStyle name="#_cost9702 (2)_공사비예산서 (2)_예술의 전당(KEPGO)" xfId="2470" xr:uid="{00000000-0005-0000-0000-000075020000}"/>
    <cellStyle name="#_cost9702 (2)_공사비예산서 (2)_예술의 전당(KEPGO)_04년도서울지역굴착계획" xfId="2471" xr:uid="{00000000-0005-0000-0000-000076020000}"/>
    <cellStyle name="#_cost9702 (2)_공사비예산서 (2)_예술의 전당(KEPGO)_04년도서울지역굴착계획_09_덕-H02통신공사_설계서_v4" xfId="6527" xr:uid="{00000000-0005-0000-0000-000077020000}"/>
    <cellStyle name="#_cost9702 (2)_공사비예산서 (2)_예술의 전당(KEPGO)_04년도서울지역굴착계획_설계서_CCTV-V1" xfId="6528" xr:uid="{00000000-0005-0000-0000-000078020000}"/>
    <cellStyle name="#_cost9702 (2)_공사비예산서 (2)_예술의 전당(KEPGO)_04년도서울지역굴착계획_수량산출" xfId="2472" xr:uid="{00000000-0005-0000-0000-000079020000}"/>
    <cellStyle name="#_cost9702 (2)_공사비예산서 (2)_예술의 전당(KEPGO)_04년도서울지역굴착계획_수량산출_수신-VDS내역서_20061103" xfId="2473" xr:uid="{00000000-0005-0000-0000-00007A020000}"/>
    <cellStyle name="#_cost9702 (2)_공사비예산서 (2)_예술의 전당(KEPGO)_04년도서울지역굴착계획_수신-VDS내역서_20061103" xfId="2474" xr:uid="{00000000-0005-0000-0000-00007B020000}"/>
    <cellStyle name="#_cost9702 (2)_공사비예산서 (2)_예술의 전당(KEPGO)_04년도서울지역굴착계획_육군 - 수량산출" xfId="2475" xr:uid="{00000000-0005-0000-0000-00007C020000}"/>
    <cellStyle name="#_cost9702 (2)_공사비예산서 (2)_예술의 전당(KEPGO)_04년도서울지역굴착계획_육군 - 수량산출_수신-VDS내역서_20061103" xfId="2476" xr:uid="{00000000-0005-0000-0000-00007D020000}"/>
    <cellStyle name="#_cost9702 (2)_공사비예산서 (2)_예술의 전당(KEPGO)_04년도서울지역굴착계획_육군관로" xfId="2477" xr:uid="{00000000-0005-0000-0000-00007E020000}"/>
    <cellStyle name="#_cost9702 (2)_공사비예산서 (2)_예술의 전당(KEPGO)_04년도서울지역굴착계획_육군관로_수신-VDS내역서_20061103" xfId="2478" xr:uid="{00000000-0005-0000-0000-00007F020000}"/>
    <cellStyle name="#_cost9702 (2)_공사비예산서 (2)_예술의 전당(KEPGO)_04년도서울지역굴착계획_토토토" xfId="2479" xr:uid="{00000000-0005-0000-0000-000080020000}"/>
    <cellStyle name="#_cost9702 (2)_공사비예산서 (2)_예술의 전당(KEPGO)_04년도서울지역굴착계획_토토토_수신-VDS내역서_20061103" xfId="2480" xr:uid="{00000000-0005-0000-0000-000081020000}"/>
    <cellStyle name="#_cost9702 (2)_공사비예산서 (2)_예술의 전당(KEPGO)_09_덕-H02통신공사_설계서_v4" xfId="6529" xr:uid="{00000000-0005-0000-0000-000082020000}"/>
    <cellStyle name="#_cost9702 (2)_공사비예산서 (2)_예술의 전당(KEPGO)_설계서_CCTV-V1" xfId="6530" xr:uid="{00000000-0005-0000-0000-000083020000}"/>
    <cellStyle name="#_cost9702 (2)_공사비예산서 (2)_예술의 전당(KEPGO)_수량산출" xfId="2481" xr:uid="{00000000-0005-0000-0000-000084020000}"/>
    <cellStyle name="#_cost9702 (2)_공사비예산서 (2)_예술의 전당(KEPGO)_수량산출_수신-VDS내역서_20061103" xfId="2482" xr:uid="{00000000-0005-0000-0000-000085020000}"/>
    <cellStyle name="#_cost9702 (2)_공사비예산서 (2)_예술의 전당(KEPGO)_수신-VDS내역서_20061103" xfId="2483" xr:uid="{00000000-0005-0000-0000-000086020000}"/>
    <cellStyle name="#_cost9702 (2)_공사비예산서 (2)_예술의 전당(KEPGO)_육군 - 수량산출" xfId="2484" xr:uid="{00000000-0005-0000-0000-000087020000}"/>
    <cellStyle name="#_cost9702 (2)_공사비예산서 (2)_예술의 전당(KEPGO)_육군 - 수량산출_수신-VDS내역서_20061103" xfId="2485" xr:uid="{00000000-0005-0000-0000-000088020000}"/>
    <cellStyle name="#_cost9702 (2)_공사비예산서 (2)_예술의 전당(KEPGO)_육군관로" xfId="2486" xr:uid="{00000000-0005-0000-0000-000089020000}"/>
    <cellStyle name="#_cost9702 (2)_공사비예산서 (2)_예술의 전당(KEPGO)_육군관로_수신-VDS내역서_20061103" xfId="2487" xr:uid="{00000000-0005-0000-0000-00008A020000}"/>
    <cellStyle name="#_cost9702 (2)_공사비예산서 (2)_예술의 전당(KEPGO)_토토토" xfId="2488" xr:uid="{00000000-0005-0000-0000-00008B020000}"/>
    <cellStyle name="#_cost9702 (2)_공사비예산서 (2)_예술의 전당(KEPGO)_토토토_수신-VDS내역서_20061103" xfId="2489" xr:uid="{00000000-0005-0000-0000-00008C020000}"/>
    <cellStyle name="#_cost9702 (2)_공사비예산서 (2)_육군 - 수량산출" xfId="2490" xr:uid="{00000000-0005-0000-0000-00008D020000}"/>
    <cellStyle name="#_cost9702 (2)_공사비예산서 (2)_육군관로" xfId="2491" xr:uid="{00000000-0005-0000-0000-00008E020000}"/>
    <cellStyle name="#_cost9702 (2)_공사비예산서 (2)_토토토" xfId="2492" xr:uid="{00000000-0005-0000-0000-00008F020000}"/>
    <cellStyle name="#_cost9702 (2)_공사비예산서_Book1" xfId="2493" xr:uid="{00000000-0005-0000-0000-000090020000}"/>
    <cellStyle name="#_cost9702 (2)_공사비예산서_Book1_04년도서울지역굴착계획" xfId="2494" xr:uid="{00000000-0005-0000-0000-000091020000}"/>
    <cellStyle name="#_cost9702 (2)_공사비예산서_Book1_04년도서울지역굴착계획_09_덕-H02통신공사_설계서_v4" xfId="6531" xr:uid="{00000000-0005-0000-0000-000092020000}"/>
    <cellStyle name="#_cost9702 (2)_공사비예산서_Book1_04년도서울지역굴착계획_설계서_CCTV-V1" xfId="6532" xr:uid="{00000000-0005-0000-0000-000093020000}"/>
    <cellStyle name="#_cost9702 (2)_공사비예산서_Book1_04년도서울지역굴착계획_수신-VDS내역서_20061103" xfId="2495" xr:uid="{00000000-0005-0000-0000-000094020000}"/>
    <cellStyle name="#_cost9702 (2)_공사비예산서_Book1_09_덕-H02통신공사_설계서_v4" xfId="6533" xr:uid="{00000000-0005-0000-0000-000095020000}"/>
    <cellStyle name="#_cost9702 (2)_공사비예산서_Book1_설계서_CCTV-V1" xfId="6534" xr:uid="{00000000-0005-0000-0000-000096020000}"/>
    <cellStyle name="#_cost9702 (2)_공사비예산서_Book1_수신-VDS내역서_20061103" xfId="2496" xr:uid="{00000000-0005-0000-0000-000097020000}"/>
    <cellStyle name="#_cost9702 (2)_공사비예산서_NEGS" xfId="2497" xr:uid="{00000000-0005-0000-0000-000098020000}"/>
    <cellStyle name="#_cost9702 (2)_공사비예산서_NEGS_04년도서울지역굴착계획" xfId="2498" xr:uid="{00000000-0005-0000-0000-000099020000}"/>
    <cellStyle name="#_cost9702 (2)_공사비예산서_NEGS_04년도서울지역굴착계획_09_덕-H02통신공사_설계서_v4" xfId="6535" xr:uid="{00000000-0005-0000-0000-00009A020000}"/>
    <cellStyle name="#_cost9702 (2)_공사비예산서_NEGS_04년도서울지역굴착계획_설계서_CCTV-V1" xfId="6536" xr:uid="{00000000-0005-0000-0000-00009B020000}"/>
    <cellStyle name="#_cost9702 (2)_공사비예산서_NEGS_04년도서울지역굴착계획_수량산출" xfId="2499" xr:uid="{00000000-0005-0000-0000-00009C020000}"/>
    <cellStyle name="#_cost9702 (2)_공사비예산서_NEGS_04년도서울지역굴착계획_수량산출_수신-VDS내역서_20061103" xfId="2500" xr:uid="{00000000-0005-0000-0000-00009D020000}"/>
    <cellStyle name="#_cost9702 (2)_공사비예산서_NEGS_04년도서울지역굴착계획_수신-VDS내역서_20061103" xfId="2501" xr:uid="{00000000-0005-0000-0000-00009E020000}"/>
    <cellStyle name="#_cost9702 (2)_공사비예산서_NEGS_04년도서울지역굴착계획_육군 - 수량산출" xfId="2502" xr:uid="{00000000-0005-0000-0000-00009F020000}"/>
    <cellStyle name="#_cost9702 (2)_공사비예산서_NEGS_04년도서울지역굴착계획_육군 - 수량산출_수신-VDS내역서_20061103" xfId="2503" xr:uid="{00000000-0005-0000-0000-0000A0020000}"/>
    <cellStyle name="#_cost9702 (2)_공사비예산서_NEGS_04년도서울지역굴착계획_육군관로" xfId="2504" xr:uid="{00000000-0005-0000-0000-0000A1020000}"/>
    <cellStyle name="#_cost9702 (2)_공사비예산서_NEGS_04년도서울지역굴착계획_육군관로_수신-VDS내역서_20061103" xfId="2505" xr:uid="{00000000-0005-0000-0000-0000A2020000}"/>
    <cellStyle name="#_cost9702 (2)_공사비예산서_NEGS_04년도서울지역굴착계획_토토토" xfId="2506" xr:uid="{00000000-0005-0000-0000-0000A3020000}"/>
    <cellStyle name="#_cost9702 (2)_공사비예산서_NEGS_04년도서울지역굴착계획_토토토_수신-VDS내역서_20061103" xfId="2507" xr:uid="{00000000-0005-0000-0000-0000A4020000}"/>
    <cellStyle name="#_cost9702 (2)_공사비예산서_NEGS_09_덕-H02통신공사_설계서_v4" xfId="6537" xr:uid="{00000000-0005-0000-0000-0000A5020000}"/>
    <cellStyle name="#_cost9702 (2)_공사비예산서_NEGS_설계서_CCTV-V1" xfId="6538" xr:uid="{00000000-0005-0000-0000-0000A6020000}"/>
    <cellStyle name="#_cost9702 (2)_공사비예산서_NEGS_수량산출" xfId="2508" xr:uid="{00000000-0005-0000-0000-0000A7020000}"/>
    <cellStyle name="#_cost9702 (2)_공사비예산서_NEGS_수량산출_수신-VDS내역서_20061103" xfId="2509" xr:uid="{00000000-0005-0000-0000-0000A8020000}"/>
    <cellStyle name="#_cost9702 (2)_공사비예산서_NEGS_수신-VDS내역서_20061103" xfId="2510" xr:uid="{00000000-0005-0000-0000-0000A9020000}"/>
    <cellStyle name="#_cost9702 (2)_공사비예산서_NEGS_육군 - 수량산출" xfId="2511" xr:uid="{00000000-0005-0000-0000-0000AA020000}"/>
    <cellStyle name="#_cost9702 (2)_공사비예산서_NEGS_육군 - 수량산출_수신-VDS내역서_20061103" xfId="2512" xr:uid="{00000000-0005-0000-0000-0000AB020000}"/>
    <cellStyle name="#_cost9702 (2)_공사비예산서_NEGS_육군관로" xfId="2513" xr:uid="{00000000-0005-0000-0000-0000AC020000}"/>
    <cellStyle name="#_cost9702 (2)_공사비예산서_NEGS_육군관로_수신-VDS내역서_20061103" xfId="2514" xr:uid="{00000000-0005-0000-0000-0000AD020000}"/>
    <cellStyle name="#_cost9702 (2)_공사비예산서_NEGS_토토토" xfId="2515" xr:uid="{00000000-0005-0000-0000-0000AE020000}"/>
    <cellStyle name="#_cost9702 (2)_공사비예산서_NEGS_토토토_수신-VDS내역서_20061103" xfId="2516" xr:uid="{00000000-0005-0000-0000-0000AF020000}"/>
    <cellStyle name="#_cost9702 (2)_공사비예산서_SKT CS-A4정산내역서 최종12.3" xfId="2517" xr:uid="{00000000-0005-0000-0000-0000B0020000}"/>
    <cellStyle name="#_cost9702 (2)_공사비예산서_SKT CS-A4정산내역서 최종12.3_04년도서울지역굴착계획" xfId="2518" xr:uid="{00000000-0005-0000-0000-0000B1020000}"/>
    <cellStyle name="#_cost9702 (2)_공사비예산서_SKT CS-A4정산내역서 최종12.3_04년도서울지역굴착계획_09_덕-H02통신공사_설계서_v4" xfId="6539" xr:uid="{00000000-0005-0000-0000-0000B2020000}"/>
    <cellStyle name="#_cost9702 (2)_공사비예산서_SKT CS-A4정산내역서 최종12.3_04년도서울지역굴착계획_설계서_CCTV-V1" xfId="6540" xr:uid="{00000000-0005-0000-0000-0000B3020000}"/>
    <cellStyle name="#_cost9702 (2)_공사비예산서_SKT CS-A4정산내역서 최종12.3_04년도서울지역굴착계획_수신-VDS내역서_20061103" xfId="2519" xr:uid="{00000000-0005-0000-0000-0000B4020000}"/>
    <cellStyle name="#_cost9702 (2)_공사비예산서_SKT CS-A4정산내역서 최종12.3_09_덕-H02통신공사_설계서_v4" xfId="6541" xr:uid="{00000000-0005-0000-0000-0000B5020000}"/>
    <cellStyle name="#_cost9702 (2)_공사비예산서_SKT CS-A4정산내역서 최종12.3_설계서_CCTV-V1" xfId="6542" xr:uid="{00000000-0005-0000-0000-0000B6020000}"/>
    <cellStyle name="#_cost9702 (2)_공사비예산서_SKT CS-A4정산내역서 최종12.3_수신-VDS내역서_20061103" xfId="2520" xr:uid="{00000000-0005-0000-0000-0000B7020000}"/>
    <cellStyle name="#_cost9702 (2)_공사비예산서_SKT CS-A4정산내역서+CS-A2" xfId="2521" xr:uid="{00000000-0005-0000-0000-0000B8020000}"/>
    <cellStyle name="#_cost9702 (2)_공사비예산서_SKT CS-A4정산내역서+CS-A2_04년도서울지역굴착계획" xfId="2522" xr:uid="{00000000-0005-0000-0000-0000B9020000}"/>
    <cellStyle name="#_cost9702 (2)_공사비예산서_SKT CS-A4정산내역서+CS-A2_04년도서울지역굴착계획_09_덕-H02통신공사_설계서_v4" xfId="6543" xr:uid="{00000000-0005-0000-0000-0000BA020000}"/>
    <cellStyle name="#_cost9702 (2)_공사비예산서_SKT CS-A4정산내역서+CS-A2_04년도서울지역굴착계획_설계서_CCTV-V1" xfId="6544" xr:uid="{00000000-0005-0000-0000-0000BB020000}"/>
    <cellStyle name="#_cost9702 (2)_공사비예산서_SKT CS-A4정산내역서+CS-A2_04년도서울지역굴착계획_수신-VDS내역서_20061103" xfId="2523" xr:uid="{00000000-0005-0000-0000-0000BC020000}"/>
    <cellStyle name="#_cost9702 (2)_공사비예산서_SKT CS-A4정산내역서+CS-A2_09_덕-H02통신공사_설계서_v4" xfId="6545" xr:uid="{00000000-0005-0000-0000-0000BD020000}"/>
    <cellStyle name="#_cost9702 (2)_공사비예산서_SKT CS-A4정산내역서+CS-A2_설계서_CCTV-V1" xfId="6546" xr:uid="{00000000-0005-0000-0000-0000BE020000}"/>
    <cellStyle name="#_cost9702 (2)_공사비예산서_SKT CS-A4정산내역서+CS-A2_수신-VDS내역서_20061103" xfId="2524" xr:uid="{00000000-0005-0000-0000-0000BF020000}"/>
    <cellStyle name="#_cost9702 (2)_공사비예산서_강동구청허가신청" xfId="2525" xr:uid="{00000000-0005-0000-0000-0000C0020000}"/>
    <cellStyle name="#_cost9702 (2)_공사비예산서_강동구청허가신청_04년도서울지역굴착계획" xfId="2526" xr:uid="{00000000-0005-0000-0000-0000C1020000}"/>
    <cellStyle name="#_cost9702 (2)_공사비예산서_강동구청허가신청_04년도서울지역굴착계획_09_덕-H02통신공사_설계서_v4" xfId="6547" xr:uid="{00000000-0005-0000-0000-0000C2020000}"/>
    <cellStyle name="#_cost9702 (2)_공사비예산서_강동구청허가신청_04년도서울지역굴착계획_설계서_CCTV-V1" xfId="6548" xr:uid="{00000000-0005-0000-0000-0000C3020000}"/>
    <cellStyle name="#_cost9702 (2)_공사비예산서_강동구청허가신청_04년도서울지역굴착계획_수신-VDS내역서_20061103" xfId="2527" xr:uid="{00000000-0005-0000-0000-0000C4020000}"/>
    <cellStyle name="#_cost9702 (2)_공사비예산서_강동구청허가신청_09_덕-H02통신공사_설계서_v4" xfId="6549" xr:uid="{00000000-0005-0000-0000-0000C5020000}"/>
    <cellStyle name="#_cost9702 (2)_공사비예산서_강동구청허가신청_설계서_CCTV-V1" xfId="6550" xr:uid="{00000000-0005-0000-0000-0000C6020000}"/>
    <cellStyle name="#_cost9702 (2)_공사비예산서_강동구청허가신청_수신-VDS내역서_20061103" xfId="2528" xr:uid="{00000000-0005-0000-0000-0000C7020000}"/>
    <cellStyle name="#_cost9702 (2)_공사비예산서_계통도 " xfId="37" xr:uid="{00000000-0005-0000-0000-0000C8020000}"/>
    <cellStyle name="#_cost9702 (2)_공사비예산서_계통도 _(@클릭 pc방)준공자료" xfId="2529" xr:uid="{00000000-0005-0000-0000-0000C9020000}"/>
    <cellStyle name="#_cost9702 (2)_공사비예산서_계통도 _(@클릭 pc방)준공자료_16준공자료(데이콤 중앙국사 ~ 한빛은행)" xfId="2530" xr:uid="{00000000-0005-0000-0000-0000CA020000}"/>
    <cellStyle name="#_cost9702 (2)_공사비예산서_계통도 _개통자료((주)모인텍)" xfId="2531" xr:uid="{00000000-0005-0000-0000-0000CB020000}"/>
    <cellStyle name="#_cost9702 (2)_공사비예산서_계통도 _개통자료((주)모인텍)_개통자료(STI 남가좌 ~ STI 홍은설악)" xfId="2532" xr:uid="{00000000-0005-0000-0000-0000CC020000}"/>
    <cellStyle name="#_cost9702 (2)_공사비예산서_계통도 _개통자료(STI북아현-STI북아현3)" xfId="2533" xr:uid="{00000000-0005-0000-0000-0000CD020000}"/>
    <cellStyle name="#_cost9702 (2)_공사비예산서_계통도 _개통자료(STI북아현-STI북아현3)_개통자료(STI 남가좌 ~ STI 홍은설악)" xfId="2534" xr:uid="{00000000-0005-0000-0000-0000CE020000}"/>
    <cellStyle name="#_cost9702 (2)_공사비예산서_계통도 _기별종합(미정산0306)" xfId="2535" xr:uid="{00000000-0005-0000-0000-0000CF020000}"/>
    <cellStyle name="#_cost9702 (2)_공사비예산서_계통도 _기별종합(미정산0306)_정산내역서(2002년청주5차)" xfId="2536" xr:uid="{00000000-0005-0000-0000-0000D0020000}"/>
    <cellStyle name="#_cost9702 (2)_공사비예산서_계통도 _기별총괄" xfId="2537" xr:uid="{00000000-0005-0000-0000-0000D1020000}"/>
    <cellStyle name="#_cost9702 (2)_공사비예산서_계통도 _설계내역서(02년청주10차)" xfId="2538" xr:uid="{00000000-0005-0000-0000-0000D2020000}"/>
    <cellStyle name="#_cost9702 (2)_공사비예산서_계통도 _설계내역서(02년청주11차)" xfId="2539" xr:uid="{00000000-0005-0000-0000-0000D3020000}"/>
    <cellStyle name="#_cost9702 (2)_공사비예산서_계통도 _설계내역서(02년청주3차)" xfId="2540" xr:uid="{00000000-0005-0000-0000-0000D4020000}"/>
    <cellStyle name="#_cost9702 (2)_공사비예산서_계통도 _설계내역서(02년청주4차)" xfId="2541" xr:uid="{00000000-0005-0000-0000-0000D5020000}"/>
    <cellStyle name="#_cost9702 (2)_공사비예산서_계통도 _설계내역서(02년청주5차)" xfId="2542" xr:uid="{00000000-0005-0000-0000-0000D6020000}"/>
    <cellStyle name="#_cost9702 (2)_공사비예산서_계통도 _설계내역서(02년청주6차)" xfId="2543" xr:uid="{00000000-0005-0000-0000-0000D7020000}"/>
    <cellStyle name="#_cost9702 (2)_공사비예산서_계통도 _설계내역서(02년청주7차)" xfId="2544" xr:uid="{00000000-0005-0000-0000-0000D8020000}"/>
    <cellStyle name="#_cost9702 (2)_공사비예산서_계통도 _설계내역서(02년청주8차)" xfId="2545" xr:uid="{00000000-0005-0000-0000-0000D9020000}"/>
    <cellStyle name="#_cost9702 (2)_공사비예산서_계통도 _세부계통도(비하 프리존pc방외 1건)" xfId="2546" xr:uid="{00000000-0005-0000-0000-0000DA020000}"/>
    <cellStyle name="#_cost9702 (2)_공사비예산서_계통도 _세부계통도(비하 프리존pc방외 1건)_정산내역서(2002년청주5차)" xfId="2547" xr:uid="{00000000-0005-0000-0000-0000DB020000}"/>
    <cellStyle name="#_cost9702 (2)_공사비예산서_계통도 _세부도종합(미정산0306)" xfId="2548" xr:uid="{00000000-0005-0000-0000-0000DC020000}"/>
    <cellStyle name="#_cost9702 (2)_공사비예산서_계통도 _신세기11차추가(함체)" xfId="2549" xr:uid="{00000000-0005-0000-0000-0000DD020000}"/>
    <cellStyle name="#_cost9702 (2)_공사비예산서_계통도 _신세기11차추가(함체)_04년도서울지역굴착계획" xfId="2550" xr:uid="{00000000-0005-0000-0000-0000DE020000}"/>
    <cellStyle name="#_cost9702 (2)_공사비예산서_계통도 _신세기11차추가(함체)_04년도서울지역굴착계획_09_덕-H02통신공사_설계서_v4" xfId="6551" xr:uid="{00000000-0005-0000-0000-0000DF020000}"/>
    <cellStyle name="#_cost9702 (2)_공사비예산서_계통도 _신세기11차추가(함체)_04년도서울지역굴착계획_설계서_CCTV-V1" xfId="6552" xr:uid="{00000000-0005-0000-0000-0000E0020000}"/>
    <cellStyle name="#_cost9702 (2)_공사비예산서_계통도 _신세기11차추가(함체)_04년도서울지역굴착계획_수량산출" xfId="2551" xr:uid="{00000000-0005-0000-0000-0000E1020000}"/>
    <cellStyle name="#_cost9702 (2)_공사비예산서_계통도 _신세기11차추가(함체)_04년도서울지역굴착계획_수량산출_수신-VDS내역서_20061103" xfId="2552" xr:uid="{00000000-0005-0000-0000-0000E2020000}"/>
    <cellStyle name="#_cost9702 (2)_공사비예산서_계통도 _신세기11차추가(함체)_04년도서울지역굴착계획_수신-VDS내역서_20061103" xfId="2553" xr:uid="{00000000-0005-0000-0000-0000E3020000}"/>
    <cellStyle name="#_cost9702 (2)_공사비예산서_계통도 _신세기11차추가(함체)_04년도서울지역굴착계획_육군 - 수량산출" xfId="2554" xr:uid="{00000000-0005-0000-0000-0000E4020000}"/>
    <cellStyle name="#_cost9702 (2)_공사비예산서_계통도 _신세기11차추가(함체)_04년도서울지역굴착계획_육군 - 수량산출_수신-VDS내역서_20061103" xfId="2555" xr:uid="{00000000-0005-0000-0000-0000E5020000}"/>
    <cellStyle name="#_cost9702 (2)_공사비예산서_계통도 _신세기11차추가(함체)_04년도서울지역굴착계획_육군관로" xfId="2556" xr:uid="{00000000-0005-0000-0000-0000E6020000}"/>
    <cellStyle name="#_cost9702 (2)_공사비예산서_계통도 _신세기11차추가(함체)_04년도서울지역굴착계획_육군관로_수신-VDS내역서_20061103" xfId="2557" xr:uid="{00000000-0005-0000-0000-0000E7020000}"/>
    <cellStyle name="#_cost9702 (2)_공사비예산서_계통도 _신세기11차추가(함체)_04년도서울지역굴착계획_토토토" xfId="2558" xr:uid="{00000000-0005-0000-0000-0000E8020000}"/>
    <cellStyle name="#_cost9702 (2)_공사비예산서_계통도 _신세기11차추가(함체)_04년도서울지역굴착계획_토토토_수신-VDS내역서_20061103" xfId="2559" xr:uid="{00000000-0005-0000-0000-0000E9020000}"/>
    <cellStyle name="#_cost9702 (2)_공사비예산서_계통도 _신세기11차추가(함체)_09_덕-H02통신공사_설계서_v4" xfId="6553" xr:uid="{00000000-0005-0000-0000-0000EA020000}"/>
    <cellStyle name="#_cost9702 (2)_공사비예산서_계통도 _신세기11차추가(함체)_설계서_CCTV-V1" xfId="6554" xr:uid="{00000000-0005-0000-0000-0000EB020000}"/>
    <cellStyle name="#_cost9702 (2)_공사비예산서_계통도 _신세기11차추가(함체)_수량산출" xfId="2560" xr:uid="{00000000-0005-0000-0000-0000EC020000}"/>
    <cellStyle name="#_cost9702 (2)_공사비예산서_계통도 _신세기11차추가(함체)_수량산출_수신-VDS내역서_20061103" xfId="2561" xr:uid="{00000000-0005-0000-0000-0000ED020000}"/>
    <cellStyle name="#_cost9702 (2)_공사비예산서_계통도 _신세기11차추가(함체)_수신-VDS내역서_20061103" xfId="2562" xr:uid="{00000000-0005-0000-0000-0000EE020000}"/>
    <cellStyle name="#_cost9702 (2)_공사비예산서_계통도 _신세기11차추가(함체)_육군 - 수량산출" xfId="2563" xr:uid="{00000000-0005-0000-0000-0000EF020000}"/>
    <cellStyle name="#_cost9702 (2)_공사비예산서_계통도 _신세기11차추가(함체)_육군 - 수량산출_수신-VDS내역서_20061103" xfId="2564" xr:uid="{00000000-0005-0000-0000-0000F0020000}"/>
    <cellStyle name="#_cost9702 (2)_공사비예산서_계통도 _신세기11차추가(함체)_육군관로" xfId="2565" xr:uid="{00000000-0005-0000-0000-0000F1020000}"/>
    <cellStyle name="#_cost9702 (2)_공사비예산서_계통도 _신세기11차추가(함체)_육군관로_수신-VDS내역서_20061103" xfId="2566" xr:uid="{00000000-0005-0000-0000-0000F2020000}"/>
    <cellStyle name="#_cost9702 (2)_공사비예산서_계통도 _신세기11차추가(함체)_토토토" xfId="2567" xr:uid="{00000000-0005-0000-0000-0000F3020000}"/>
    <cellStyle name="#_cost9702 (2)_공사비예산서_계통도 _신세기11차추가(함체)_토토토_수신-VDS내역서_20061103" xfId="2568" xr:uid="{00000000-0005-0000-0000-0000F4020000}"/>
    <cellStyle name="#_cost9702 (2)_공사비예산서_계통도 _정산내역서(02년청주3차)" xfId="2569" xr:uid="{00000000-0005-0000-0000-0000F5020000}"/>
    <cellStyle name="#_cost9702 (2)_공사비예산서_계통도 _정산내역서(02년청주4차)" xfId="2570" xr:uid="{00000000-0005-0000-0000-0000F6020000}"/>
    <cellStyle name="#_cost9702 (2)_공사비예산서_계통도 _정산내역서(02년청주5차)" xfId="2571" xr:uid="{00000000-0005-0000-0000-0000F7020000}"/>
    <cellStyle name="#_cost9702 (2)_공사비예산서_계통도 _정산내역서(02년청주6차)" xfId="2572" xr:uid="{00000000-0005-0000-0000-0000F8020000}"/>
    <cellStyle name="#_cost9702 (2)_공사비예산서_계통도 _정산내역서(2002년청주10차)1" xfId="2573" xr:uid="{00000000-0005-0000-0000-0000F9020000}"/>
    <cellStyle name="#_cost9702 (2)_공사비예산서_계통도 _정산내역서(2002년청주11차)" xfId="2574" xr:uid="{00000000-0005-0000-0000-0000FA020000}"/>
    <cellStyle name="#_cost9702 (2)_공사비예산서_계통도 _정산내역서(2002년청주11차)1" xfId="2575" xr:uid="{00000000-0005-0000-0000-0000FB020000}"/>
    <cellStyle name="#_cost9702 (2)_공사비예산서_계통도 _정산내역서(2002년청주16차)1" xfId="2576" xr:uid="{00000000-0005-0000-0000-0000FC020000}"/>
    <cellStyle name="#_cost9702 (2)_공사비예산서_계통도 _정산내역서(2002년청주5차)1" xfId="2577" xr:uid="{00000000-0005-0000-0000-0000FD020000}"/>
    <cellStyle name="#_cost9702 (2)_공사비예산서_계통도 _정산내역서(2002년청주7차)" xfId="2578" xr:uid="{00000000-0005-0000-0000-0000FE020000}"/>
    <cellStyle name="#_cost9702 (2)_공사비예산서_계통도 _정산내역서(2002년청주7차)1" xfId="2579" xr:uid="{00000000-0005-0000-0000-0000FF020000}"/>
    <cellStyle name="#_cost9702 (2)_공사비예산서_계통도 _정산내역서(2002년청주8차)1" xfId="2580" xr:uid="{00000000-0005-0000-0000-000000030000}"/>
    <cellStyle name="#_cost9702 (2)_공사비예산서_계통도 _정산설계(5차 광이더넷)" xfId="2581" xr:uid="{00000000-0005-0000-0000-000001030000}"/>
    <cellStyle name="#_cost9702 (2)_공사비예산서_계통도 _하나로 통신 기별(버즈 PC방외 7건)" xfId="2582" xr:uid="{00000000-0005-0000-0000-000002030000}"/>
    <cellStyle name="#_cost9702 (2)_공사비예산서_계통도 _하나로기별(사이버킹PC방외 5건)" xfId="2583" xr:uid="{00000000-0005-0000-0000-000003030000}"/>
    <cellStyle name="#_cost9702 (2)_공사비예산서_계통도 _하나로기별(테란PC방외 12건)" xfId="2584" xr:uid="{00000000-0005-0000-0000-000004030000}"/>
    <cellStyle name="#_cost9702 (2)_공사비예산서_계통도 _하나로기별(테란PC방외 12건)_정산내역서(2002년청주5차)" xfId="2585" xr:uid="{00000000-0005-0000-0000-000005030000}"/>
    <cellStyle name="#_cost9702 (2)_공사비예산서_담당자" xfId="6555" xr:uid="{00000000-0005-0000-0000-000006030000}"/>
    <cellStyle name="#_cost9702 (2)_공사비예산서_담당자_설계종합514" xfId="6556" xr:uid="{00000000-0005-0000-0000-000007030000}"/>
    <cellStyle name="#_cost9702 (2)_공사비예산서_도로공사신고서(수서경찰서)" xfId="2586" xr:uid="{00000000-0005-0000-0000-000008030000}"/>
    <cellStyle name="#_cost9702 (2)_공사비예산서_도로공사신고서(수서경찰서)_수량산출" xfId="2587" xr:uid="{00000000-0005-0000-0000-000009030000}"/>
    <cellStyle name="#_cost9702 (2)_공사비예산서_도로공사신고서(수서경찰서)_육군 - 수량산출" xfId="2588" xr:uid="{00000000-0005-0000-0000-00000A030000}"/>
    <cellStyle name="#_cost9702 (2)_공사비예산서_도로공사신고서(수서경찰서)_육군관로" xfId="2589" xr:uid="{00000000-0005-0000-0000-00000B030000}"/>
    <cellStyle name="#_cost9702 (2)_공사비예산서_도로공사신고서(수서경찰서)_토토토" xfId="2590" xr:uid="{00000000-0005-0000-0000-00000C030000}"/>
    <cellStyle name="#_cost9702 (2)_공사비예산서_설계서" xfId="2591" xr:uid="{00000000-0005-0000-0000-00000D030000}"/>
    <cellStyle name="#_cost9702 (2)_공사비예산서_설계서_04년도서울지역굴착계획" xfId="2592" xr:uid="{00000000-0005-0000-0000-00000E030000}"/>
    <cellStyle name="#_cost9702 (2)_공사비예산서_설계서_04년도서울지역굴착계획_09_덕-H02통신공사_설계서_v4" xfId="6557" xr:uid="{00000000-0005-0000-0000-00000F030000}"/>
    <cellStyle name="#_cost9702 (2)_공사비예산서_설계서_04년도서울지역굴착계획_설계서_CCTV-V1" xfId="6558" xr:uid="{00000000-0005-0000-0000-000010030000}"/>
    <cellStyle name="#_cost9702 (2)_공사비예산서_설계서_04년도서울지역굴착계획_수신-VDS내역서_20061103" xfId="2593" xr:uid="{00000000-0005-0000-0000-000011030000}"/>
    <cellStyle name="#_cost9702 (2)_공사비예산서_설계서_09_덕-H02통신공사_설계서_v4" xfId="6559" xr:uid="{00000000-0005-0000-0000-000012030000}"/>
    <cellStyle name="#_cost9702 (2)_공사비예산서_설계서_설계서_CCTV-V1" xfId="6560" xr:uid="{00000000-0005-0000-0000-000013030000}"/>
    <cellStyle name="#_cost9702 (2)_공사비예산서_설계서_수신-VDS내역서_20061103" xfId="2594" xr:uid="{00000000-0005-0000-0000-000014030000}"/>
    <cellStyle name="#_cost9702 (2)_공사비예산서_수량산출" xfId="2595" xr:uid="{00000000-0005-0000-0000-000015030000}"/>
    <cellStyle name="#_cost9702 (2)_공사비예산서_예술의 전당(KEPGO)" xfId="2596" xr:uid="{00000000-0005-0000-0000-000016030000}"/>
    <cellStyle name="#_cost9702 (2)_공사비예산서_예술의 전당(KEPGO)_04년도서울지역굴착계획" xfId="2597" xr:uid="{00000000-0005-0000-0000-000017030000}"/>
    <cellStyle name="#_cost9702 (2)_공사비예산서_예술의 전당(KEPGO)_04년도서울지역굴착계획_09_덕-H02통신공사_설계서_v4" xfId="6561" xr:uid="{00000000-0005-0000-0000-000018030000}"/>
    <cellStyle name="#_cost9702 (2)_공사비예산서_예술의 전당(KEPGO)_04년도서울지역굴착계획_설계서_CCTV-V1" xfId="6562" xr:uid="{00000000-0005-0000-0000-000019030000}"/>
    <cellStyle name="#_cost9702 (2)_공사비예산서_예술의 전당(KEPGO)_04년도서울지역굴착계획_수량산출" xfId="2598" xr:uid="{00000000-0005-0000-0000-00001A030000}"/>
    <cellStyle name="#_cost9702 (2)_공사비예산서_예술의 전당(KEPGO)_04년도서울지역굴착계획_수량산출_수신-VDS내역서_20061103" xfId="2599" xr:uid="{00000000-0005-0000-0000-00001B030000}"/>
    <cellStyle name="#_cost9702 (2)_공사비예산서_예술의 전당(KEPGO)_04년도서울지역굴착계획_수신-VDS내역서_20061103" xfId="2600" xr:uid="{00000000-0005-0000-0000-00001C030000}"/>
    <cellStyle name="#_cost9702 (2)_공사비예산서_예술의 전당(KEPGO)_04년도서울지역굴착계획_육군 - 수량산출" xfId="2601" xr:uid="{00000000-0005-0000-0000-00001D030000}"/>
    <cellStyle name="#_cost9702 (2)_공사비예산서_예술의 전당(KEPGO)_04년도서울지역굴착계획_육군 - 수량산출_수신-VDS내역서_20061103" xfId="2602" xr:uid="{00000000-0005-0000-0000-00001E030000}"/>
    <cellStyle name="#_cost9702 (2)_공사비예산서_예술의 전당(KEPGO)_04년도서울지역굴착계획_육군관로" xfId="2603" xr:uid="{00000000-0005-0000-0000-00001F030000}"/>
    <cellStyle name="#_cost9702 (2)_공사비예산서_예술의 전당(KEPGO)_04년도서울지역굴착계획_육군관로_수신-VDS내역서_20061103" xfId="2604" xr:uid="{00000000-0005-0000-0000-000020030000}"/>
    <cellStyle name="#_cost9702 (2)_공사비예산서_예술의 전당(KEPGO)_04년도서울지역굴착계획_토토토" xfId="2605" xr:uid="{00000000-0005-0000-0000-000021030000}"/>
    <cellStyle name="#_cost9702 (2)_공사비예산서_예술의 전당(KEPGO)_04년도서울지역굴착계획_토토토_수신-VDS내역서_20061103" xfId="2606" xr:uid="{00000000-0005-0000-0000-000022030000}"/>
    <cellStyle name="#_cost9702 (2)_공사비예산서_예술의 전당(KEPGO)_09_덕-H02통신공사_설계서_v4" xfId="6563" xr:uid="{00000000-0005-0000-0000-000023030000}"/>
    <cellStyle name="#_cost9702 (2)_공사비예산서_예술의 전당(KEPGO)_설계서_CCTV-V1" xfId="6564" xr:uid="{00000000-0005-0000-0000-000024030000}"/>
    <cellStyle name="#_cost9702 (2)_공사비예산서_예술의 전당(KEPGO)_수량산출" xfId="2607" xr:uid="{00000000-0005-0000-0000-000025030000}"/>
    <cellStyle name="#_cost9702 (2)_공사비예산서_예술의 전당(KEPGO)_수량산출_수신-VDS내역서_20061103" xfId="2608" xr:uid="{00000000-0005-0000-0000-000026030000}"/>
    <cellStyle name="#_cost9702 (2)_공사비예산서_예술의 전당(KEPGO)_수신-VDS내역서_20061103" xfId="2609" xr:uid="{00000000-0005-0000-0000-000027030000}"/>
    <cellStyle name="#_cost9702 (2)_공사비예산서_예술의 전당(KEPGO)_육군 - 수량산출" xfId="2610" xr:uid="{00000000-0005-0000-0000-000028030000}"/>
    <cellStyle name="#_cost9702 (2)_공사비예산서_예술의 전당(KEPGO)_육군 - 수량산출_수신-VDS내역서_20061103" xfId="2611" xr:uid="{00000000-0005-0000-0000-000029030000}"/>
    <cellStyle name="#_cost9702 (2)_공사비예산서_예술의 전당(KEPGO)_육군관로" xfId="2612" xr:uid="{00000000-0005-0000-0000-00002A030000}"/>
    <cellStyle name="#_cost9702 (2)_공사비예산서_예술의 전당(KEPGO)_육군관로_수신-VDS내역서_20061103" xfId="2613" xr:uid="{00000000-0005-0000-0000-00002B030000}"/>
    <cellStyle name="#_cost9702 (2)_공사비예산서_예술의 전당(KEPGO)_토토토" xfId="2614" xr:uid="{00000000-0005-0000-0000-00002C030000}"/>
    <cellStyle name="#_cost9702 (2)_공사비예산서_예술의 전당(KEPGO)_토토토_수신-VDS내역서_20061103" xfId="2615" xr:uid="{00000000-0005-0000-0000-00002D030000}"/>
    <cellStyle name="#_cost9702 (2)_공사비예산서_육군 - 수량산출" xfId="2616" xr:uid="{00000000-0005-0000-0000-00002E030000}"/>
    <cellStyle name="#_cost9702 (2)_공사비예산서_육군관로" xfId="2617" xr:uid="{00000000-0005-0000-0000-00002F030000}"/>
    <cellStyle name="#_cost9702 (2)_공사비예산서_토토토" xfId="2618" xr:uid="{00000000-0005-0000-0000-000030030000}"/>
    <cellStyle name="#_cost9702 (2)_담당자" xfId="6565" xr:uid="{00000000-0005-0000-0000-000031030000}"/>
    <cellStyle name="#_cost9702 (2)_담당자_설계종합514" xfId="6566" xr:uid="{00000000-0005-0000-0000-000032030000}"/>
    <cellStyle name="#_cost9702 (2)_도로공사신고서(수서경찰서)" xfId="2619" xr:uid="{00000000-0005-0000-0000-000033030000}"/>
    <cellStyle name="#_cost9702 (2)_도로공사신고서(수서경찰서)_수량산출" xfId="2620" xr:uid="{00000000-0005-0000-0000-000034030000}"/>
    <cellStyle name="#_cost9702 (2)_도로공사신고서(수서경찰서)_육군 - 수량산출" xfId="2621" xr:uid="{00000000-0005-0000-0000-000035030000}"/>
    <cellStyle name="#_cost9702 (2)_도로공사신고서(수서경찰서)_육군관로" xfId="2622" xr:uid="{00000000-0005-0000-0000-000036030000}"/>
    <cellStyle name="#_cost9702 (2)_도로공사신고서(수서경찰서)_토토토" xfId="2623" xr:uid="{00000000-0005-0000-0000-000037030000}"/>
    <cellStyle name="#_cost9702 (2)_설계서" xfId="2624" xr:uid="{00000000-0005-0000-0000-000038030000}"/>
    <cellStyle name="#_cost9702 (2)_설계서_04년도서울지역굴착계획" xfId="2625" xr:uid="{00000000-0005-0000-0000-000039030000}"/>
    <cellStyle name="#_cost9702 (2)_설계서_04년도서울지역굴착계획_09_덕-H02통신공사_설계서_v4" xfId="6567" xr:uid="{00000000-0005-0000-0000-00003A030000}"/>
    <cellStyle name="#_cost9702 (2)_설계서_04년도서울지역굴착계획_설계서_CCTV-V1" xfId="6568" xr:uid="{00000000-0005-0000-0000-00003B030000}"/>
    <cellStyle name="#_cost9702 (2)_설계서_04년도서울지역굴착계획_수신-VDS내역서_20061103" xfId="2626" xr:uid="{00000000-0005-0000-0000-00003C030000}"/>
    <cellStyle name="#_cost9702 (2)_설계서_09_덕-H02통신공사_설계서_v4" xfId="6569" xr:uid="{00000000-0005-0000-0000-00003D030000}"/>
    <cellStyle name="#_cost9702 (2)_설계서_설계서_CCTV-V1" xfId="6570" xr:uid="{00000000-0005-0000-0000-00003E030000}"/>
    <cellStyle name="#_cost9702 (2)_설계서_수신-VDS내역서_20061103" xfId="2627" xr:uid="{00000000-0005-0000-0000-00003F030000}"/>
    <cellStyle name="#_cost9702 (2)_설계종합514" xfId="6571" xr:uid="{00000000-0005-0000-0000-000040030000}"/>
    <cellStyle name="#_cost9702 (2)_수량산출" xfId="2628" xr:uid="{00000000-0005-0000-0000-000041030000}"/>
    <cellStyle name="#_cost9702 (2)_예술의 전당(KEPGO)" xfId="2629" xr:uid="{00000000-0005-0000-0000-000042030000}"/>
    <cellStyle name="#_cost9702 (2)_예술의 전당(KEPGO)_04년도서울지역굴착계획" xfId="2630" xr:uid="{00000000-0005-0000-0000-000043030000}"/>
    <cellStyle name="#_cost9702 (2)_예술의 전당(KEPGO)_04년도서울지역굴착계획_09_덕-H02통신공사_설계서_v4" xfId="6572" xr:uid="{00000000-0005-0000-0000-000044030000}"/>
    <cellStyle name="#_cost9702 (2)_예술의 전당(KEPGO)_04년도서울지역굴착계획_설계서_CCTV-V1" xfId="6573" xr:uid="{00000000-0005-0000-0000-000045030000}"/>
    <cellStyle name="#_cost9702 (2)_예술의 전당(KEPGO)_04년도서울지역굴착계획_수량산출" xfId="2631" xr:uid="{00000000-0005-0000-0000-000046030000}"/>
    <cellStyle name="#_cost9702 (2)_예술의 전당(KEPGO)_04년도서울지역굴착계획_수량산출_수신-VDS내역서_20061103" xfId="2632" xr:uid="{00000000-0005-0000-0000-000047030000}"/>
    <cellStyle name="#_cost9702 (2)_예술의 전당(KEPGO)_04년도서울지역굴착계획_수신-VDS내역서_20061103" xfId="2633" xr:uid="{00000000-0005-0000-0000-000048030000}"/>
    <cellStyle name="#_cost9702 (2)_예술의 전당(KEPGO)_04년도서울지역굴착계획_육군 - 수량산출" xfId="2634" xr:uid="{00000000-0005-0000-0000-000049030000}"/>
    <cellStyle name="#_cost9702 (2)_예술의 전당(KEPGO)_04년도서울지역굴착계획_육군 - 수량산출_수신-VDS내역서_20061103" xfId="2635" xr:uid="{00000000-0005-0000-0000-00004A030000}"/>
    <cellStyle name="#_cost9702 (2)_예술의 전당(KEPGO)_04년도서울지역굴착계획_육군관로" xfId="2636" xr:uid="{00000000-0005-0000-0000-00004B030000}"/>
    <cellStyle name="#_cost9702 (2)_예술의 전당(KEPGO)_04년도서울지역굴착계획_육군관로_수신-VDS내역서_20061103" xfId="2637" xr:uid="{00000000-0005-0000-0000-00004C030000}"/>
    <cellStyle name="#_cost9702 (2)_예술의 전당(KEPGO)_04년도서울지역굴착계획_토토토" xfId="2638" xr:uid="{00000000-0005-0000-0000-00004D030000}"/>
    <cellStyle name="#_cost9702 (2)_예술의 전당(KEPGO)_04년도서울지역굴착계획_토토토_수신-VDS내역서_20061103" xfId="2639" xr:uid="{00000000-0005-0000-0000-00004E030000}"/>
    <cellStyle name="#_cost9702 (2)_예술의 전당(KEPGO)_09_덕-H02통신공사_설계서_v4" xfId="6574" xr:uid="{00000000-0005-0000-0000-00004F030000}"/>
    <cellStyle name="#_cost9702 (2)_예술의 전당(KEPGO)_설계서_CCTV-V1" xfId="6575" xr:uid="{00000000-0005-0000-0000-000050030000}"/>
    <cellStyle name="#_cost9702 (2)_예술의 전당(KEPGO)_수량산출" xfId="2640" xr:uid="{00000000-0005-0000-0000-000051030000}"/>
    <cellStyle name="#_cost9702 (2)_예술의 전당(KEPGO)_수량산출_수신-VDS내역서_20061103" xfId="2641" xr:uid="{00000000-0005-0000-0000-000052030000}"/>
    <cellStyle name="#_cost9702 (2)_예술의 전당(KEPGO)_수신-VDS내역서_20061103" xfId="2642" xr:uid="{00000000-0005-0000-0000-000053030000}"/>
    <cellStyle name="#_cost9702 (2)_예술의 전당(KEPGO)_육군 - 수량산출" xfId="2643" xr:uid="{00000000-0005-0000-0000-000054030000}"/>
    <cellStyle name="#_cost9702 (2)_예술의 전당(KEPGO)_육군 - 수량산출_수신-VDS내역서_20061103" xfId="2644" xr:uid="{00000000-0005-0000-0000-000055030000}"/>
    <cellStyle name="#_cost9702 (2)_예술의 전당(KEPGO)_육군관로" xfId="2645" xr:uid="{00000000-0005-0000-0000-000056030000}"/>
    <cellStyle name="#_cost9702 (2)_예술의 전당(KEPGO)_육군관로_수신-VDS내역서_20061103" xfId="2646" xr:uid="{00000000-0005-0000-0000-000057030000}"/>
    <cellStyle name="#_cost9702 (2)_예술의 전당(KEPGO)_토토토" xfId="2647" xr:uid="{00000000-0005-0000-0000-000058030000}"/>
    <cellStyle name="#_cost9702 (2)_예술의 전당(KEPGO)_토토토_수신-VDS내역서_20061103" xfId="2648" xr:uid="{00000000-0005-0000-0000-000059030000}"/>
    <cellStyle name="#_cost9702 (2)_예정공정표 (2)" xfId="2649" xr:uid="{00000000-0005-0000-0000-00005A030000}"/>
    <cellStyle name="#_cost9702 (2)_예정공정표 (2)_Book1" xfId="2650" xr:uid="{00000000-0005-0000-0000-00005B030000}"/>
    <cellStyle name="#_cost9702 (2)_예정공정표 (2)_Book1_04년도서울지역굴착계획" xfId="2651" xr:uid="{00000000-0005-0000-0000-00005C030000}"/>
    <cellStyle name="#_cost9702 (2)_예정공정표 (2)_Book1_04년도서울지역굴착계획_09_덕-H02통신공사_설계서_v4" xfId="6576" xr:uid="{00000000-0005-0000-0000-00005D030000}"/>
    <cellStyle name="#_cost9702 (2)_예정공정표 (2)_Book1_04년도서울지역굴착계획_설계서_CCTV-V1" xfId="6577" xr:uid="{00000000-0005-0000-0000-00005E030000}"/>
    <cellStyle name="#_cost9702 (2)_예정공정표 (2)_Book1_04년도서울지역굴착계획_수신-VDS내역서_20061103" xfId="2652" xr:uid="{00000000-0005-0000-0000-00005F030000}"/>
    <cellStyle name="#_cost9702 (2)_예정공정표 (2)_Book1_09_덕-H02통신공사_설계서_v4" xfId="6578" xr:uid="{00000000-0005-0000-0000-000060030000}"/>
    <cellStyle name="#_cost9702 (2)_예정공정표 (2)_Book1_설계서_CCTV-V1" xfId="6579" xr:uid="{00000000-0005-0000-0000-000061030000}"/>
    <cellStyle name="#_cost9702 (2)_예정공정표 (2)_Book1_수신-VDS내역서_20061103" xfId="2653" xr:uid="{00000000-0005-0000-0000-000062030000}"/>
    <cellStyle name="#_cost9702 (2)_예정공정표 (2)_NEGS" xfId="2654" xr:uid="{00000000-0005-0000-0000-000063030000}"/>
    <cellStyle name="#_cost9702 (2)_예정공정표 (2)_NEGS_04년도서울지역굴착계획" xfId="2655" xr:uid="{00000000-0005-0000-0000-000064030000}"/>
    <cellStyle name="#_cost9702 (2)_예정공정표 (2)_NEGS_04년도서울지역굴착계획_09_덕-H02통신공사_설계서_v4" xfId="6580" xr:uid="{00000000-0005-0000-0000-000065030000}"/>
    <cellStyle name="#_cost9702 (2)_예정공정표 (2)_NEGS_04년도서울지역굴착계획_설계서_CCTV-V1" xfId="6581" xr:uid="{00000000-0005-0000-0000-000066030000}"/>
    <cellStyle name="#_cost9702 (2)_예정공정표 (2)_NEGS_04년도서울지역굴착계획_수량산출" xfId="2656" xr:uid="{00000000-0005-0000-0000-000067030000}"/>
    <cellStyle name="#_cost9702 (2)_예정공정표 (2)_NEGS_04년도서울지역굴착계획_수량산출_수신-VDS내역서_20061103" xfId="2657" xr:uid="{00000000-0005-0000-0000-000068030000}"/>
    <cellStyle name="#_cost9702 (2)_예정공정표 (2)_NEGS_04년도서울지역굴착계획_수신-VDS내역서_20061103" xfId="2658" xr:uid="{00000000-0005-0000-0000-000069030000}"/>
    <cellStyle name="#_cost9702 (2)_예정공정표 (2)_NEGS_04년도서울지역굴착계획_육군 - 수량산출" xfId="2659" xr:uid="{00000000-0005-0000-0000-00006A030000}"/>
    <cellStyle name="#_cost9702 (2)_예정공정표 (2)_NEGS_04년도서울지역굴착계획_육군 - 수량산출_수신-VDS내역서_20061103" xfId="2660" xr:uid="{00000000-0005-0000-0000-00006B030000}"/>
    <cellStyle name="#_cost9702 (2)_예정공정표 (2)_NEGS_04년도서울지역굴착계획_육군관로" xfId="2661" xr:uid="{00000000-0005-0000-0000-00006C030000}"/>
    <cellStyle name="#_cost9702 (2)_예정공정표 (2)_NEGS_04년도서울지역굴착계획_육군관로_수신-VDS내역서_20061103" xfId="2662" xr:uid="{00000000-0005-0000-0000-00006D030000}"/>
    <cellStyle name="#_cost9702 (2)_예정공정표 (2)_NEGS_04년도서울지역굴착계획_토토토" xfId="2663" xr:uid="{00000000-0005-0000-0000-00006E030000}"/>
    <cellStyle name="#_cost9702 (2)_예정공정표 (2)_NEGS_04년도서울지역굴착계획_토토토_수신-VDS내역서_20061103" xfId="2664" xr:uid="{00000000-0005-0000-0000-00006F030000}"/>
    <cellStyle name="#_cost9702 (2)_예정공정표 (2)_NEGS_09_덕-H02통신공사_설계서_v4" xfId="6582" xr:uid="{00000000-0005-0000-0000-000070030000}"/>
    <cellStyle name="#_cost9702 (2)_예정공정표 (2)_NEGS_설계서_CCTV-V1" xfId="6583" xr:uid="{00000000-0005-0000-0000-000071030000}"/>
    <cellStyle name="#_cost9702 (2)_예정공정표 (2)_NEGS_수량산출" xfId="2665" xr:uid="{00000000-0005-0000-0000-000072030000}"/>
    <cellStyle name="#_cost9702 (2)_예정공정표 (2)_NEGS_수량산출_수신-VDS내역서_20061103" xfId="2666" xr:uid="{00000000-0005-0000-0000-000073030000}"/>
    <cellStyle name="#_cost9702 (2)_예정공정표 (2)_NEGS_수신-VDS내역서_20061103" xfId="2667" xr:uid="{00000000-0005-0000-0000-000074030000}"/>
    <cellStyle name="#_cost9702 (2)_예정공정표 (2)_NEGS_육군 - 수량산출" xfId="2668" xr:uid="{00000000-0005-0000-0000-000075030000}"/>
    <cellStyle name="#_cost9702 (2)_예정공정표 (2)_NEGS_육군 - 수량산출_수신-VDS내역서_20061103" xfId="2669" xr:uid="{00000000-0005-0000-0000-000076030000}"/>
    <cellStyle name="#_cost9702 (2)_예정공정표 (2)_NEGS_육군관로" xfId="2670" xr:uid="{00000000-0005-0000-0000-000077030000}"/>
    <cellStyle name="#_cost9702 (2)_예정공정표 (2)_NEGS_육군관로_수신-VDS내역서_20061103" xfId="2671" xr:uid="{00000000-0005-0000-0000-000078030000}"/>
    <cellStyle name="#_cost9702 (2)_예정공정표 (2)_NEGS_토토토" xfId="2672" xr:uid="{00000000-0005-0000-0000-000079030000}"/>
    <cellStyle name="#_cost9702 (2)_예정공정표 (2)_NEGS_토토토_수신-VDS내역서_20061103" xfId="2673" xr:uid="{00000000-0005-0000-0000-00007A030000}"/>
    <cellStyle name="#_cost9702 (2)_예정공정표 (2)_SKT CS-A4정산내역서 최종12.3" xfId="2674" xr:uid="{00000000-0005-0000-0000-00007B030000}"/>
    <cellStyle name="#_cost9702 (2)_예정공정표 (2)_SKT CS-A4정산내역서 최종12.3_04년도서울지역굴착계획" xfId="2675" xr:uid="{00000000-0005-0000-0000-00007C030000}"/>
    <cellStyle name="#_cost9702 (2)_예정공정표 (2)_SKT CS-A4정산내역서 최종12.3_04년도서울지역굴착계획_09_덕-H02통신공사_설계서_v4" xfId="6584" xr:uid="{00000000-0005-0000-0000-00007D030000}"/>
    <cellStyle name="#_cost9702 (2)_예정공정표 (2)_SKT CS-A4정산내역서 최종12.3_04년도서울지역굴착계획_설계서_CCTV-V1" xfId="6585" xr:uid="{00000000-0005-0000-0000-00007E030000}"/>
    <cellStyle name="#_cost9702 (2)_예정공정표 (2)_SKT CS-A4정산내역서 최종12.3_04년도서울지역굴착계획_수신-VDS내역서_20061103" xfId="2676" xr:uid="{00000000-0005-0000-0000-00007F030000}"/>
    <cellStyle name="#_cost9702 (2)_예정공정표 (2)_SKT CS-A4정산내역서 최종12.3_09_덕-H02통신공사_설계서_v4" xfId="6586" xr:uid="{00000000-0005-0000-0000-000080030000}"/>
    <cellStyle name="#_cost9702 (2)_예정공정표 (2)_SKT CS-A4정산내역서 최종12.3_설계서_CCTV-V1" xfId="6587" xr:uid="{00000000-0005-0000-0000-000081030000}"/>
    <cellStyle name="#_cost9702 (2)_예정공정표 (2)_SKT CS-A4정산내역서 최종12.3_수신-VDS내역서_20061103" xfId="2677" xr:uid="{00000000-0005-0000-0000-000082030000}"/>
    <cellStyle name="#_cost9702 (2)_예정공정표 (2)_SKT CS-A4정산내역서+CS-A2" xfId="2678" xr:uid="{00000000-0005-0000-0000-000083030000}"/>
    <cellStyle name="#_cost9702 (2)_예정공정표 (2)_SKT CS-A4정산내역서+CS-A2_04년도서울지역굴착계획" xfId="2679" xr:uid="{00000000-0005-0000-0000-000084030000}"/>
    <cellStyle name="#_cost9702 (2)_예정공정표 (2)_SKT CS-A4정산내역서+CS-A2_04년도서울지역굴착계획_09_덕-H02통신공사_설계서_v4" xfId="6588" xr:uid="{00000000-0005-0000-0000-000085030000}"/>
    <cellStyle name="#_cost9702 (2)_예정공정표 (2)_SKT CS-A4정산내역서+CS-A2_04년도서울지역굴착계획_설계서_CCTV-V1" xfId="6589" xr:uid="{00000000-0005-0000-0000-000086030000}"/>
    <cellStyle name="#_cost9702 (2)_예정공정표 (2)_SKT CS-A4정산내역서+CS-A2_04년도서울지역굴착계획_수신-VDS내역서_20061103" xfId="2680" xr:uid="{00000000-0005-0000-0000-000087030000}"/>
    <cellStyle name="#_cost9702 (2)_예정공정표 (2)_SKT CS-A4정산내역서+CS-A2_09_덕-H02통신공사_설계서_v4" xfId="6590" xr:uid="{00000000-0005-0000-0000-000088030000}"/>
    <cellStyle name="#_cost9702 (2)_예정공정표 (2)_SKT CS-A4정산내역서+CS-A2_설계서_CCTV-V1" xfId="6591" xr:uid="{00000000-0005-0000-0000-000089030000}"/>
    <cellStyle name="#_cost9702 (2)_예정공정표 (2)_SKT CS-A4정산내역서+CS-A2_수신-VDS내역서_20061103" xfId="2681" xr:uid="{00000000-0005-0000-0000-00008A030000}"/>
    <cellStyle name="#_cost9702 (2)_예정공정표 (2)_강동구청허가신청" xfId="2682" xr:uid="{00000000-0005-0000-0000-00008B030000}"/>
    <cellStyle name="#_cost9702 (2)_예정공정표 (2)_강동구청허가신청_04년도서울지역굴착계획" xfId="2683" xr:uid="{00000000-0005-0000-0000-00008C030000}"/>
    <cellStyle name="#_cost9702 (2)_예정공정표 (2)_강동구청허가신청_04년도서울지역굴착계획_09_덕-H02통신공사_설계서_v4" xfId="6592" xr:uid="{00000000-0005-0000-0000-00008D030000}"/>
    <cellStyle name="#_cost9702 (2)_예정공정표 (2)_강동구청허가신청_04년도서울지역굴착계획_설계서_CCTV-V1" xfId="6593" xr:uid="{00000000-0005-0000-0000-00008E030000}"/>
    <cellStyle name="#_cost9702 (2)_예정공정표 (2)_강동구청허가신청_04년도서울지역굴착계획_수신-VDS내역서_20061103" xfId="2684" xr:uid="{00000000-0005-0000-0000-00008F030000}"/>
    <cellStyle name="#_cost9702 (2)_예정공정표 (2)_강동구청허가신청_09_덕-H02통신공사_설계서_v4" xfId="6594" xr:uid="{00000000-0005-0000-0000-000090030000}"/>
    <cellStyle name="#_cost9702 (2)_예정공정표 (2)_강동구청허가신청_설계서_CCTV-V1" xfId="6595" xr:uid="{00000000-0005-0000-0000-000091030000}"/>
    <cellStyle name="#_cost9702 (2)_예정공정표 (2)_강동구청허가신청_수신-VDS내역서_20061103" xfId="2685" xr:uid="{00000000-0005-0000-0000-000092030000}"/>
    <cellStyle name="#_cost9702 (2)_예정공정표 (2)_계통도 " xfId="38" xr:uid="{00000000-0005-0000-0000-000093030000}"/>
    <cellStyle name="#_cost9702 (2)_예정공정표 (2)_계통도 _(@클릭 pc방)준공자료" xfId="2686" xr:uid="{00000000-0005-0000-0000-000094030000}"/>
    <cellStyle name="#_cost9702 (2)_예정공정표 (2)_계통도 _(@클릭 pc방)준공자료_16준공자료(데이콤 중앙국사 ~ 한빛은행)" xfId="2687" xr:uid="{00000000-0005-0000-0000-000095030000}"/>
    <cellStyle name="#_cost9702 (2)_예정공정표 (2)_계통도 _개통자료((주)모인텍)" xfId="2688" xr:uid="{00000000-0005-0000-0000-000096030000}"/>
    <cellStyle name="#_cost9702 (2)_예정공정표 (2)_계통도 _개통자료((주)모인텍)_개통자료(STI 남가좌 ~ STI 홍은설악)" xfId="2689" xr:uid="{00000000-0005-0000-0000-000097030000}"/>
    <cellStyle name="#_cost9702 (2)_예정공정표 (2)_계통도 _개통자료(STI북아현-STI북아현3)" xfId="2690" xr:uid="{00000000-0005-0000-0000-000098030000}"/>
    <cellStyle name="#_cost9702 (2)_예정공정표 (2)_계통도 _개통자료(STI북아현-STI북아현3)_개통자료(STI 남가좌 ~ STI 홍은설악)" xfId="2691" xr:uid="{00000000-0005-0000-0000-000099030000}"/>
    <cellStyle name="#_cost9702 (2)_예정공정표 (2)_계통도 _기별종합(미정산0306)" xfId="2692" xr:uid="{00000000-0005-0000-0000-00009A030000}"/>
    <cellStyle name="#_cost9702 (2)_예정공정표 (2)_계통도 _기별종합(미정산0306)_정산내역서(2002년청주5차)" xfId="2693" xr:uid="{00000000-0005-0000-0000-00009B030000}"/>
    <cellStyle name="#_cost9702 (2)_예정공정표 (2)_계통도 _기별총괄" xfId="2694" xr:uid="{00000000-0005-0000-0000-00009C030000}"/>
    <cellStyle name="#_cost9702 (2)_예정공정표 (2)_계통도 _설계내역서(02년청주10차)" xfId="2695" xr:uid="{00000000-0005-0000-0000-00009D030000}"/>
    <cellStyle name="#_cost9702 (2)_예정공정표 (2)_계통도 _설계내역서(02년청주11차)" xfId="2696" xr:uid="{00000000-0005-0000-0000-00009E030000}"/>
    <cellStyle name="#_cost9702 (2)_예정공정표 (2)_계통도 _설계내역서(02년청주3차)" xfId="2697" xr:uid="{00000000-0005-0000-0000-00009F030000}"/>
    <cellStyle name="#_cost9702 (2)_예정공정표 (2)_계통도 _설계내역서(02년청주4차)" xfId="2698" xr:uid="{00000000-0005-0000-0000-0000A0030000}"/>
    <cellStyle name="#_cost9702 (2)_예정공정표 (2)_계통도 _설계내역서(02년청주5차)" xfId="2699" xr:uid="{00000000-0005-0000-0000-0000A1030000}"/>
    <cellStyle name="#_cost9702 (2)_예정공정표 (2)_계통도 _설계내역서(02년청주6차)" xfId="2700" xr:uid="{00000000-0005-0000-0000-0000A2030000}"/>
    <cellStyle name="#_cost9702 (2)_예정공정표 (2)_계통도 _설계내역서(02년청주7차)" xfId="2701" xr:uid="{00000000-0005-0000-0000-0000A3030000}"/>
    <cellStyle name="#_cost9702 (2)_예정공정표 (2)_계통도 _설계내역서(02년청주8차)" xfId="2702" xr:uid="{00000000-0005-0000-0000-0000A4030000}"/>
    <cellStyle name="#_cost9702 (2)_예정공정표 (2)_계통도 _세부계통도(비하 프리존pc방외 1건)" xfId="2703" xr:uid="{00000000-0005-0000-0000-0000A5030000}"/>
    <cellStyle name="#_cost9702 (2)_예정공정표 (2)_계통도 _세부계통도(비하 프리존pc방외 1건)_정산내역서(2002년청주5차)" xfId="2704" xr:uid="{00000000-0005-0000-0000-0000A6030000}"/>
    <cellStyle name="#_cost9702 (2)_예정공정표 (2)_계통도 _세부도종합(미정산0306)" xfId="2705" xr:uid="{00000000-0005-0000-0000-0000A7030000}"/>
    <cellStyle name="#_cost9702 (2)_예정공정표 (2)_계통도 _신세기11차추가(함체)" xfId="2706" xr:uid="{00000000-0005-0000-0000-0000A8030000}"/>
    <cellStyle name="#_cost9702 (2)_예정공정표 (2)_계통도 _신세기11차추가(함체)_04년도서울지역굴착계획" xfId="2707" xr:uid="{00000000-0005-0000-0000-0000A9030000}"/>
    <cellStyle name="#_cost9702 (2)_예정공정표 (2)_계통도 _신세기11차추가(함체)_04년도서울지역굴착계획_09_덕-H02통신공사_설계서_v4" xfId="6596" xr:uid="{00000000-0005-0000-0000-0000AA030000}"/>
    <cellStyle name="#_cost9702 (2)_예정공정표 (2)_계통도 _신세기11차추가(함체)_04년도서울지역굴착계획_설계서_CCTV-V1" xfId="6597" xr:uid="{00000000-0005-0000-0000-0000AB030000}"/>
    <cellStyle name="#_cost9702 (2)_예정공정표 (2)_계통도 _신세기11차추가(함체)_04년도서울지역굴착계획_수량산출" xfId="2708" xr:uid="{00000000-0005-0000-0000-0000AC030000}"/>
    <cellStyle name="#_cost9702 (2)_예정공정표 (2)_계통도 _신세기11차추가(함체)_04년도서울지역굴착계획_수량산출_수신-VDS내역서_20061103" xfId="2709" xr:uid="{00000000-0005-0000-0000-0000AD030000}"/>
    <cellStyle name="#_cost9702 (2)_예정공정표 (2)_계통도 _신세기11차추가(함체)_04년도서울지역굴착계획_수신-VDS내역서_20061103" xfId="2710" xr:uid="{00000000-0005-0000-0000-0000AE030000}"/>
    <cellStyle name="#_cost9702 (2)_예정공정표 (2)_계통도 _신세기11차추가(함체)_04년도서울지역굴착계획_육군 - 수량산출" xfId="2711" xr:uid="{00000000-0005-0000-0000-0000AF030000}"/>
    <cellStyle name="#_cost9702 (2)_예정공정표 (2)_계통도 _신세기11차추가(함체)_04년도서울지역굴착계획_육군 - 수량산출_수신-VDS내역서_20061103" xfId="2712" xr:uid="{00000000-0005-0000-0000-0000B0030000}"/>
    <cellStyle name="#_cost9702 (2)_예정공정표 (2)_계통도 _신세기11차추가(함체)_04년도서울지역굴착계획_육군관로" xfId="2713" xr:uid="{00000000-0005-0000-0000-0000B1030000}"/>
    <cellStyle name="#_cost9702 (2)_예정공정표 (2)_계통도 _신세기11차추가(함체)_04년도서울지역굴착계획_육군관로_수신-VDS내역서_20061103" xfId="2714" xr:uid="{00000000-0005-0000-0000-0000B2030000}"/>
    <cellStyle name="#_cost9702 (2)_예정공정표 (2)_계통도 _신세기11차추가(함체)_04년도서울지역굴착계획_토토토" xfId="2715" xr:uid="{00000000-0005-0000-0000-0000B3030000}"/>
    <cellStyle name="#_cost9702 (2)_예정공정표 (2)_계통도 _신세기11차추가(함체)_04년도서울지역굴착계획_토토토_수신-VDS내역서_20061103" xfId="2716" xr:uid="{00000000-0005-0000-0000-0000B4030000}"/>
    <cellStyle name="#_cost9702 (2)_예정공정표 (2)_계통도 _신세기11차추가(함체)_09_덕-H02통신공사_설계서_v4" xfId="6598" xr:uid="{00000000-0005-0000-0000-0000B5030000}"/>
    <cellStyle name="#_cost9702 (2)_예정공정표 (2)_계통도 _신세기11차추가(함체)_설계서_CCTV-V1" xfId="6599" xr:uid="{00000000-0005-0000-0000-0000B6030000}"/>
    <cellStyle name="#_cost9702 (2)_예정공정표 (2)_계통도 _신세기11차추가(함체)_수량산출" xfId="2717" xr:uid="{00000000-0005-0000-0000-0000B7030000}"/>
    <cellStyle name="#_cost9702 (2)_예정공정표 (2)_계통도 _신세기11차추가(함체)_수량산출_수신-VDS내역서_20061103" xfId="2718" xr:uid="{00000000-0005-0000-0000-0000B8030000}"/>
    <cellStyle name="#_cost9702 (2)_예정공정표 (2)_계통도 _신세기11차추가(함체)_수신-VDS내역서_20061103" xfId="2719" xr:uid="{00000000-0005-0000-0000-0000B9030000}"/>
    <cellStyle name="#_cost9702 (2)_예정공정표 (2)_계통도 _신세기11차추가(함체)_육군 - 수량산출" xfId="2720" xr:uid="{00000000-0005-0000-0000-0000BA030000}"/>
    <cellStyle name="#_cost9702 (2)_예정공정표 (2)_계통도 _신세기11차추가(함체)_육군 - 수량산출_수신-VDS내역서_20061103" xfId="2721" xr:uid="{00000000-0005-0000-0000-0000BB030000}"/>
    <cellStyle name="#_cost9702 (2)_예정공정표 (2)_계통도 _신세기11차추가(함체)_육군관로" xfId="2722" xr:uid="{00000000-0005-0000-0000-0000BC030000}"/>
    <cellStyle name="#_cost9702 (2)_예정공정표 (2)_계통도 _신세기11차추가(함체)_육군관로_수신-VDS내역서_20061103" xfId="2723" xr:uid="{00000000-0005-0000-0000-0000BD030000}"/>
    <cellStyle name="#_cost9702 (2)_예정공정표 (2)_계통도 _신세기11차추가(함체)_토토토" xfId="2724" xr:uid="{00000000-0005-0000-0000-0000BE030000}"/>
    <cellStyle name="#_cost9702 (2)_예정공정표 (2)_계통도 _신세기11차추가(함체)_토토토_수신-VDS내역서_20061103" xfId="2725" xr:uid="{00000000-0005-0000-0000-0000BF030000}"/>
    <cellStyle name="#_cost9702 (2)_예정공정표 (2)_계통도 _정산내역서(02년청주3차)" xfId="2726" xr:uid="{00000000-0005-0000-0000-0000C0030000}"/>
    <cellStyle name="#_cost9702 (2)_예정공정표 (2)_계통도 _정산내역서(02년청주4차)" xfId="2727" xr:uid="{00000000-0005-0000-0000-0000C1030000}"/>
    <cellStyle name="#_cost9702 (2)_예정공정표 (2)_계통도 _정산내역서(02년청주5차)" xfId="2728" xr:uid="{00000000-0005-0000-0000-0000C2030000}"/>
    <cellStyle name="#_cost9702 (2)_예정공정표 (2)_계통도 _정산내역서(02년청주6차)" xfId="2729" xr:uid="{00000000-0005-0000-0000-0000C3030000}"/>
    <cellStyle name="#_cost9702 (2)_예정공정표 (2)_계통도 _정산내역서(2002년청주10차)1" xfId="2730" xr:uid="{00000000-0005-0000-0000-0000C4030000}"/>
    <cellStyle name="#_cost9702 (2)_예정공정표 (2)_계통도 _정산내역서(2002년청주11차)" xfId="2731" xr:uid="{00000000-0005-0000-0000-0000C5030000}"/>
    <cellStyle name="#_cost9702 (2)_예정공정표 (2)_계통도 _정산내역서(2002년청주11차)1" xfId="2732" xr:uid="{00000000-0005-0000-0000-0000C6030000}"/>
    <cellStyle name="#_cost9702 (2)_예정공정표 (2)_계통도 _정산내역서(2002년청주16차)1" xfId="2733" xr:uid="{00000000-0005-0000-0000-0000C7030000}"/>
    <cellStyle name="#_cost9702 (2)_예정공정표 (2)_계통도 _정산내역서(2002년청주5차)1" xfId="2734" xr:uid="{00000000-0005-0000-0000-0000C8030000}"/>
    <cellStyle name="#_cost9702 (2)_예정공정표 (2)_계통도 _정산내역서(2002년청주7차)" xfId="2735" xr:uid="{00000000-0005-0000-0000-0000C9030000}"/>
    <cellStyle name="#_cost9702 (2)_예정공정표 (2)_계통도 _정산내역서(2002년청주7차)1" xfId="2736" xr:uid="{00000000-0005-0000-0000-0000CA030000}"/>
    <cellStyle name="#_cost9702 (2)_예정공정표 (2)_계통도 _정산내역서(2002년청주8차)1" xfId="2737" xr:uid="{00000000-0005-0000-0000-0000CB030000}"/>
    <cellStyle name="#_cost9702 (2)_예정공정표 (2)_계통도 _정산설계(5차 광이더넷)" xfId="2738" xr:uid="{00000000-0005-0000-0000-0000CC030000}"/>
    <cellStyle name="#_cost9702 (2)_예정공정표 (2)_계통도 _하나로 통신 기별(버즈 PC방외 7건)" xfId="2739" xr:uid="{00000000-0005-0000-0000-0000CD030000}"/>
    <cellStyle name="#_cost9702 (2)_예정공정표 (2)_계통도 _하나로기별(사이버킹PC방외 5건)" xfId="2740" xr:uid="{00000000-0005-0000-0000-0000CE030000}"/>
    <cellStyle name="#_cost9702 (2)_예정공정표 (2)_계통도 _하나로기별(테란PC방외 12건)" xfId="2741" xr:uid="{00000000-0005-0000-0000-0000CF030000}"/>
    <cellStyle name="#_cost9702 (2)_예정공정표 (2)_계통도 _하나로기별(테란PC방외 12건)_정산내역서(2002년청주5차)" xfId="2742" xr:uid="{00000000-0005-0000-0000-0000D0030000}"/>
    <cellStyle name="#_cost9702 (2)_예정공정표 (2)_담당자" xfId="6600" xr:uid="{00000000-0005-0000-0000-0000D1030000}"/>
    <cellStyle name="#_cost9702 (2)_예정공정표 (2)_담당자_설계종합514" xfId="6601" xr:uid="{00000000-0005-0000-0000-0000D2030000}"/>
    <cellStyle name="#_cost9702 (2)_예정공정표 (2)_도로공사신고서(수서경찰서)" xfId="2743" xr:uid="{00000000-0005-0000-0000-0000D3030000}"/>
    <cellStyle name="#_cost9702 (2)_예정공정표 (2)_도로공사신고서(수서경찰서)_수량산출" xfId="2744" xr:uid="{00000000-0005-0000-0000-0000D4030000}"/>
    <cellStyle name="#_cost9702 (2)_예정공정표 (2)_도로공사신고서(수서경찰서)_육군 - 수량산출" xfId="2745" xr:uid="{00000000-0005-0000-0000-0000D5030000}"/>
    <cellStyle name="#_cost9702 (2)_예정공정표 (2)_도로공사신고서(수서경찰서)_육군관로" xfId="2746" xr:uid="{00000000-0005-0000-0000-0000D6030000}"/>
    <cellStyle name="#_cost9702 (2)_예정공정표 (2)_도로공사신고서(수서경찰서)_토토토" xfId="2747" xr:uid="{00000000-0005-0000-0000-0000D7030000}"/>
    <cellStyle name="#_cost9702 (2)_예정공정표 (2)_설계서" xfId="2748" xr:uid="{00000000-0005-0000-0000-0000D8030000}"/>
    <cellStyle name="#_cost9702 (2)_예정공정표 (2)_설계서_04년도서울지역굴착계획" xfId="2749" xr:uid="{00000000-0005-0000-0000-0000D9030000}"/>
    <cellStyle name="#_cost9702 (2)_예정공정표 (2)_설계서_04년도서울지역굴착계획_09_덕-H02통신공사_설계서_v4" xfId="6602" xr:uid="{00000000-0005-0000-0000-0000DA030000}"/>
    <cellStyle name="#_cost9702 (2)_예정공정표 (2)_설계서_04년도서울지역굴착계획_설계서_CCTV-V1" xfId="6603" xr:uid="{00000000-0005-0000-0000-0000DB030000}"/>
    <cellStyle name="#_cost9702 (2)_예정공정표 (2)_설계서_04년도서울지역굴착계획_수신-VDS내역서_20061103" xfId="2750" xr:uid="{00000000-0005-0000-0000-0000DC030000}"/>
    <cellStyle name="#_cost9702 (2)_예정공정표 (2)_설계서_09_덕-H02통신공사_설계서_v4" xfId="6604" xr:uid="{00000000-0005-0000-0000-0000DD030000}"/>
    <cellStyle name="#_cost9702 (2)_예정공정표 (2)_설계서_설계서_CCTV-V1" xfId="6605" xr:uid="{00000000-0005-0000-0000-0000DE030000}"/>
    <cellStyle name="#_cost9702 (2)_예정공정표 (2)_설계서_수신-VDS내역서_20061103" xfId="2751" xr:uid="{00000000-0005-0000-0000-0000DF030000}"/>
    <cellStyle name="#_cost9702 (2)_예정공정표 (2)_수량산출" xfId="2752" xr:uid="{00000000-0005-0000-0000-0000E0030000}"/>
    <cellStyle name="#_cost9702 (2)_예정공정표 (2)_예술의 전당(KEPGO)" xfId="2753" xr:uid="{00000000-0005-0000-0000-0000E1030000}"/>
    <cellStyle name="#_cost9702 (2)_예정공정표 (2)_예술의 전당(KEPGO)_04년도서울지역굴착계획" xfId="2754" xr:uid="{00000000-0005-0000-0000-0000E2030000}"/>
    <cellStyle name="#_cost9702 (2)_예정공정표 (2)_예술의 전당(KEPGO)_04년도서울지역굴착계획_09_덕-H02통신공사_설계서_v4" xfId="6606" xr:uid="{00000000-0005-0000-0000-0000E3030000}"/>
    <cellStyle name="#_cost9702 (2)_예정공정표 (2)_예술의 전당(KEPGO)_04년도서울지역굴착계획_설계서_CCTV-V1" xfId="6607" xr:uid="{00000000-0005-0000-0000-0000E4030000}"/>
    <cellStyle name="#_cost9702 (2)_예정공정표 (2)_예술의 전당(KEPGO)_04년도서울지역굴착계획_수량산출" xfId="2755" xr:uid="{00000000-0005-0000-0000-0000E5030000}"/>
    <cellStyle name="#_cost9702 (2)_예정공정표 (2)_예술의 전당(KEPGO)_04년도서울지역굴착계획_수량산출_수신-VDS내역서_20061103" xfId="2756" xr:uid="{00000000-0005-0000-0000-0000E6030000}"/>
    <cellStyle name="#_cost9702 (2)_예정공정표 (2)_예술의 전당(KEPGO)_04년도서울지역굴착계획_수신-VDS내역서_20061103" xfId="2757" xr:uid="{00000000-0005-0000-0000-0000E7030000}"/>
    <cellStyle name="#_cost9702 (2)_예정공정표 (2)_예술의 전당(KEPGO)_04년도서울지역굴착계획_육군 - 수량산출" xfId="2758" xr:uid="{00000000-0005-0000-0000-0000E8030000}"/>
    <cellStyle name="#_cost9702 (2)_예정공정표 (2)_예술의 전당(KEPGO)_04년도서울지역굴착계획_육군 - 수량산출_수신-VDS내역서_20061103" xfId="2759" xr:uid="{00000000-0005-0000-0000-0000E9030000}"/>
    <cellStyle name="#_cost9702 (2)_예정공정표 (2)_예술의 전당(KEPGO)_04년도서울지역굴착계획_육군관로" xfId="2760" xr:uid="{00000000-0005-0000-0000-0000EA030000}"/>
    <cellStyle name="#_cost9702 (2)_예정공정표 (2)_예술의 전당(KEPGO)_04년도서울지역굴착계획_육군관로_수신-VDS내역서_20061103" xfId="2761" xr:uid="{00000000-0005-0000-0000-0000EB030000}"/>
    <cellStyle name="#_cost9702 (2)_예정공정표 (2)_예술의 전당(KEPGO)_04년도서울지역굴착계획_토토토" xfId="2762" xr:uid="{00000000-0005-0000-0000-0000EC030000}"/>
    <cellStyle name="#_cost9702 (2)_예정공정표 (2)_예술의 전당(KEPGO)_04년도서울지역굴착계획_토토토_수신-VDS내역서_20061103" xfId="2763" xr:uid="{00000000-0005-0000-0000-0000ED030000}"/>
    <cellStyle name="#_cost9702 (2)_예정공정표 (2)_예술의 전당(KEPGO)_09_덕-H02통신공사_설계서_v4" xfId="6608" xr:uid="{00000000-0005-0000-0000-0000EE030000}"/>
    <cellStyle name="#_cost9702 (2)_예정공정표 (2)_예술의 전당(KEPGO)_설계서_CCTV-V1" xfId="6609" xr:uid="{00000000-0005-0000-0000-0000EF030000}"/>
    <cellStyle name="#_cost9702 (2)_예정공정표 (2)_예술의 전당(KEPGO)_수량산출" xfId="2764" xr:uid="{00000000-0005-0000-0000-0000F0030000}"/>
    <cellStyle name="#_cost9702 (2)_예정공정표 (2)_예술의 전당(KEPGO)_수량산출_수신-VDS내역서_20061103" xfId="2765" xr:uid="{00000000-0005-0000-0000-0000F1030000}"/>
    <cellStyle name="#_cost9702 (2)_예정공정표 (2)_예술의 전당(KEPGO)_수신-VDS내역서_20061103" xfId="2766" xr:uid="{00000000-0005-0000-0000-0000F2030000}"/>
    <cellStyle name="#_cost9702 (2)_예정공정표 (2)_예술의 전당(KEPGO)_육군 - 수량산출" xfId="2767" xr:uid="{00000000-0005-0000-0000-0000F3030000}"/>
    <cellStyle name="#_cost9702 (2)_예정공정표 (2)_예술의 전당(KEPGO)_육군 - 수량산출_수신-VDS내역서_20061103" xfId="2768" xr:uid="{00000000-0005-0000-0000-0000F4030000}"/>
    <cellStyle name="#_cost9702 (2)_예정공정표 (2)_예술의 전당(KEPGO)_육군관로" xfId="2769" xr:uid="{00000000-0005-0000-0000-0000F5030000}"/>
    <cellStyle name="#_cost9702 (2)_예정공정표 (2)_예술의 전당(KEPGO)_육군관로_수신-VDS내역서_20061103" xfId="2770" xr:uid="{00000000-0005-0000-0000-0000F6030000}"/>
    <cellStyle name="#_cost9702 (2)_예정공정표 (2)_예술의 전당(KEPGO)_토토토" xfId="2771" xr:uid="{00000000-0005-0000-0000-0000F7030000}"/>
    <cellStyle name="#_cost9702 (2)_예정공정표 (2)_예술의 전당(KEPGO)_토토토_수신-VDS내역서_20061103" xfId="2772" xr:uid="{00000000-0005-0000-0000-0000F8030000}"/>
    <cellStyle name="#_cost9702 (2)_예정공정표 (2)_육군 - 수량산출" xfId="2773" xr:uid="{00000000-0005-0000-0000-0000F9030000}"/>
    <cellStyle name="#_cost9702 (2)_예정공정표 (2)_육군관로" xfId="2774" xr:uid="{00000000-0005-0000-0000-0000FA030000}"/>
    <cellStyle name="#_cost9702 (2)_예정공정표 (2)_토토토" xfId="2775" xr:uid="{00000000-0005-0000-0000-0000FB030000}"/>
    <cellStyle name="#_cost9702 (2)_육군 - 수량산출" xfId="2776" xr:uid="{00000000-0005-0000-0000-0000FC030000}"/>
    <cellStyle name="#_cost9702 (2)_육군관로" xfId="2777" xr:uid="{00000000-0005-0000-0000-0000FD030000}"/>
    <cellStyle name="#_cost9702 (2)_주요자재" xfId="2778" xr:uid="{00000000-0005-0000-0000-0000FE030000}"/>
    <cellStyle name="#_cost9702 (2)_주요자재_Book1" xfId="2779" xr:uid="{00000000-0005-0000-0000-0000FF030000}"/>
    <cellStyle name="#_cost9702 (2)_주요자재_Book1_04년도서울지역굴착계획" xfId="2780" xr:uid="{00000000-0005-0000-0000-000000040000}"/>
    <cellStyle name="#_cost9702 (2)_주요자재_Book1_04년도서울지역굴착계획_09_덕-H02통신공사_설계서_v4" xfId="6610" xr:uid="{00000000-0005-0000-0000-000001040000}"/>
    <cellStyle name="#_cost9702 (2)_주요자재_Book1_04년도서울지역굴착계획_설계서_CCTV-V1" xfId="6611" xr:uid="{00000000-0005-0000-0000-000002040000}"/>
    <cellStyle name="#_cost9702 (2)_주요자재_Book1_04년도서울지역굴착계획_수신-VDS내역서_20061103" xfId="2781" xr:uid="{00000000-0005-0000-0000-000003040000}"/>
    <cellStyle name="#_cost9702 (2)_주요자재_Book1_09_덕-H02통신공사_설계서_v4" xfId="6612" xr:uid="{00000000-0005-0000-0000-000004040000}"/>
    <cellStyle name="#_cost9702 (2)_주요자재_Book1_설계서_CCTV-V1" xfId="6613" xr:uid="{00000000-0005-0000-0000-000005040000}"/>
    <cellStyle name="#_cost9702 (2)_주요자재_Book1_수신-VDS내역서_20061103" xfId="2782" xr:uid="{00000000-0005-0000-0000-000006040000}"/>
    <cellStyle name="#_cost9702 (2)_주요자재_NEGS" xfId="2783" xr:uid="{00000000-0005-0000-0000-000007040000}"/>
    <cellStyle name="#_cost9702 (2)_주요자재_NEGS_04년도서울지역굴착계획" xfId="2784" xr:uid="{00000000-0005-0000-0000-000008040000}"/>
    <cellStyle name="#_cost9702 (2)_주요자재_NEGS_04년도서울지역굴착계획_09_덕-H02통신공사_설계서_v4" xfId="6614" xr:uid="{00000000-0005-0000-0000-000009040000}"/>
    <cellStyle name="#_cost9702 (2)_주요자재_NEGS_04년도서울지역굴착계획_설계서_CCTV-V1" xfId="6615" xr:uid="{00000000-0005-0000-0000-00000A040000}"/>
    <cellStyle name="#_cost9702 (2)_주요자재_NEGS_04년도서울지역굴착계획_수량산출" xfId="2785" xr:uid="{00000000-0005-0000-0000-00000B040000}"/>
    <cellStyle name="#_cost9702 (2)_주요자재_NEGS_04년도서울지역굴착계획_수량산출_수신-VDS내역서_20061103" xfId="2786" xr:uid="{00000000-0005-0000-0000-00000C040000}"/>
    <cellStyle name="#_cost9702 (2)_주요자재_NEGS_04년도서울지역굴착계획_수신-VDS내역서_20061103" xfId="2787" xr:uid="{00000000-0005-0000-0000-00000D040000}"/>
    <cellStyle name="#_cost9702 (2)_주요자재_NEGS_04년도서울지역굴착계획_육군 - 수량산출" xfId="2788" xr:uid="{00000000-0005-0000-0000-00000E040000}"/>
    <cellStyle name="#_cost9702 (2)_주요자재_NEGS_04년도서울지역굴착계획_육군 - 수량산출_수신-VDS내역서_20061103" xfId="2789" xr:uid="{00000000-0005-0000-0000-00000F040000}"/>
    <cellStyle name="#_cost9702 (2)_주요자재_NEGS_04년도서울지역굴착계획_육군관로" xfId="2790" xr:uid="{00000000-0005-0000-0000-000010040000}"/>
    <cellStyle name="#_cost9702 (2)_주요자재_NEGS_04년도서울지역굴착계획_육군관로_수신-VDS내역서_20061103" xfId="2791" xr:uid="{00000000-0005-0000-0000-000011040000}"/>
    <cellStyle name="#_cost9702 (2)_주요자재_NEGS_04년도서울지역굴착계획_토토토" xfId="2792" xr:uid="{00000000-0005-0000-0000-000012040000}"/>
    <cellStyle name="#_cost9702 (2)_주요자재_NEGS_04년도서울지역굴착계획_토토토_수신-VDS내역서_20061103" xfId="2793" xr:uid="{00000000-0005-0000-0000-000013040000}"/>
    <cellStyle name="#_cost9702 (2)_주요자재_NEGS_09_덕-H02통신공사_설계서_v4" xfId="6616" xr:uid="{00000000-0005-0000-0000-000014040000}"/>
    <cellStyle name="#_cost9702 (2)_주요자재_NEGS_설계서_CCTV-V1" xfId="6617" xr:uid="{00000000-0005-0000-0000-000015040000}"/>
    <cellStyle name="#_cost9702 (2)_주요자재_NEGS_수량산출" xfId="2794" xr:uid="{00000000-0005-0000-0000-000016040000}"/>
    <cellStyle name="#_cost9702 (2)_주요자재_NEGS_수량산출_수신-VDS내역서_20061103" xfId="2795" xr:uid="{00000000-0005-0000-0000-000017040000}"/>
    <cellStyle name="#_cost9702 (2)_주요자재_NEGS_수신-VDS내역서_20061103" xfId="2796" xr:uid="{00000000-0005-0000-0000-000018040000}"/>
    <cellStyle name="#_cost9702 (2)_주요자재_NEGS_육군 - 수량산출" xfId="2797" xr:uid="{00000000-0005-0000-0000-000019040000}"/>
    <cellStyle name="#_cost9702 (2)_주요자재_NEGS_육군 - 수량산출_수신-VDS내역서_20061103" xfId="2798" xr:uid="{00000000-0005-0000-0000-00001A040000}"/>
    <cellStyle name="#_cost9702 (2)_주요자재_NEGS_육군관로" xfId="2799" xr:uid="{00000000-0005-0000-0000-00001B040000}"/>
    <cellStyle name="#_cost9702 (2)_주요자재_NEGS_육군관로_수신-VDS내역서_20061103" xfId="2800" xr:uid="{00000000-0005-0000-0000-00001C040000}"/>
    <cellStyle name="#_cost9702 (2)_주요자재_NEGS_토토토" xfId="2801" xr:uid="{00000000-0005-0000-0000-00001D040000}"/>
    <cellStyle name="#_cost9702 (2)_주요자재_NEGS_토토토_수신-VDS내역서_20061103" xfId="2802" xr:uid="{00000000-0005-0000-0000-00001E040000}"/>
    <cellStyle name="#_cost9702 (2)_주요자재_SKT CS-A4정산내역서 최종12.3" xfId="2803" xr:uid="{00000000-0005-0000-0000-00001F040000}"/>
    <cellStyle name="#_cost9702 (2)_주요자재_SKT CS-A4정산내역서 최종12.3_04년도서울지역굴착계획" xfId="2804" xr:uid="{00000000-0005-0000-0000-000020040000}"/>
    <cellStyle name="#_cost9702 (2)_주요자재_SKT CS-A4정산내역서 최종12.3_04년도서울지역굴착계획_09_덕-H02통신공사_설계서_v4" xfId="6618" xr:uid="{00000000-0005-0000-0000-000021040000}"/>
    <cellStyle name="#_cost9702 (2)_주요자재_SKT CS-A4정산내역서 최종12.3_04년도서울지역굴착계획_설계서_CCTV-V1" xfId="6619" xr:uid="{00000000-0005-0000-0000-000022040000}"/>
    <cellStyle name="#_cost9702 (2)_주요자재_SKT CS-A4정산내역서 최종12.3_04년도서울지역굴착계획_수신-VDS내역서_20061103" xfId="2805" xr:uid="{00000000-0005-0000-0000-000023040000}"/>
    <cellStyle name="#_cost9702 (2)_주요자재_SKT CS-A4정산내역서 최종12.3_09_덕-H02통신공사_설계서_v4" xfId="6620" xr:uid="{00000000-0005-0000-0000-000024040000}"/>
    <cellStyle name="#_cost9702 (2)_주요자재_SKT CS-A4정산내역서 최종12.3_설계서_CCTV-V1" xfId="6621" xr:uid="{00000000-0005-0000-0000-000025040000}"/>
    <cellStyle name="#_cost9702 (2)_주요자재_SKT CS-A4정산내역서 최종12.3_수신-VDS내역서_20061103" xfId="2806" xr:uid="{00000000-0005-0000-0000-000026040000}"/>
    <cellStyle name="#_cost9702 (2)_주요자재_SKT CS-A4정산내역서+CS-A2" xfId="2807" xr:uid="{00000000-0005-0000-0000-000027040000}"/>
    <cellStyle name="#_cost9702 (2)_주요자재_SKT CS-A4정산내역서+CS-A2_04년도서울지역굴착계획" xfId="2808" xr:uid="{00000000-0005-0000-0000-000028040000}"/>
    <cellStyle name="#_cost9702 (2)_주요자재_SKT CS-A4정산내역서+CS-A2_04년도서울지역굴착계획_09_덕-H02통신공사_설계서_v4" xfId="6622" xr:uid="{00000000-0005-0000-0000-000029040000}"/>
    <cellStyle name="#_cost9702 (2)_주요자재_SKT CS-A4정산내역서+CS-A2_04년도서울지역굴착계획_설계서_CCTV-V1" xfId="6623" xr:uid="{00000000-0005-0000-0000-00002A040000}"/>
    <cellStyle name="#_cost9702 (2)_주요자재_SKT CS-A4정산내역서+CS-A2_04년도서울지역굴착계획_수신-VDS내역서_20061103" xfId="2809" xr:uid="{00000000-0005-0000-0000-00002B040000}"/>
    <cellStyle name="#_cost9702 (2)_주요자재_SKT CS-A4정산내역서+CS-A2_09_덕-H02통신공사_설계서_v4" xfId="6624" xr:uid="{00000000-0005-0000-0000-00002C040000}"/>
    <cellStyle name="#_cost9702 (2)_주요자재_SKT CS-A4정산내역서+CS-A2_설계서_CCTV-V1" xfId="6625" xr:uid="{00000000-0005-0000-0000-00002D040000}"/>
    <cellStyle name="#_cost9702 (2)_주요자재_SKT CS-A4정산내역서+CS-A2_수신-VDS내역서_20061103" xfId="2810" xr:uid="{00000000-0005-0000-0000-00002E040000}"/>
    <cellStyle name="#_cost9702 (2)_주요자재_강동구청허가신청" xfId="2811" xr:uid="{00000000-0005-0000-0000-00002F040000}"/>
    <cellStyle name="#_cost9702 (2)_주요자재_강동구청허가신청_04년도서울지역굴착계획" xfId="2812" xr:uid="{00000000-0005-0000-0000-000030040000}"/>
    <cellStyle name="#_cost9702 (2)_주요자재_강동구청허가신청_04년도서울지역굴착계획_09_덕-H02통신공사_설계서_v4" xfId="6626" xr:uid="{00000000-0005-0000-0000-000031040000}"/>
    <cellStyle name="#_cost9702 (2)_주요자재_강동구청허가신청_04년도서울지역굴착계획_설계서_CCTV-V1" xfId="6627" xr:uid="{00000000-0005-0000-0000-000032040000}"/>
    <cellStyle name="#_cost9702 (2)_주요자재_강동구청허가신청_04년도서울지역굴착계획_수신-VDS내역서_20061103" xfId="2813" xr:uid="{00000000-0005-0000-0000-000033040000}"/>
    <cellStyle name="#_cost9702 (2)_주요자재_강동구청허가신청_09_덕-H02통신공사_설계서_v4" xfId="6628" xr:uid="{00000000-0005-0000-0000-000034040000}"/>
    <cellStyle name="#_cost9702 (2)_주요자재_강동구청허가신청_설계서_CCTV-V1" xfId="6629" xr:uid="{00000000-0005-0000-0000-000035040000}"/>
    <cellStyle name="#_cost9702 (2)_주요자재_강동구청허가신청_수신-VDS내역서_20061103" xfId="2814" xr:uid="{00000000-0005-0000-0000-000036040000}"/>
    <cellStyle name="#_cost9702 (2)_주요자재_계통도 " xfId="39" xr:uid="{00000000-0005-0000-0000-000037040000}"/>
    <cellStyle name="#_cost9702 (2)_주요자재_계통도 _(@클릭 pc방)준공자료" xfId="2815" xr:uid="{00000000-0005-0000-0000-000038040000}"/>
    <cellStyle name="#_cost9702 (2)_주요자재_계통도 _(@클릭 pc방)준공자료_16준공자료(데이콤 중앙국사 ~ 한빛은행)" xfId="2816" xr:uid="{00000000-0005-0000-0000-000039040000}"/>
    <cellStyle name="#_cost9702 (2)_주요자재_계통도 _개통자료((주)모인텍)" xfId="2817" xr:uid="{00000000-0005-0000-0000-00003A040000}"/>
    <cellStyle name="#_cost9702 (2)_주요자재_계통도 _개통자료((주)모인텍)_개통자료(STI 남가좌 ~ STI 홍은설악)" xfId="2818" xr:uid="{00000000-0005-0000-0000-00003B040000}"/>
    <cellStyle name="#_cost9702 (2)_주요자재_계통도 _개통자료(STI북아현-STI북아현3)" xfId="2819" xr:uid="{00000000-0005-0000-0000-00003C040000}"/>
    <cellStyle name="#_cost9702 (2)_주요자재_계통도 _개통자료(STI북아현-STI북아현3)_개통자료(STI 남가좌 ~ STI 홍은설악)" xfId="2820" xr:uid="{00000000-0005-0000-0000-00003D040000}"/>
    <cellStyle name="#_cost9702 (2)_주요자재_계통도 _기별종합(미정산0306)" xfId="2821" xr:uid="{00000000-0005-0000-0000-00003E040000}"/>
    <cellStyle name="#_cost9702 (2)_주요자재_계통도 _기별종합(미정산0306)_정산내역서(2002년청주5차)" xfId="2822" xr:uid="{00000000-0005-0000-0000-00003F040000}"/>
    <cellStyle name="#_cost9702 (2)_주요자재_계통도 _기별총괄" xfId="2823" xr:uid="{00000000-0005-0000-0000-000040040000}"/>
    <cellStyle name="#_cost9702 (2)_주요자재_계통도 _설계내역서(02년청주10차)" xfId="2824" xr:uid="{00000000-0005-0000-0000-000041040000}"/>
    <cellStyle name="#_cost9702 (2)_주요자재_계통도 _설계내역서(02년청주11차)" xfId="2825" xr:uid="{00000000-0005-0000-0000-000042040000}"/>
    <cellStyle name="#_cost9702 (2)_주요자재_계통도 _설계내역서(02년청주3차)" xfId="2826" xr:uid="{00000000-0005-0000-0000-000043040000}"/>
    <cellStyle name="#_cost9702 (2)_주요자재_계통도 _설계내역서(02년청주4차)" xfId="2827" xr:uid="{00000000-0005-0000-0000-000044040000}"/>
    <cellStyle name="#_cost9702 (2)_주요자재_계통도 _설계내역서(02년청주5차)" xfId="2828" xr:uid="{00000000-0005-0000-0000-000045040000}"/>
    <cellStyle name="#_cost9702 (2)_주요자재_계통도 _설계내역서(02년청주6차)" xfId="2829" xr:uid="{00000000-0005-0000-0000-000046040000}"/>
    <cellStyle name="#_cost9702 (2)_주요자재_계통도 _설계내역서(02년청주7차)" xfId="2830" xr:uid="{00000000-0005-0000-0000-000047040000}"/>
    <cellStyle name="#_cost9702 (2)_주요자재_계통도 _설계내역서(02년청주8차)" xfId="2831" xr:uid="{00000000-0005-0000-0000-000048040000}"/>
    <cellStyle name="#_cost9702 (2)_주요자재_계통도 _세부계통도(비하 프리존pc방외 1건)" xfId="2832" xr:uid="{00000000-0005-0000-0000-000049040000}"/>
    <cellStyle name="#_cost9702 (2)_주요자재_계통도 _세부계통도(비하 프리존pc방외 1건)_정산내역서(2002년청주5차)" xfId="2833" xr:uid="{00000000-0005-0000-0000-00004A040000}"/>
    <cellStyle name="#_cost9702 (2)_주요자재_계통도 _세부도종합(미정산0306)" xfId="2834" xr:uid="{00000000-0005-0000-0000-00004B040000}"/>
    <cellStyle name="#_cost9702 (2)_주요자재_계통도 _신세기11차추가(함체)" xfId="2835" xr:uid="{00000000-0005-0000-0000-00004C040000}"/>
    <cellStyle name="#_cost9702 (2)_주요자재_계통도 _신세기11차추가(함체)_04년도서울지역굴착계획" xfId="2836" xr:uid="{00000000-0005-0000-0000-00004D040000}"/>
    <cellStyle name="#_cost9702 (2)_주요자재_계통도 _신세기11차추가(함체)_04년도서울지역굴착계획_09_덕-H02통신공사_설계서_v4" xfId="6630" xr:uid="{00000000-0005-0000-0000-00004E040000}"/>
    <cellStyle name="#_cost9702 (2)_주요자재_계통도 _신세기11차추가(함체)_04년도서울지역굴착계획_설계서_CCTV-V1" xfId="6631" xr:uid="{00000000-0005-0000-0000-00004F040000}"/>
    <cellStyle name="#_cost9702 (2)_주요자재_계통도 _신세기11차추가(함체)_04년도서울지역굴착계획_수량산출" xfId="2837" xr:uid="{00000000-0005-0000-0000-000050040000}"/>
    <cellStyle name="#_cost9702 (2)_주요자재_계통도 _신세기11차추가(함체)_04년도서울지역굴착계획_수량산출_수신-VDS내역서_20061103" xfId="2838" xr:uid="{00000000-0005-0000-0000-000051040000}"/>
    <cellStyle name="#_cost9702 (2)_주요자재_계통도 _신세기11차추가(함체)_04년도서울지역굴착계획_수신-VDS내역서_20061103" xfId="2839" xr:uid="{00000000-0005-0000-0000-000052040000}"/>
    <cellStyle name="#_cost9702 (2)_주요자재_계통도 _신세기11차추가(함체)_04년도서울지역굴착계획_육군 - 수량산출" xfId="2840" xr:uid="{00000000-0005-0000-0000-000053040000}"/>
    <cellStyle name="#_cost9702 (2)_주요자재_계통도 _신세기11차추가(함체)_04년도서울지역굴착계획_육군 - 수량산출_수신-VDS내역서_20061103" xfId="2841" xr:uid="{00000000-0005-0000-0000-000054040000}"/>
    <cellStyle name="#_cost9702 (2)_주요자재_계통도 _신세기11차추가(함체)_04년도서울지역굴착계획_육군관로" xfId="2842" xr:uid="{00000000-0005-0000-0000-000055040000}"/>
    <cellStyle name="#_cost9702 (2)_주요자재_계통도 _신세기11차추가(함체)_04년도서울지역굴착계획_육군관로_수신-VDS내역서_20061103" xfId="2843" xr:uid="{00000000-0005-0000-0000-000056040000}"/>
    <cellStyle name="#_cost9702 (2)_주요자재_계통도 _신세기11차추가(함체)_04년도서울지역굴착계획_토토토" xfId="2844" xr:uid="{00000000-0005-0000-0000-000057040000}"/>
    <cellStyle name="#_cost9702 (2)_주요자재_계통도 _신세기11차추가(함체)_04년도서울지역굴착계획_토토토_수신-VDS내역서_20061103" xfId="2845" xr:uid="{00000000-0005-0000-0000-000058040000}"/>
    <cellStyle name="#_cost9702 (2)_주요자재_계통도 _신세기11차추가(함체)_09_덕-H02통신공사_설계서_v4" xfId="6632" xr:uid="{00000000-0005-0000-0000-000059040000}"/>
    <cellStyle name="#_cost9702 (2)_주요자재_계통도 _신세기11차추가(함체)_설계서_CCTV-V1" xfId="6633" xr:uid="{00000000-0005-0000-0000-00005A040000}"/>
    <cellStyle name="#_cost9702 (2)_주요자재_계통도 _신세기11차추가(함체)_수량산출" xfId="2846" xr:uid="{00000000-0005-0000-0000-00005B040000}"/>
    <cellStyle name="#_cost9702 (2)_주요자재_계통도 _신세기11차추가(함체)_수량산출_수신-VDS내역서_20061103" xfId="2847" xr:uid="{00000000-0005-0000-0000-00005C040000}"/>
    <cellStyle name="#_cost9702 (2)_주요자재_계통도 _신세기11차추가(함체)_수신-VDS내역서_20061103" xfId="2848" xr:uid="{00000000-0005-0000-0000-00005D040000}"/>
    <cellStyle name="#_cost9702 (2)_주요자재_계통도 _신세기11차추가(함체)_육군 - 수량산출" xfId="2849" xr:uid="{00000000-0005-0000-0000-00005E040000}"/>
    <cellStyle name="#_cost9702 (2)_주요자재_계통도 _신세기11차추가(함체)_육군 - 수량산출_수신-VDS내역서_20061103" xfId="2850" xr:uid="{00000000-0005-0000-0000-00005F040000}"/>
    <cellStyle name="#_cost9702 (2)_주요자재_계통도 _신세기11차추가(함체)_육군관로" xfId="2851" xr:uid="{00000000-0005-0000-0000-000060040000}"/>
    <cellStyle name="#_cost9702 (2)_주요자재_계통도 _신세기11차추가(함체)_육군관로_수신-VDS내역서_20061103" xfId="2852" xr:uid="{00000000-0005-0000-0000-000061040000}"/>
    <cellStyle name="#_cost9702 (2)_주요자재_계통도 _신세기11차추가(함체)_토토토" xfId="2853" xr:uid="{00000000-0005-0000-0000-000062040000}"/>
    <cellStyle name="#_cost9702 (2)_주요자재_계통도 _신세기11차추가(함체)_토토토_수신-VDS내역서_20061103" xfId="2854" xr:uid="{00000000-0005-0000-0000-000063040000}"/>
    <cellStyle name="#_cost9702 (2)_주요자재_계통도 _정산내역서(02년청주3차)" xfId="2855" xr:uid="{00000000-0005-0000-0000-000064040000}"/>
    <cellStyle name="#_cost9702 (2)_주요자재_계통도 _정산내역서(02년청주4차)" xfId="2856" xr:uid="{00000000-0005-0000-0000-000065040000}"/>
    <cellStyle name="#_cost9702 (2)_주요자재_계통도 _정산내역서(02년청주5차)" xfId="2857" xr:uid="{00000000-0005-0000-0000-000066040000}"/>
    <cellStyle name="#_cost9702 (2)_주요자재_계통도 _정산내역서(02년청주6차)" xfId="2858" xr:uid="{00000000-0005-0000-0000-000067040000}"/>
    <cellStyle name="#_cost9702 (2)_주요자재_계통도 _정산내역서(2002년청주10차)1" xfId="2859" xr:uid="{00000000-0005-0000-0000-000068040000}"/>
    <cellStyle name="#_cost9702 (2)_주요자재_계통도 _정산내역서(2002년청주11차)" xfId="2860" xr:uid="{00000000-0005-0000-0000-000069040000}"/>
    <cellStyle name="#_cost9702 (2)_주요자재_계통도 _정산내역서(2002년청주11차)1" xfId="2861" xr:uid="{00000000-0005-0000-0000-00006A040000}"/>
    <cellStyle name="#_cost9702 (2)_주요자재_계통도 _정산내역서(2002년청주16차)1" xfId="2862" xr:uid="{00000000-0005-0000-0000-00006B040000}"/>
    <cellStyle name="#_cost9702 (2)_주요자재_계통도 _정산내역서(2002년청주5차)1" xfId="2863" xr:uid="{00000000-0005-0000-0000-00006C040000}"/>
    <cellStyle name="#_cost9702 (2)_주요자재_계통도 _정산내역서(2002년청주7차)" xfId="2864" xr:uid="{00000000-0005-0000-0000-00006D040000}"/>
    <cellStyle name="#_cost9702 (2)_주요자재_계통도 _정산내역서(2002년청주7차)1" xfId="2865" xr:uid="{00000000-0005-0000-0000-00006E040000}"/>
    <cellStyle name="#_cost9702 (2)_주요자재_계통도 _정산내역서(2002년청주8차)1" xfId="2866" xr:uid="{00000000-0005-0000-0000-00006F040000}"/>
    <cellStyle name="#_cost9702 (2)_주요자재_계통도 _정산설계(5차 광이더넷)" xfId="2867" xr:uid="{00000000-0005-0000-0000-000070040000}"/>
    <cellStyle name="#_cost9702 (2)_주요자재_계통도 _하나로 통신 기별(버즈 PC방외 7건)" xfId="2868" xr:uid="{00000000-0005-0000-0000-000071040000}"/>
    <cellStyle name="#_cost9702 (2)_주요자재_계통도 _하나로기별(사이버킹PC방외 5건)" xfId="2869" xr:uid="{00000000-0005-0000-0000-000072040000}"/>
    <cellStyle name="#_cost9702 (2)_주요자재_계통도 _하나로기별(테란PC방외 12건)" xfId="2870" xr:uid="{00000000-0005-0000-0000-000073040000}"/>
    <cellStyle name="#_cost9702 (2)_주요자재_계통도 _하나로기별(테란PC방외 12건)_정산내역서(2002년청주5차)" xfId="2871" xr:uid="{00000000-0005-0000-0000-000074040000}"/>
    <cellStyle name="#_cost9702 (2)_주요자재_담당자" xfId="6634" xr:uid="{00000000-0005-0000-0000-000075040000}"/>
    <cellStyle name="#_cost9702 (2)_주요자재_담당자_설계종합514" xfId="6635" xr:uid="{00000000-0005-0000-0000-000076040000}"/>
    <cellStyle name="#_cost9702 (2)_주요자재_도로공사신고서(수서경찰서)" xfId="2872" xr:uid="{00000000-0005-0000-0000-000077040000}"/>
    <cellStyle name="#_cost9702 (2)_주요자재_도로공사신고서(수서경찰서)_수량산출" xfId="2873" xr:uid="{00000000-0005-0000-0000-000078040000}"/>
    <cellStyle name="#_cost9702 (2)_주요자재_도로공사신고서(수서경찰서)_육군 - 수량산출" xfId="2874" xr:uid="{00000000-0005-0000-0000-000079040000}"/>
    <cellStyle name="#_cost9702 (2)_주요자재_도로공사신고서(수서경찰서)_육군관로" xfId="2875" xr:uid="{00000000-0005-0000-0000-00007A040000}"/>
    <cellStyle name="#_cost9702 (2)_주요자재_도로공사신고서(수서경찰서)_토토토" xfId="2876" xr:uid="{00000000-0005-0000-0000-00007B040000}"/>
    <cellStyle name="#_cost9702 (2)_주요자재_설계서" xfId="2877" xr:uid="{00000000-0005-0000-0000-00007C040000}"/>
    <cellStyle name="#_cost9702 (2)_주요자재_설계서_04년도서울지역굴착계획" xfId="2878" xr:uid="{00000000-0005-0000-0000-00007D040000}"/>
    <cellStyle name="#_cost9702 (2)_주요자재_설계서_04년도서울지역굴착계획_09_덕-H02통신공사_설계서_v4" xfId="6636" xr:uid="{00000000-0005-0000-0000-00007E040000}"/>
    <cellStyle name="#_cost9702 (2)_주요자재_설계서_04년도서울지역굴착계획_설계서_CCTV-V1" xfId="6637" xr:uid="{00000000-0005-0000-0000-00007F040000}"/>
    <cellStyle name="#_cost9702 (2)_주요자재_설계서_04년도서울지역굴착계획_수신-VDS내역서_20061103" xfId="2879" xr:uid="{00000000-0005-0000-0000-000080040000}"/>
    <cellStyle name="#_cost9702 (2)_주요자재_설계서_09_덕-H02통신공사_설계서_v4" xfId="6638" xr:uid="{00000000-0005-0000-0000-000081040000}"/>
    <cellStyle name="#_cost9702 (2)_주요자재_설계서_설계서_CCTV-V1" xfId="6639" xr:uid="{00000000-0005-0000-0000-000082040000}"/>
    <cellStyle name="#_cost9702 (2)_주요자재_설계서_수신-VDS내역서_20061103" xfId="2880" xr:uid="{00000000-0005-0000-0000-000083040000}"/>
    <cellStyle name="#_cost9702 (2)_주요자재_수량산출" xfId="2881" xr:uid="{00000000-0005-0000-0000-000084040000}"/>
    <cellStyle name="#_cost9702 (2)_주요자재_예술의 전당(KEPGO)" xfId="2882" xr:uid="{00000000-0005-0000-0000-000085040000}"/>
    <cellStyle name="#_cost9702 (2)_주요자재_예술의 전당(KEPGO)_04년도서울지역굴착계획" xfId="2883" xr:uid="{00000000-0005-0000-0000-000086040000}"/>
    <cellStyle name="#_cost9702 (2)_주요자재_예술의 전당(KEPGO)_04년도서울지역굴착계획_09_덕-H02통신공사_설계서_v4" xfId="6640" xr:uid="{00000000-0005-0000-0000-000087040000}"/>
    <cellStyle name="#_cost9702 (2)_주요자재_예술의 전당(KEPGO)_04년도서울지역굴착계획_설계서_CCTV-V1" xfId="6641" xr:uid="{00000000-0005-0000-0000-000088040000}"/>
    <cellStyle name="#_cost9702 (2)_주요자재_예술의 전당(KEPGO)_04년도서울지역굴착계획_수량산출" xfId="2884" xr:uid="{00000000-0005-0000-0000-000089040000}"/>
    <cellStyle name="#_cost9702 (2)_주요자재_예술의 전당(KEPGO)_04년도서울지역굴착계획_수량산출_수신-VDS내역서_20061103" xfId="2885" xr:uid="{00000000-0005-0000-0000-00008A040000}"/>
    <cellStyle name="#_cost9702 (2)_주요자재_예술의 전당(KEPGO)_04년도서울지역굴착계획_수신-VDS내역서_20061103" xfId="2886" xr:uid="{00000000-0005-0000-0000-00008B040000}"/>
    <cellStyle name="#_cost9702 (2)_주요자재_예술의 전당(KEPGO)_04년도서울지역굴착계획_육군 - 수량산출" xfId="2887" xr:uid="{00000000-0005-0000-0000-00008C040000}"/>
    <cellStyle name="#_cost9702 (2)_주요자재_예술의 전당(KEPGO)_04년도서울지역굴착계획_육군 - 수량산출_수신-VDS내역서_20061103" xfId="2888" xr:uid="{00000000-0005-0000-0000-00008D040000}"/>
    <cellStyle name="#_cost9702 (2)_주요자재_예술의 전당(KEPGO)_04년도서울지역굴착계획_육군관로" xfId="2889" xr:uid="{00000000-0005-0000-0000-00008E040000}"/>
    <cellStyle name="#_cost9702 (2)_주요자재_예술의 전당(KEPGO)_04년도서울지역굴착계획_육군관로_수신-VDS내역서_20061103" xfId="2890" xr:uid="{00000000-0005-0000-0000-00008F040000}"/>
    <cellStyle name="#_cost9702 (2)_주요자재_예술의 전당(KEPGO)_04년도서울지역굴착계획_토토토" xfId="2891" xr:uid="{00000000-0005-0000-0000-000090040000}"/>
    <cellStyle name="#_cost9702 (2)_주요자재_예술의 전당(KEPGO)_04년도서울지역굴착계획_토토토_수신-VDS내역서_20061103" xfId="2892" xr:uid="{00000000-0005-0000-0000-000091040000}"/>
    <cellStyle name="#_cost9702 (2)_주요자재_예술의 전당(KEPGO)_09_덕-H02통신공사_설계서_v4" xfId="6642" xr:uid="{00000000-0005-0000-0000-000092040000}"/>
    <cellStyle name="#_cost9702 (2)_주요자재_예술의 전당(KEPGO)_설계서_CCTV-V1" xfId="6643" xr:uid="{00000000-0005-0000-0000-000093040000}"/>
    <cellStyle name="#_cost9702 (2)_주요자재_예술의 전당(KEPGO)_수량산출" xfId="2893" xr:uid="{00000000-0005-0000-0000-000094040000}"/>
    <cellStyle name="#_cost9702 (2)_주요자재_예술의 전당(KEPGO)_수량산출_수신-VDS내역서_20061103" xfId="2894" xr:uid="{00000000-0005-0000-0000-000095040000}"/>
    <cellStyle name="#_cost9702 (2)_주요자재_예술의 전당(KEPGO)_수신-VDS내역서_20061103" xfId="2895" xr:uid="{00000000-0005-0000-0000-000096040000}"/>
    <cellStyle name="#_cost9702 (2)_주요자재_예술의 전당(KEPGO)_육군 - 수량산출" xfId="2896" xr:uid="{00000000-0005-0000-0000-000097040000}"/>
    <cellStyle name="#_cost9702 (2)_주요자재_예술의 전당(KEPGO)_육군 - 수량산출_수신-VDS내역서_20061103" xfId="2897" xr:uid="{00000000-0005-0000-0000-000098040000}"/>
    <cellStyle name="#_cost9702 (2)_주요자재_예술의 전당(KEPGO)_육군관로" xfId="2898" xr:uid="{00000000-0005-0000-0000-000099040000}"/>
    <cellStyle name="#_cost9702 (2)_주요자재_예술의 전당(KEPGO)_육군관로_수신-VDS내역서_20061103" xfId="2899" xr:uid="{00000000-0005-0000-0000-00009A040000}"/>
    <cellStyle name="#_cost9702 (2)_주요자재_예술의 전당(KEPGO)_토토토" xfId="2900" xr:uid="{00000000-0005-0000-0000-00009B040000}"/>
    <cellStyle name="#_cost9702 (2)_주요자재_예술의 전당(KEPGO)_토토토_수신-VDS내역서_20061103" xfId="2901" xr:uid="{00000000-0005-0000-0000-00009C040000}"/>
    <cellStyle name="#_cost9702 (2)_주요자재_육군 - 수량산출" xfId="2902" xr:uid="{00000000-0005-0000-0000-00009D040000}"/>
    <cellStyle name="#_cost9702 (2)_주요자재_육군관로" xfId="2903" xr:uid="{00000000-0005-0000-0000-00009E040000}"/>
    <cellStyle name="#_cost9702 (2)_주요자재_토토토" xfId="2904" xr:uid="{00000000-0005-0000-0000-00009F040000}"/>
    <cellStyle name="#_cost9702 (2)_토토토" xfId="2905" xr:uid="{00000000-0005-0000-0000-0000A0040000}"/>
    <cellStyle name="#_cost9702 (2)_표준(기별,현장보고서)" xfId="2906" xr:uid="{00000000-0005-0000-0000-0000A1040000}"/>
    <cellStyle name="#_cost9702 (2)_표준(기별,현장보고서)(국민은행4차시설공사" xfId="2907" xr:uid="{00000000-0005-0000-0000-0000A2040000}"/>
    <cellStyle name="#_cost9702 (2)_표준(기별,현장보고서)(국민은행4차시설공사_수량산출" xfId="2908" xr:uid="{00000000-0005-0000-0000-0000A3040000}"/>
    <cellStyle name="#_cost9702 (2)_표준(기별,현장보고서)(국민은행4차시설공사_육군 - 수량산출" xfId="2909" xr:uid="{00000000-0005-0000-0000-0000A4040000}"/>
    <cellStyle name="#_cost9702 (2)_표준(기별,현장보고서)(국민은행4차시설공사_육군관로" xfId="2910" xr:uid="{00000000-0005-0000-0000-0000A5040000}"/>
    <cellStyle name="#_cost9702 (2)_표준(기별,현장보고서)(국민은행4차시설공사_토토토" xfId="2911" xr:uid="{00000000-0005-0000-0000-0000A6040000}"/>
    <cellStyle name="#_cost9702 (2)_표준(기별,현장보고서)_수량산출" xfId="2912" xr:uid="{00000000-0005-0000-0000-0000A7040000}"/>
    <cellStyle name="#_cost9702 (2)_표준(기별,현장보고서)_육군 - 수량산출" xfId="2913" xr:uid="{00000000-0005-0000-0000-0000A8040000}"/>
    <cellStyle name="#_cost9702 (2)_표준(기별,현장보고서)_육군관로" xfId="2914" xr:uid="{00000000-0005-0000-0000-0000A9040000}"/>
    <cellStyle name="#_cost9702 (2)_표준(기별,현장보고서)_토토토" xfId="2915" xr:uid="{00000000-0005-0000-0000-0000AA040000}"/>
    <cellStyle name="#_cost9702 (2)_표준기별 (2)" xfId="2916" xr:uid="{00000000-0005-0000-0000-0000AB040000}"/>
    <cellStyle name="#_cost9702 (2)_표준기별 (2)_수량산출" xfId="2917" xr:uid="{00000000-0005-0000-0000-0000AC040000}"/>
    <cellStyle name="#_cost9702 (2)_표준기별 (2)_육군 - 수량산출" xfId="2918" xr:uid="{00000000-0005-0000-0000-0000AD040000}"/>
    <cellStyle name="#_cost9702 (2)_표준기별 (2)_육군관로" xfId="2919" xr:uid="{00000000-0005-0000-0000-0000AE040000}"/>
    <cellStyle name="#_cost9702 (2)_표준기별 (2)_토토토" xfId="2920" xr:uid="{00000000-0005-0000-0000-0000AF040000}"/>
    <cellStyle name="#_cost9702_04년도서울지역굴착계획" xfId="2921" xr:uid="{00000000-0005-0000-0000-0000B0040000}"/>
    <cellStyle name="#_cost9702_04년도서울지역굴착계획_09_덕-H02통신공사_설계서_v4" xfId="6644" xr:uid="{00000000-0005-0000-0000-0000B1040000}"/>
    <cellStyle name="#_cost9702_04년도서울지역굴착계획_설계서_CCTV-V1" xfId="6645" xr:uid="{00000000-0005-0000-0000-0000B2040000}"/>
    <cellStyle name="#_cost9702_04년도서울지역굴착계획_수량산출" xfId="2922" xr:uid="{00000000-0005-0000-0000-0000B3040000}"/>
    <cellStyle name="#_cost9702_04년도서울지역굴착계획_수량산출_수신-VDS내역서_20061103" xfId="2923" xr:uid="{00000000-0005-0000-0000-0000B4040000}"/>
    <cellStyle name="#_cost9702_04년도서울지역굴착계획_수신-VDS내역서_20061103" xfId="2924" xr:uid="{00000000-0005-0000-0000-0000B5040000}"/>
    <cellStyle name="#_cost9702_04년도서울지역굴착계획_육군 - 수량산출" xfId="2925" xr:uid="{00000000-0005-0000-0000-0000B6040000}"/>
    <cellStyle name="#_cost9702_04년도서울지역굴착계획_육군 - 수량산출_수신-VDS내역서_20061103" xfId="2926" xr:uid="{00000000-0005-0000-0000-0000B7040000}"/>
    <cellStyle name="#_cost9702_04년도서울지역굴착계획_육군관로" xfId="2927" xr:uid="{00000000-0005-0000-0000-0000B8040000}"/>
    <cellStyle name="#_cost9702_04년도서울지역굴착계획_육군관로_수신-VDS내역서_20061103" xfId="2928" xr:uid="{00000000-0005-0000-0000-0000B9040000}"/>
    <cellStyle name="#_cost9702_04년도서울지역굴착계획_토토토" xfId="2929" xr:uid="{00000000-0005-0000-0000-0000BA040000}"/>
    <cellStyle name="#_cost9702_04년도서울지역굴착계획_토토토_수신-VDS내역서_20061103" xfId="2930" xr:uid="{00000000-0005-0000-0000-0000BB040000}"/>
    <cellStyle name="#_cost9702_09_덕-H02통신공사_설계서_v4" xfId="6646" xr:uid="{00000000-0005-0000-0000-0000BC040000}"/>
    <cellStyle name="#_cost9702_3월분(4차)" xfId="6647" xr:uid="{00000000-0005-0000-0000-0000BD040000}"/>
    <cellStyle name="#_cost9702_3월분(4차)_09_덕-H02통신공사_설계서_v4" xfId="6648" xr:uid="{00000000-0005-0000-0000-0000BE040000}"/>
    <cellStyle name="#_cost9702_3월분(4차)_기별내역서1차(1)" xfId="6649" xr:uid="{00000000-0005-0000-0000-0000BF040000}"/>
    <cellStyle name="#_cost9702_3월분(4차)_기별내역서1차(1)_09_덕-H02통신공사_설계서_v4" xfId="6650" xr:uid="{00000000-0005-0000-0000-0000C0040000}"/>
    <cellStyle name="#_cost9702_3월분(4차)_기별내역서1차(1)_두루넷임시(기별)" xfId="6651" xr:uid="{00000000-0005-0000-0000-0000C1040000}"/>
    <cellStyle name="#_cost9702_3월분(4차)_기별내역서1차(1)_두루넷임시(기별)_09_덕-H02통신공사_설계서_v4" xfId="6652" xr:uid="{00000000-0005-0000-0000-0000C2040000}"/>
    <cellStyle name="#_cost9702_3월분(4차)_기별내역서1차(1)_두루넷임시(기별)_설계서_CCTV-V1" xfId="6653" xr:uid="{00000000-0005-0000-0000-0000C3040000}"/>
    <cellStyle name="#_cost9702_3월분(4차)_기별내역서1차(1)_설계서_CCTV-V1" xfId="6654" xr:uid="{00000000-0005-0000-0000-0000C4040000}"/>
    <cellStyle name="#_cost9702_3월분(4차)_기별내역서1차(1)_양식(기별)" xfId="6655" xr:uid="{00000000-0005-0000-0000-0000C5040000}"/>
    <cellStyle name="#_cost9702_3월분(4차)_기별내역서1차(1)_양식(기별)_09_덕-H02통신공사_설계서_v4" xfId="6656" xr:uid="{00000000-0005-0000-0000-0000C6040000}"/>
    <cellStyle name="#_cost9702_3월분(4차)_기별내역서1차(1)_양식(기별)_설계서_CCTV-V1" xfId="6657" xr:uid="{00000000-0005-0000-0000-0000C7040000}"/>
    <cellStyle name="#_cost9702_3월분(4차)_기별내역서1차(1)_양식(파워콤)" xfId="6658" xr:uid="{00000000-0005-0000-0000-0000C8040000}"/>
    <cellStyle name="#_cost9702_3월분(4차)_기별내역서1차(1)_양식(파워콤)_09_덕-H02통신공사_설계서_v4" xfId="6659" xr:uid="{00000000-0005-0000-0000-0000C9040000}"/>
    <cellStyle name="#_cost9702_3월분(4차)_기별내역서1차(1)_양식(파워콤)_설계서_CCTV-V1" xfId="6660" xr:uid="{00000000-0005-0000-0000-0000CA040000}"/>
    <cellStyle name="#_cost9702_3월분(4차)_설계서_CCTV-V1" xfId="6661" xr:uid="{00000000-0005-0000-0000-0000CB040000}"/>
    <cellStyle name="#_cost9702_3월분(4차)_순서정리" xfId="6662" xr:uid="{00000000-0005-0000-0000-0000CC040000}"/>
    <cellStyle name="#_cost9702_3월분(4차)_순서정리_09_덕-H02통신공사_설계서_v4" xfId="6663" xr:uid="{00000000-0005-0000-0000-0000CD040000}"/>
    <cellStyle name="#_cost9702_3월분(4차)_순서정리_기별내역서1차(1)" xfId="6664" xr:uid="{00000000-0005-0000-0000-0000CE040000}"/>
    <cellStyle name="#_cost9702_3월분(4차)_순서정리_기별내역서1차(1)_09_덕-H02통신공사_설계서_v4" xfId="6665" xr:uid="{00000000-0005-0000-0000-0000CF040000}"/>
    <cellStyle name="#_cost9702_3월분(4차)_순서정리_기별내역서1차(1)_두루넷임시(기별)" xfId="6666" xr:uid="{00000000-0005-0000-0000-0000D0040000}"/>
    <cellStyle name="#_cost9702_3월분(4차)_순서정리_기별내역서1차(1)_두루넷임시(기별)_09_덕-H02통신공사_설계서_v4" xfId="6667" xr:uid="{00000000-0005-0000-0000-0000D1040000}"/>
    <cellStyle name="#_cost9702_3월분(4차)_순서정리_기별내역서1차(1)_두루넷임시(기별)_설계서_CCTV-V1" xfId="6668" xr:uid="{00000000-0005-0000-0000-0000D2040000}"/>
    <cellStyle name="#_cost9702_3월분(4차)_순서정리_기별내역서1차(1)_설계서_CCTV-V1" xfId="6669" xr:uid="{00000000-0005-0000-0000-0000D3040000}"/>
    <cellStyle name="#_cost9702_3월분(4차)_순서정리_기별내역서1차(1)_양식(기별)" xfId="6670" xr:uid="{00000000-0005-0000-0000-0000D4040000}"/>
    <cellStyle name="#_cost9702_3월분(4차)_순서정리_기별내역서1차(1)_양식(기별)_09_덕-H02통신공사_설계서_v4" xfId="6671" xr:uid="{00000000-0005-0000-0000-0000D5040000}"/>
    <cellStyle name="#_cost9702_3월분(4차)_순서정리_기별내역서1차(1)_양식(기별)_설계서_CCTV-V1" xfId="6672" xr:uid="{00000000-0005-0000-0000-0000D6040000}"/>
    <cellStyle name="#_cost9702_3월분(4차)_순서정리_기별내역서1차(1)_양식(파워콤)" xfId="6673" xr:uid="{00000000-0005-0000-0000-0000D7040000}"/>
    <cellStyle name="#_cost9702_3월분(4차)_순서정리_기별내역서1차(1)_양식(파워콤)_09_덕-H02통신공사_설계서_v4" xfId="6674" xr:uid="{00000000-0005-0000-0000-0000D8040000}"/>
    <cellStyle name="#_cost9702_3월분(4차)_순서정리_기별내역서1차(1)_양식(파워콤)_설계서_CCTV-V1" xfId="6675" xr:uid="{00000000-0005-0000-0000-0000D9040000}"/>
    <cellStyle name="#_cost9702_3월분(4차)_순서정리_설계서_CCTV-V1" xfId="6676" xr:uid="{00000000-0005-0000-0000-0000DA040000}"/>
    <cellStyle name="#_cost9702_4월분(5차)" xfId="6677" xr:uid="{00000000-0005-0000-0000-0000DB040000}"/>
    <cellStyle name="#_cost9702_4월분(5차)_09_덕-H02통신공사_설계서_v4" xfId="6678" xr:uid="{00000000-0005-0000-0000-0000DC040000}"/>
    <cellStyle name="#_cost9702_4월분(5차)_기별내역서1차(1)" xfId="6679" xr:uid="{00000000-0005-0000-0000-0000DD040000}"/>
    <cellStyle name="#_cost9702_4월분(5차)_기별내역서1차(1)_09_덕-H02통신공사_설계서_v4" xfId="6680" xr:uid="{00000000-0005-0000-0000-0000DE040000}"/>
    <cellStyle name="#_cost9702_4월분(5차)_기별내역서1차(1)_두루넷임시(기별)" xfId="6681" xr:uid="{00000000-0005-0000-0000-0000DF040000}"/>
    <cellStyle name="#_cost9702_4월분(5차)_기별내역서1차(1)_두루넷임시(기별)_09_덕-H02통신공사_설계서_v4" xfId="6682" xr:uid="{00000000-0005-0000-0000-0000E0040000}"/>
    <cellStyle name="#_cost9702_4월분(5차)_기별내역서1차(1)_두루넷임시(기별)_설계서_CCTV-V1" xfId="6683" xr:uid="{00000000-0005-0000-0000-0000E1040000}"/>
    <cellStyle name="#_cost9702_4월분(5차)_기별내역서1차(1)_설계서_CCTV-V1" xfId="6684" xr:uid="{00000000-0005-0000-0000-0000E2040000}"/>
    <cellStyle name="#_cost9702_4월분(5차)_기별내역서1차(1)_양식(기별)" xfId="6685" xr:uid="{00000000-0005-0000-0000-0000E3040000}"/>
    <cellStyle name="#_cost9702_4월분(5차)_기별내역서1차(1)_양식(기별)_09_덕-H02통신공사_설계서_v4" xfId="6686" xr:uid="{00000000-0005-0000-0000-0000E4040000}"/>
    <cellStyle name="#_cost9702_4월분(5차)_기별내역서1차(1)_양식(기별)_설계서_CCTV-V1" xfId="6687" xr:uid="{00000000-0005-0000-0000-0000E5040000}"/>
    <cellStyle name="#_cost9702_4월분(5차)_기별내역서1차(1)_양식(파워콤)" xfId="6688" xr:uid="{00000000-0005-0000-0000-0000E6040000}"/>
    <cellStyle name="#_cost9702_4월분(5차)_기별내역서1차(1)_양식(파워콤)_09_덕-H02통신공사_설계서_v4" xfId="6689" xr:uid="{00000000-0005-0000-0000-0000E7040000}"/>
    <cellStyle name="#_cost9702_4월분(5차)_기별내역서1차(1)_양식(파워콤)_설계서_CCTV-V1" xfId="6690" xr:uid="{00000000-0005-0000-0000-0000E8040000}"/>
    <cellStyle name="#_cost9702_4월분(5차)_설계서_CCTV-V1" xfId="6691" xr:uid="{00000000-0005-0000-0000-0000E9040000}"/>
    <cellStyle name="#_cost9702_4월분(5차)_순서정리" xfId="6692" xr:uid="{00000000-0005-0000-0000-0000EA040000}"/>
    <cellStyle name="#_cost9702_4월분(5차)_순서정리_09_덕-H02통신공사_설계서_v4" xfId="6693" xr:uid="{00000000-0005-0000-0000-0000EB040000}"/>
    <cellStyle name="#_cost9702_4월분(5차)_순서정리_기별내역서1차(1)" xfId="6694" xr:uid="{00000000-0005-0000-0000-0000EC040000}"/>
    <cellStyle name="#_cost9702_4월분(5차)_순서정리_기별내역서1차(1)_09_덕-H02통신공사_설계서_v4" xfId="6695" xr:uid="{00000000-0005-0000-0000-0000ED040000}"/>
    <cellStyle name="#_cost9702_4월분(5차)_순서정리_기별내역서1차(1)_두루넷임시(기별)" xfId="6696" xr:uid="{00000000-0005-0000-0000-0000EE040000}"/>
    <cellStyle name="#_cost9702_4월분(5차)_순서정리_기별내역서1차(1)_두루넷임시(기별)_09_덕-H02통신공사_설계서_v4" xfId="6697" xr:uid="{00000000-0005-0000-0000-0000EF040000}"/>
    <cellStyle name="#_cost9702_4월분(5차)_순서정리_기별내역서1차(1)_두루넷임시(기별)_설계서_CCTV-V1" xfId="6698" xr:uid="{00000000-0005-0000-0000-0000F0040000}"/>
    <cellStyle name="#_cost9702_4월분(5차)_순서정리_기별내역서1차(1)_설계서_CCTV-V1" xfId="6699" xr:uid="{00000000-0005-0000-0000-0000F1040000}"/>
    <cellStyle name="#_cost9702_4월분(5차)_순서정리_기별내역서1차(1)_양식(기별)" xfId="6700" xr:uid="{00000000-0005-0000-0000-0000F2040000}"/>
    <cellStyle name="#_cost9702_4월분(5차)_순서정리_기별내역서1차(1)_양식(기별)_09_덕-H02통신공사_설계서_v4" xfId="6701" xr:uid="{00000000-0005-0000-0000-0000F3040000}"/>
    <cellStyle name="#_cost9702_4월분(5차)_순서정리_기별내역서1차(1)_양식(기별)_설계서_CCTV-V1" xfId="6702" xr:uid="{00000000-0005-0000-0000-0000F4040000}"/>
    <cellStyle name="#_cost9702_4월분(5차)_순서정리_기별내역서1차(1)_양식(파워콤)" xfId="6703" xr:uid="{00000000-0005-0000-0000-0000F5040000}"/>
    <cellStyle name="#_cost9702_4월분(5차)_순서정리_기별내역서1차(1)_양식(파워콤)_09_덕-H02통신공사_설계서_v4" xfId="6704" xr:uid="{00000000-0005-0000-0000-0000F6040000}"/>
    <cellStyle name="#_cost9702_4월분(5차)_순서정리_기별내역서1차(1)_양식(파워콤)_설계서_CCTV-V1" xfId="6705" xr:uid="{00000000-0005-0000-0000-0000F7040000}"/>
    <cellStyle name="#_cost9702_4월분(5차)_순서정리_설계서_CCTV-V1" xfId="6706" xr:uid="{00000000-0005-0000-0000-0000F8040000}"/>
    <cellStyle name="#_cost9702_Book1" xfId="2931" xr:uid="{00000000-0005-0000-0000-0000F9040000}"/>
    <cellStyle name="#_cost9702_Book1_04년도서울지역굴착계획" xfId="2932" xr:uid="{00000000-0005-0000-0000-0000FA040000}"/>
    <cellStyle name="#_cost9702_Book1_04년도서울지역굴착계획_09_덕-H02통신공사_설계서_v4" xfId="6707" xr:uid="{00000000-0005-0000-0000-0000FB040000}"/>
    <cellStyle name="#_cost9702_Book1_04년도서울지역굴착계획_설계서_CCTV-V1" xfId="6708" xr:uid="{00000000-0005-0000-0000-0000FC040000}"/>
    <cellStyle name="#_cost9702_Book1_04년도서울지역굴착계획_수량산출" xfId="2933" xr:uid="{00000000-0005-0000-0000-0000FD040000}"/>
    <cellStyle name="#_cost9702_Book1_04년도서울지역굴착계획_수량산출_수신-VDS내역서_20061103" xfId="2934" xr:uid="{00000000-0005-0000-0000-0000FE040000}"/>
    <cellStyle name="#_cost9702_Book1_04년도서울지역굴착계획_수신-VDS내역서_20061103" xfId="2935" xr:uid="{00000000-0005-0000-0000-0000FF040000}"/>
    <cellStyle name="#_cost9702_Book1_04년도서울지역굴착계획_육군 - 수량산출" xfId="2936" xr:uid="{00000000-0005-0000-0000-000000050000}"/>
    <cellStyle name="#_cost9702_Book1_04년도서울지역굴착계획_육군 - 수량산출_수신-VDS내역서_20061103" xfId="2937" xr:uid="{00000000-0005-0000-0000-000001050000}"/>
    <cellStyle name="#_cost9702_Book1_04년도서울지역굴착계획_육군관로" xfId="2938" xr:uid="{00000000-0005-0000-0000-000002050000}"/>
    <cellStyle name="#_cost9702_Book1_04년도서울지역굴착계획_육군관로_수신-VDS내역서_20061103" xfId="2939" xr:uid="{00000000-0005-0000-0000-000003050000}"/>
    <cellStyle name="#_cost9702_Book1_04년도서울지역굴착계획_토토토" xfId="2940" xr:uid="{00000000-0005-0000-0000-000004050000}"/>
    <cellStyle name="#_cost9702_Book1_04년도서울지역굴착계획_토토토_수신-VDS내역서_20061103" xfId="2941" xr:uid="{00000000-0005-0000-0000-000005050000}"/>
    <cellStyle name="#_cost9702_Book1_09_덕-H02통신공사_설계서_v4" xfId="6709" xr:uid="{00000000-0005-0000-0000-000006050000}"/>
    <cellStyle name="#_cost9702_Book1_설계서_CCTV-V1" xfId="6710" xr:uid="{00000000-0005-0000-0000-000007050000}"/>
    <cellStyle name="#_cost9702_Book1_수량산출" xfId="2942" xr:uid="{00000000-0005-0000-0000-000008050000}"/>
    <cellStyle name="#_cost9702_Book1_수량산출_수신-VDS내역서_20061103" xfId="2943" xr:uid="{00000000-0005-0000-0000-000009050000}"/>
    <cellStyle name="#_cost9702_Book1_수신-VDS내역서_20061103" xfId="2944" xr:uid="{00000000-0005-0000-0000-00000A050000}"/>
    <cellStyle name="#_cost9702_Book1_육군 - 수량산출" xfId="2945" xr:uid="{00000000-0005-0000-0000-00000B050000}"/>
    <cellStyle name="#_cost9702_Book1_육군 - 수량산출_수신-VDS내역서_20061103" xfId="2946" xr:uid="{00000000-0005-0000-0000-00000C050000}"/>
    <cellStyle name="#_cost9702_Book1_육군관로" xfId="2947" xr:uid="{00000000-0005-0000-0000-00000D050000}"/>
    <cellStyle name="#_cost9702_Book1_육군관로_수신-VDS내역서_20061103" xfId="2948" xr:uid="{00000000-0005-0000-0000-00000E050000}"/>
    <cellStyle name="#_cost9702_Book1_토토토" xfId="2949" xr:uid="{00000000-0005-0000-0000-00000F050000}"/>
    <cellStyle name="#_cost9702_Book1_토토토_수신-VDS내역서_20061103" xfId="2950" xr:uid="{00000000-0005-0000-0000-000010050000}"/>
    <cellStyle name="#_cost9702_NEGS" xfId="2951" xr:uid="{00000000-0005-0000-0000-000011050000}"/>
    <cellStyle name="#_cost9702_NEGS_04년도서울지역굴착계획" xfId="2952" xr:uid="{00000000-0005-0000-0000-000012050000}"/>
    <cellStyle name="#_cost9702_NEGS_04년도서울지역굴착계획_09_덕-H02통신공사_설계서_v4" xfId="6711" xr:uid="{00000000-0005-0000-0000-000013050000}"/>
    <cellStyle name="#_cost9702_NEGS_04년도서울지역굴착계획_설계서_CCTV-V1" xfId="6712" xr:uid="{00000000-0005-0000-0000-000014050000}"/>
    <cellStyle name="#_cost9702_NEGS_04년도서울지역굴착계획_수량산출" xfId="2953" xr:uid="{00000000-0005-0000-0000-000015050000}"/>
    <cellStyle name="#_cost9702_NEGS_04년도서울지역굴착계획_수량산출_수신-VDS내역서_20061103" xfId="2954" xr:uid="{00000000-0005-0000-0000-000016050000}"/>
    <cellStyle name="#_cost9702_NEGS_04년도서울지역굴착계획_수신-VDS내역서_20061103" xfId="2955" xr:uid="{00000000-0005-0000-0000-000017050000}"/>
    <cellStyle name="#_cost9702_NEGS_04년도서울지역굴착계획_육군 - 수량산출" xfId="2956" xr:uid="{00000000-0005-0000-0000-000018050000}"/>
    <cellStyle name="#_cost9702_NEGS_04년도서울지역굴착계획_육군 - 수량산출_수신-VDS내역서_20061103" xfId="2957" xr:uid="{00000000-0005-0000-0000-000019050000}"/>
    <cellStyle name="#_cost9702_NEGS_04년도서울지역굴착계획_육군관로" xfId="2958" xr:uid="{00000000-0005-0000-0000-00001A050000}"/>
    <cellStyle name="#_cost9702_NEGS_04년도서울지역굴착계획_육군관로_수신-VDS내역서_20061103" xfId="2959" xr:uid="{00000000-0005-0000-0000-00001B050000}"/>
    <cellStyle name="#_cost9702_NEGS_04년도서울지역굴착계획_토토토" xfId="2960" xr:uid="{00000000-0005-0000-0000-00001C050000}"/>
    <cellStyle name="#_cost9702_NEGS_04년도서울지역굴착계획_토토토_수신-VDS내역서_20061103" xfId="2961" xr:uid="{00000000-0005-0000-0000-00001D050000}"/>
    <cellStyle name="#_cost9702_NEGS_09_덕-H02통신공사_설계서_v4" xfId="6713" xr:uid="{00000000-0005-0000-0000-00001E050000}"/>
    <cellStyle name="#_cost9702_NEGS_설계서_CCTV-V1" xfId="6714" xr:uid="{00000000-0005-0000-0000-00001F050000}"/>
    <cellStyle name="#_cost9702_NEGS_수량산출" xfId="2962" xr:uid="{00000000-0005-0000-0000-000020050000}"/>
    <cellStyle name="#_cost9702_NEGS_수량산출_수신-VDS내역서_20061103" xfId="2963" xr:uid="{00000000-0005-0000-0000-000021050000}"/>
    <cellStyle name="#_cost9702_NEGS_수신-VDS내역서_20061103" xfId="2964" xr:uid="{00000000-0005-0000-0000-000022050000}"/>
    <cellStyle name="#_cost9702_NEGS_육군 - 수량산출" xfId="2965" xr:uid="{00000000-0005-0000-0000-000023050000}"/>
    <cellStyle name="#_cost9702_NEGS_육군 - 수량산출_수신-VDS내역서_20061103" xfId="2966" xr:uid="{00000000-0005-0000-0000-000024050000}"/>
    <cellStyle name="#_cost9702_NEGS_육군관로" xfId="2967" xr:uid="{00000000-0005-0000-0000-000025050000}"/>
    <cellStyle name="#_cost9702_NEGS_육군관로_수신-VDS내역서_20061103" xfId="2968" xr:uid="{00000000-0005-0000-0000-000026050000}"/>
    <cellStyle name="#_cost9702_NEGS_토토토" xfId="2969" xr:uid="{00000000-0005-0000-0000-000027050000}"/>
    <cellStyle name="#_cost9702_NEGS_토토토_수신-VDS내역서_20061103" xfId="2970" xr:uid="{00000000-0005-0000-0000-000028050000}"/>
    <cellStyle name="#_cost9702_SKT CS-A4정산내역서 최종12.3" xfId="2971" xr:uid="{00000000-0005-0000-0000-000029050000}"/>
    <cellStyle name="#_cost9702_SKT CS-A4정산내역서 최종12.3_04년도서울지역굴착계획" xfId="2972" xr:uid="{00000000-0005-0000-0000-00002A050000}"/>
    <cellStyle name="#_cost9702_SKT CS-A4정산내역서 최종12.3_04년도서울지역굴착계획_09_덕-H02통신공사_설계서_v4" xfId="6715" xr:uid="{00000000-0005-0000-0000-00002B050000}"/>
    <cellStyle name="#_cost9702_SKT CS-A4정산내역서 최종12.3_04년도서울지역굴착계획_설계서_CCTV-V1" xfId="6716" xr:uid="{00000000-0005-0000-0000-00002C050000}"/>
    <cellStyle name="#_cost9702_SKT CS-A4정산내역서 최종12.3_04년도서울지역굴착계획_수량산출" xfId="2973" xr:uid="{00000000-0005-0000-0000-00002D050000}"/>
    <cellStyle name="#_cost9702_SKT CS-A4정산내역서 최종12.3_04년도서울지역굴착계획_수량산출_수신-VDS내역서_20061103" xfId="2974" xr:uid="{00000000-0005-0000-0000-00002E050000}"/>
    <cellStyle name="#_cost9702_SKT CS-A4정산내역서 최종12.3_04년도서울지역굴착계획_수신-VDS내역서_20061103" xfId="2975" xr:uid="{00000000-0005-0000-0000-00002F050000}"/>
    <cellStyle name="#_cost9702_SKT CS-A4정산내역서 최종12.3_04년도서울지역굴착계획_육군 - 수량산출" xfId="2976" xr:uid="{00000000-0005-0000-0000-000030050000}"/>
    <cellStyle name="#_cost9702_SKT CS-A4정산내역서 최종12.3_04년도서울지역굴착계획_육군 - 수량산출_수신-VDS내역서_20061103" xfId="2977" xr:uid="{00000000-0005-0000-0000-000031050000}"/>
    <cellStyle name="#_cost9702_SKT CS-A4정산내역서 최종12.3_04년도서울지역굴착계획_육군관로" xfId="2978" xr:uid="{00000000-0005-0000-0000-000032050000}"/>
    <cellStyle name="#_cost9702_SKT CS-A4정산내역서 최종12.3_04년도서울지역굴착계획_육군관로_수신-VDS내역서_20061103" xfId="2979" xr:uid="{00000000-0005-0000-0000-000033050000}"/>
    <cellStyle name="#_cost9702_SKT CS-A4정산내역서 최종12.3_04년도서울지역굴착계획_토토토" xfId="2980" xr:uid="{00000000-0005-0000-0000-000034050000}"/>
    <cellStyle name="#_cost9702_SKT CS-A4정산내역서 최종12.3_04년도서울지역굴착계획_토토토_수신-VDS내역서_20061103" xfId="2981" xr:uid="{00000000-0005-0000-0000-000035050000}"/>
    <cellStyle name="#_cost9702_SKT CS-A4정산내역서 최종12.3_09_덕-H02통신공사_설계서_v4" xfId="6717" xr:uid="{00000000-0005-0000-0000-000036050000}"/>
    <cellStyle name="#_cost9702_SKT CS-A4정산내역서 최종12.3_설계서_CCTV-V1" xfId="6718" xr:uid="{00000000-0005-0000-0000-000037050000}"/>
    <cellStyle name="#_cost9702_SKT CS-A4정산내역서 최종12.3_수량산출" xfId="2982" xr:uid="{00000000-0005-0000-0000-000038050000}"/>
    <cellStyle name="#_cost9702_SKT CS-A4정산내역서 최종12.3_수량산출_수신-VDS내역서_20061103" xfId="2983" xr:uid="{00000000-0005-0000-0000-000039050000}"/>
    <cellStyle name="#_cost9702_SKT CS-A4정산내역서 최종12.3_수신-VDS내역서_20061103" xfId="2984" xr:uid="{00000000-0005-0000-0000-00003A050000}"/>
    <cellStyle name="#_cost9702_SKT CS-A4정산내역서 최종12.3_육군 - 수량산출" xfId="2985" xr:uid="{00000000-0005-0000-0000-00003B050000}"/>
    <cellStyle name="#_cost9702_SKT CS-A4정산내역서 최종12.3_육군 - 수량산출_수신-VDS내역서_20061103" xfId="2986" xr:uid="{00000000-0005-0000-0000-00003C050000}"/>
    <cellStyle name="#_cost9702_SKT CS-A4정산내역서 최종12.3_육군관로" xfId="2987" xr:uid="{00000000-0005-0000-0000-00003D050000}"/>
    <cellStyle name="#_cost9702_SKT CS-A4정산내역서 최종12.3_육군관로_수신-VDS내역서_20061103" xfId="2988" xr:uid="{00000000-0005-0000-0000-00003E050000}"/>
    <cellStyle name="#_cost9702_SKT CS-A4정산내역서 최종12.3_토토토" xfId="2989" xr:uid="{00000000-0005-0000-0000-00003F050000}"/>
    <cellStyle name="#_cost9702_SKT CS-A4정산내역서 최종12.3_토토토_수신-VDS내역서_20061103" xfId="2990" xr:uid="{00000000-0005-0000-0000-000040050000}"/>
    <cellStyle name="#_cost9702_SKT CS-A4정산내역서+CS-A2" xfId="2991" xr:uid="{00000000-0005-0000-0000-000041050000}"/>
    <cellStyle name="#_cost9702_SKT CS-A4정산내역서+CS-A2_04년도서울지역굴착계획" xfId="2992" xr:uid="{00000000-0005-0000-0000-000042050000}"/>
    <cellStyle name="#_cost9702_SKT CS-A4정산내역서+CS-A2_04년도서울지역굴착계획_09_덕-H02통신공사_설계서_v4" xfId="6719" xr:uid="{00000000-0005-0000-0000-000043050000}"/>
    <cellStyle name="#_cost9702_SKT CS-A4정산내역서+CS-A2_04년도서울지역굴착계획_설계서_CCTV-V1" xfId="6720" xr:uid="{00000000-0005-0000-0000-000044050000}"/>
    <cellStyle name="#_cost9702_SKT CS-A4정산내역서+CS-A2_04년도서울지역굴착계획_수량산출" xfId="2993" xr:uid="{00000000-0005-0000-0000-000045050000}"/>
    <cellStyle name="#_cost9702_SKT CS-A4정산내역서+CS-A2_04년도서울지역굴착계획_수량산출_수신-VDS내역서_20061103" xfId="2994" xr:uid="{00000000-0005-0000-0000-000046050000}"/>
    <cellStyle name="#_cost9702_SKT CS-A4정산내역서+CS-A2_04년도서울지역굴착계획_수신-VDS내역서_20061103" xfId="2995" xr:uid="{00000000-0005-0000-0000-000047050000}"/>
    <cellStyle name="#_cost9702_SKT CS-A4정산내역서+CS-A2_04년도서울지역굴착계획_육군 - 수량산출" xfId="2996" xr:uid="{00000000-0005-0000-0000-000048050000}"/>
    <cellStyle name="#_cost9702_SKT CS-A4정산내역서+CS-A2_04년도서울지역굴착계획_육군 - 수량산출_수신-VDS내역서_20061103" xfId="2997" xr:uid="{00000000-0005-0000-0000-000049050000}"/>
    <cellStyle name="#_cost9702_SKT CS-A4정산내역서+CS-A2_04년도서울지역굴착계획_육군관로" xfId="2998" xr:uid="{00000000-0005-0000-0000-00004A050000}"/>
    <cellStyle name="#_cost9702_SKT CS-A4정산내역서+CS-A2_04년도서울지역굴착계획_육군관로_수신-VDS내역서_20061103" xfId="2999" xr:uid="{00000000-0005-0000-0000-00004B050000}"/>
    <cellStyle name="#_cost9702_SKT CS-A4정산내역서+CS-A2_04년도서울지역굴착계획_토토토" xfId="3000" xr:uid="{00000000-0005-0000-0000-00004C050000}"/>
    <cellStyle name="#_cost9702_SKT CS-A4정산내역서+CS-A2_04년도서울지역굴착계획_토토토_수신-VDS내역서_20061103" xfId="3001" xr:uid="{00000000-0005-0000-0000-00004D050000}"/>
    <cellStyle name="#_cost9702_SKT CS-A4정산내역서+CS-A2_09_덕-H02통신공사_설계서_v4" xfId="6721" xr:uid="{00000000-0005-0000-0000-00004E050000}"/>
    <cellStyle name="#_cost9702_SKT CS-A4정산내역서+CS-A2_설계서_CCTV-V1" xfId="6722" xr:uid="{00000000-0005-0000-0000-00004F050000}"/>
    <cellStyle name="#_cost9702_SKT CS-A4정산내역서+CS-A2_수량산출" xfId="3002" xr:uid="{00000000-0005-0000-0000-000050050000}"/>
    <cellStyle name="#_cost9702_SKT CS-A4정산내역서+CS-A2_수량산출_수신-VDS내역서_20061103" xfId="3003" xr:uid="{00000000-0005-0000-0000-000051050000}"/>
    <cellStyle name="#_cost9702_SKT CS-A4정산내역서+CS-A2_수신-VDS내역서_20061103" xfId="3004" xr:uid="{00000000-0005-0000-0000-000052050000}"/>
    <cellStyle name="#_cost9702_SKT CS-A4정산내역서+CS-A2_육군 - 수량산출" xfId="3005" xr:uid="{00000000-0005-0000-0000-000053050000}"/>
    <cellStyle name="#_cost9702_SKT CS-A4정산내역서+CS-A2_육군 - 수량산출_수신-VDS내역서_20061103" xfId="3006" xr:uid="{00000000-0005-0000-0000-000054050000}"/>
    <cellStyle name="#_cost9702_SKT CS-A4정산내역서+CS-A2_육군관로" xfId="3007" xr:uid="{00000000-0005-0000-0000-000055050000}"/>
    <cellStyle name="#_cost9702_SKT CS-A4정산내역서+CS-A2_육군관로_수신-VDS내역서_20061103" xfId="3008" xr:uid="{00000000-0005-0000-0000-000056050000}"/>
    <cellStyle name="#_cost9702_SKT CS-A4정산내역서+CS-A2_토토토" xfId="3009" xr:uid="{00000000-0005-0000-0000-000057050000}"/>
    <cellStyle name="#_cost9702_SKT CS-A4정산내역서+CS-A2_토토토_수신-VDS내역서_20061103" xfId="3010" xr:uid="{00000000-0005-0000-0000-000058050000}"/>
    <cellStyle name="#_cost9702_강동구청허가신청" xfId="3011" xr:uid="{00000000-0005-0000-0000-000059050000}"/>
    <cellStyle name="#_cost9702_강동구청허가신청_04년도서울지역굴착계획" xfId="3012" xr:uid="{00000000-0005-0000-0000-00005A050000}"/>
    <cellStyle name="#_cost9702_강동구청허가신청_04년도서울지역굴착계획_09_덕-H02통신공사_설계서_v4" xfId="6723" xr:uid="{00000000-0005-0000-0000-00005B050000}"/>
    <cellStyle name="#_cost9702_강동구청허가신청_04년도서울지역굴착계획_설계서_CCTV-V1" xfId="6724" xr:uid="{00000000-0005-0000-0000-00005C050000}"/>
    <cellStyle name="#_cost9702_강동구청허가신청_04년도서울지역굴착계획_수신-VDS내역서_20061103" xfId="3013" xr:uid="{00000000-0005-0000-0000-00005D050000}"/>
    <cellStyle name="#_cost9702_강동구청허가신청_09_덕-H02통신공사_설계서_v4" xfId="6725" xr:uid="{00000000-0005-0000-0000-00005E050000}"/>
    <cellStyle name="#_cost9702_강동구청허가신청_설계서_CCTV-V1" xfId="6726" xr:uid="{00000000-0005-0000-0000-00005F050000}"/>
    <cellStyle name="#_cost9702_강동구청허가신청_수신-VDS내역서_20061103" xfId="3014" xr:uid="{00000000-0005-0000-0000-000060050000}"/>
    <cellStyle name="#_cost9702_기별내역서1차(1)" xfId="6727" xr:uid="{00000000-0005-0000-0000-000061050000}"/>
    <cellStyle name="#_cost9702_기별내역서1차(1)_09_덕-H02통신공사_설계서_v4" xfId="6728" xr:uid="{00000000-0005-0000-0000-000062050000}"/>
    <cellStyle name="#_cost9702_기별내역서1차(1)_두루넷임시(기별)" xfId="6729" xr:uid="{00000000-0005-0000-0000-000063050000}"/>
    <cellStyle name="#_cost9702_기별내역서1차(1)_두루넷임시(기별)_09_덕-H02통신공사_설계서_v4" xfId="6730" xr:uid="{00000000-0005-0000-0000-000064050000}"/>
    <cellStyle name="#_cost9702_기별내역서1차(1)_두루넷임시(기별)_설계서_CCTV-V1" xfId="6731" xr:uid="{00000000-0005-0000-0000-000065050000}"/>
    <cellStyle name="#_cost9702_기별내역서1차(1)_설계서_CCTV-V1" xfId="6732" xr:uid="{00000000-0005-0000-0000-000066050000}"/>
    <cellStyle name="#_cost9702_기별내역서1차(1)_양식(기별)" xfId="6733" xr:uid="{00000000-0005-0000-0000-000067050000}"/>
    <cellStyle name="#_cost9702_기별내역서1차(1)_양식(기별)_09_덕-H02통신공사_설계서_v4" xfId="6734" xr:uid="{00000000-0005-0000-0000-000068050000}"/>
    <cellStyle name="#_cost9702_기별내역서1차(1)_양식(기별)_설계서_CCTV-V1" xfId="6735" xr:uid="{00000000-0005-0000-0000-000069050000}"/>
    <cellStyle name="#_cost9702_기별내역서1차(1)_양식(파워콤)" xfId="6736" xr:uid="{00000000-0005-0000-0000-00006A050000}"/>
    <cellStyle name="#_cost9702_기별내역서1차(1)_양식(파워콤)_09_덕-H02통신공사_설계서_v4" xfId="6737" xr:uid="{00000000-0005-0000-0000-00006B050000}"/>
    <cellStyle name="#_cost9702_기별내역서1차(1)_양식(파워콤)_설계서_CCTV-V1" xfId="6738" xr:uid="{00000000-0005-0000-0000-00006C050000}"/>
    <cellStyle name="#_cost9702_담당자" xfId="6739" xr:uid="{00000000-0005-0000-0000-00006D050000}"/>
    <cellStyle name="#_cost9702_담당자_설계종합514" xfId="6740" xr:uid="{00000000-0005-0000-0000-00006E050000}"/>
    <cellStyle name="#_cost9702_도로공사신고서(수서경찰서)" xfId="3015" xr:uid="{00000000-0005-0000-0000-00006F050000}"/>
    <cellStyle name="#_cost9702_도로공사신고서(수서경찰서)_04년도서울지역굴착계획" xfId="3016" xr:uid="{00000000-0005-0000-0000-000070050000}"/>
    <cellStyle name="#_cost9702_도로공사신고서(수서경찰서)_04년도서울지역굴착계획_09_덕-H02통신공사_설계서_v4" xfId="6741" xr:uid="{00000000-0005-0000-0000-000071050000}"/>
    <cellStyle name="#_cost9702_도로공사신고서(수서경찰서)_04년도서울지역굴착계획_설계서_CCTV-V1" xfId="6742" xr:uid="{00000000-0005-0000-0000-000072050000}"/>
    <cellStyle name="#_cost9702_도로공사신고서(수서경찰서)_04년도서울지역굴착계획_수량산출" xfId="3017" xr:uid="{00000000-0005-0000-0000-000073050000}"/>
    <cellStyle name="#_cost9702_도로공사신고서(수서경찰서)_04년도서울지역굴착계획_수량산출_수신-VDS내역서_20061103" xfId="3018" xr:uid="{00000000-0005-0000-0000-000074050000}"/>
    <cellStyle name="#_cost9702_도로공사신고서(수서경찰서)_04년도서울지역굴착계획_수신-VDS내역서_20061103" xfId="3019" xr:uid="{00000000-0005-0000-0000-000075050000}"/>
    <cellStyle name="#_cost9702_도로공사신고서(수서경찰서)_04년도서울지역굴착계획_육군 - 수량산출" xfId="3020" xr:uid="{00000000-0005-0000-0000-000076050000}"/>
    <cellStyle name="#_cost9702_도로공사신고서(수서경찰서)_04년도서울지역굴착계획_육군 - 수량산출_수신-VDS내역서_20061103" xfId="3021" xr:uid="{00000000-0005-0000-0000-000077050000}"/>
    <cellStyle name="#_cost9702_도로공사신고서(수서경찰서)_04년도서울지역굴착계획_육군관로" xfId="3022" xr:uid="{00000000-0005-0000-0000-000078050000}"/>
    <cellStyle name="#_cost9702_도로공사신고서(수서경찰서)_04년도서울지역굴착계획_육군관로_수신-VDS내역서_20061103" xfId="3023" xr:uid="{00000000-0005-0000-0000-000079050000}"/>
    <cellStyle name="#_cost9702_도로공사신고서(수서경찰서)_04년도서울지역굴착계획_토토토" xfId="3024" xr:uid="{00000000-0005-0000-0000-00007A050000}"/>
    <cellStyle name="#_cost9702_도로공사신고서(수서경찰서)_04년도서울지역굴착계획_토토토_수신-VDS내역서_20061103" xfId="3025" xr:uid="{00000000-0005-0000-0000-00007B050000}"/>
    <cellStyle name="#_cost9702_도로공사신고서(수서경찰서)_09_덕-H02통신공사_설계서_v4" xfId="6743" xr:uid="{00000000-0005-0000-0000-00007C050000}"/>
    <cellStyle name="#_cost9702_도로공사신고서(수서경찰서)_설계서_CCTV-V1" xfId="6744" xr:uid="{00000000-0005-0000-0000-00007D050000}"/>
    <cellStyle name="#_cost9702_도로공사신고서(수서경찰서)_수량산출" xfId="3026" xr:uid="{00000000-0005-0000-0000-00007E050000}"/>
    <cellStyle name="#_cost9702_도로공사신고서(수서경찰서)_수량산출_수신-VDS내역서_20061103" xfId="3027" xr:uid="{00000000-0005-0000-0000-00007F050000}"/>
    <cellStyle name="#_cost9702_도로공사신고서(수서경찰서)_수신-VDS내역서_20061103" xfId="3028" xr:uid="{00000000-0005-0000-0000-000080050000}"/>
    <cellStyle name="#_cost9702_도로공사신고서(수서경찰서)_육군 - 수량산출" xfId="3029" xr:uid="{00000000-0005-0000-0000-000081050000}"/>
    <cellStyle name="#_cost9702_도로공사신고서(수서경찰서)_육군 - 수량산출_수신-VDS내역서_20061103" xfId="3030" xr:uid="{00000000-0005-0000-0000-000082050000}"/>
    <cellStyle name="#_cost9702_도로공사신고서(수서경찰서)_육군관로" xfId="3031" xr:uid="{00000000-0005-0000-0000-000083050000}"/>
    <cellStyle name="#_cost9702_도로공사신고서(수서경찰서)_육군관로_수신-VDS내역서_20061103" xfId="3032" xr:uid="{00000000-0005-0000-0000-000084050000}"/>
    <cellStyle name="#_cost9702_도로공사신고서(수서경찰서)_토토토" xfId="3033" xr:uid="{00000000-0005-0000-0000-000085050000}"/>
    <cellStyle name="#_cost9702_도로공사신고서(수서경찰서)_토토토_수신-VDS내역서_20061103" xfId="3034" xr:uid="{00000000-0005-0000-0000-000086050000}"/>
    <cellStyle name="#_cost9702_설계서" xfId="3035" xr:uid="{00000000-0005-0000-0000-000087050000}"/>
    <cellStyle name="#_cost9702_설계서_04년도서울지역굴착계획" xfId="3036" xr:uid="{00000000-0005-0000-0000-000088050000}"/>
    <cellStyle name="#_cost9702_설계서_04년도서울지역굴착계획_09_덕-H02통신공사_설계서_v4" xfId="6745" xr:uid="{00000000-0005-0000-0000-000089050000}"/>
    <cellStyle name="#_cost9702_설계서_04년도서울지역굴착계획_설계서_CCTV-V1" xfId="6746" xr:uid="{00000000-0005-0000-0000-00008A050000}"/>
    <cellStyle name="#_cost9702_설계서_04년도서울지역굴착계획_수신-VDS내역서_20061103" xfId="3037" xr:uid="{00000000-0005-0000-0000-00008B050000}"/>
    <cellStyle name="#_cost9702_설계서_09_덕-H02통신공사_설계서_v4" xfId="6747" xr:uid="{00000000-0005-0000-0000-00008C050000}"/>
    <cellStyle name="#_cost9702_설계서_CCTV-V1" xfId="6748" xr:uid="{00000000-0005-0000-0000-00008D050000}"/>
    <cellStyle name="#_cost9702_설계서_설계서_CCTV-V1" xfId="6749" xr:uid="{00000000-0005-0000-0000-00008E050000}"/>
    <cellStyle name="#_cost9702_설계서_수신-VDS내역서_20061103" xfId="3038" xr:uid="{00000000-0005-0000-0000-00008F050000}"/>
    <cellStyle name="#_cost9702_수량산출" xfId="3039" xr:uid="{00000000-0005-0000-0000-000090050000}"/>
    <cellStyle name="#_cost9702_수량산출_수신-VDS내역서_20061103" xfId="3040" xr:uid="{00000000-0005-0000-0000-000091050000}"/>
    <cellStyle name="#_cost9702_수신-VDS내역서_20061103" xfId="3041" xr:uid="{00000000-0005-0000-0000-000092050000}"/>
    <cellStyle name="#_cost9702_예술의 전당(KEPGO)" xfId="3042" xr:uid="{00000000-0005-0000-0000-000093050000}"/>
    <cellStyle name="#_cost9702_예술의 전당(KEPGO)_04년도서울지역굴착계획" xfId="3043" xr:uid="{00000000-0005-0000-0000-000094050000}"/>
    <cellStyle name="#_cost9702_예술의 전당(KEPGO)_04년도서울지역굴착계획_09_덕-H02통신공사_설계서_v4" xfId="6750" xr:uid="{00000000-0005-0000-0000-000095050000}"/>
    <cellStyle name="#_cost9702_예술의 전당(KEPGO)_04년도서울지역굴착계획_설계서_CCTV-V1" xfId="6751" xr:uid="{00000000-0005-0000-0000-000096050000}"/>
    <cellStyle name="#_cost9702_예술의 전당(KEPGO)_04년도서울지역굴착계획_수량산출" xfId="3044" xr:uid="{00000000-0005-0000-0000-000097050000}"/>
    <cellStyle name="#_cost9702_예술의 전당(KEPGO)_04년도서울지역굴착계획_수량산출_수신-VDS내역서_20061103" xfId="3045" xr:uid="{00000000-0005-0000-0000-000098050000}"/>
    <cellStyle name="#_cost9702_예술의 전당(KEPGO)_04년도서울지역굴착계획_수신-VDS내역서_20061103" xfId="3046" xr:uid="{00000000-0005-0000-0000-000099050000}"/>
    <cellStyle name="#_cost9702_예술의 전당(KEPGO)_04년도서울지역굴착계획_육군 - 수량산출" xfId="3047" xr:uid="{00000000-0005-0000-0000-00009A050000}"/>
    <cellStyle name="#_cost9702_예술의 전당(KEPGO)_04년도서울지역굴착계획_육군 - 수량산출_수신-VDS내역서_20061103" xfId="3048" xr:uid="{00000000-0005-0000-0000-00009B050000}"/>
    <cellStyle name="#_cost9702_예술의 전당(KEPGO)_04년도서울지역굴착계획_육군관로" xfId="3049" xr:uid="{00000000-0005-0000-0000-00009C050000}"/>
    <cellStyle name="#_cost9702_예술의 전당(KEPGO)_04년도서울지역굴착계획_육군관로_수신-VDS내역서_20061103" xfId="3050" xr:uid="{00000000-0005-0000-0000-00009D050000}"/>
    <cellStyle name="#_cost9702_예술의 전당(KEPGO)_04년도서울지역굴착계획_토토토" xfId="3051" xr:uid="{00000000-0005-0000-0000-00009E050000}"/>
    <cellStyle name="#_cost9702_예술의 전당(KEPGO)_04년도서울지역굴착계획_토토토_수신-VDS내역서_20061103" xfId="3052" xr:uid="{00000000-0005-0000-0000-00009F050000}"/>
    <cellStyle name="#_cost9702_예술의 전당(KEPGO)_09_덕-H02통신공사_설계서_v4" xfId="6752" xr:uid="{00000000-0005-0000-0000-0000A0050000}"/>
    <cellStyle name="#_cost9702_예술의 전당(KEPGO)_설계서_CCTV-V1" xfId="6753" xr:uid="{00000000-0005-0000-0000-0000A1050000}"/>
    <cellStyle name="#_cost9702_예술의 전당(KEPGO)_수량산출" xfId="3053" xr:uid="{00000000-0005-0000-0000-0000A2050000}"/>
    <cellStyle name="#_cost9702_예술의 전당(KEPGO)_수량산출_수신-VDS내역서_20061103" xfId="3054" xr:uid="{00000000-0005-0000-0000-0000A3050000}"/>
    <cellStyle name="#_cost9702_예술의 전당(KEPGO)_수신-VDS내역서_20061103" xfId="3055" xr:uid="{00000000-0005-0000-0000-0000A4050000}"/>
    <cellStyle name="#_cost9702_예술의 전당(KEPGO)_육군 - 수량산출" xfId="3056" xr:uid="{00000000-0005-0000-0000-0000A5050000}"/>
    <cellStyle name="#_cost9702_예술의 전당(KEPGO)_육군 - 수량산출_수신-VDS내역서_20061103" xfId="3057" xr:uid="{00000000-0005-0000-0000-0000A6050000}"/>
    <cellStyle name="#_cost9702_예술의 전당(KEPGO)_육군관로" xfId="3058" xr:uid="{00000000-0005-0000-0000-0000A7050000}"/>
    <cellStyle name="#_cost9702_예술의 전당(KEPGO)_육군관로_수신-VDS내역서_20061103" xfId="3059" xr:uid="{00000000-0005-0000-0000-0000A8050000}"/>
    <cellStyle name="#_cost9702_예술의 전당(KEPGO)_토토토" xfId="3060" xr:uid="{00000000-0005-0000-0000-0000A9050000}"/>
    <cellStyle name="#_cost9702_예술의 전당(KEPGO)_토토토_수신-VDS내역서_20061103" xfId="3061" xr:uid="{00000000-0005-0000-0000-0000AA050000}"/>
    <cellStyle name="#_cost9702_육군 - 수량산출" xfId="3062" xr:uid="{00000000-0005-0000-0000-0000AB050000}"/>
    <cellStyle name="#_cost9702_육군 - 수량산출_수신-VDS내역서_20061103" xfId="3063" xr:uid="{00000000-0005-0000-0000-0000AC050000}"/>
    <cellStyle name="#_cost9702_육군관로" xfId="3064" xr:uid="{00000000-0005-0000-0000-0000AD050000}"/>
    <cellStyle name="#_cost9702_육군관로_수신-VDS내역서_20061103" xfId="3065" xr:uid="{00000000-0005-0000-0000-0000AE050000}"/>
    <cellStyle name="#_cost9702_토토토" xfId="3066" xr:uid="{00000000-0005-0000-0000-0000AF050000}"/>
    <cellStyle name="#_cost9702_토토토_수신-VDS내역서_20061103" xfId="3067" xr:uid="{00000000-0005-0000-0000-0000B0050000}"/>
    <cellStyle name="#_Sheet1" xfId="3068" xr:uid="{00000000-0005-0000-0000-0000B1050000}"/>
    <cellStyle name="#_Sheet2" xfId="3069" xr:uid="{00000000-0005-0000-0000-0000B2050000}"/>
    <cellStyle name="#_관로시설공사1차(산출명세)" xfId="3070" xr:uid="{00000000-0005-0000-0000-0000B3050000}"/>
    <cellStyle name="#_관로시설공사3차(결재의뢰)" xfId="3071" xr:uid="{00000000-0005-0000-0000-0000B4050000}"/>
    <cellStyle name="#_내역서1" xfId="3072" xr:uid="{00000000-0005-0000-0000-0000B5050000}"/>
    <cellStyle name="#_목차 " xfId="31" xr:uid="{00000000-0005-0000-0000-0000B6050000}"/>
    <cellStyle name="#_설계내역서" xfId="3073" xr:uid="{00000000-0005-0000-0000-0000B7050000}"/>
    <cellStyle name="#_설계종합514" xfId="6754" xr:uid="{00000000-0005-0000-0000-0000B8050000}"/>
    <cellStyle name="#_예정공정표" xfId="3074" xr:uid="{00000000-0005-0000-0000-0000B9050000}"/>
    <cellStyle name="#_예정공정표_Book1" xfId="3075" xr:uid="{00000000-0005-0000-0000-0000BA050000}"/>
    <cellStyle name="#_예정공정표_Book1_04년도서울지역굴착계획" xfId="3076" xr:uid="{00000000-0005-0000-0000-0000BB050000}"/>
    <cellStyle name="#_예정공정표_Book1_04년도서울지역굴착계획_09_덕-H02통신공사_설계서_v4" xfId="6755" xr:uid="{00000000-0005-0000-0000-0000BC050000}"/>
    <cellStyle name="#_예정공정표_Book1_04년도서울지역굴착계획_설계서_CCTV-V1" xfId="6756" xr:uid="{00000000-0005-0000-0000-0000BD050000}"/>
    <cellStyle name="#_예정공정표_Book1_04년도서울지역굴착계획_수량산출" xfId="3077" xr:uid="{00000000-0005-0000-0000-0000BE050000}"/>
    <cellStyle name="#_예정공정표_Book1_04년도서울지역굴착계획_수량산출_수신-VDS내역서_20061103" xfId="3078" xr:uid="{00000000-0005-0000-0000-0000BF050000}"/>
    <cellStyle name="#_예정공정표_Book1_04년도서울지역굴착계획_수신-VDS내역서_20061103" xfId="3079" xr:uid="{00000000-0005-0000-0000-0000C0050000}"/>
    <cellStyle name="#_예정공정표_Book1_04년도서울지역굴착계획_육군 - 수량산출" xfId="3080" xr:uid="{00000000-0005-0000-0000-0000C1050000}"/>
    <cellStyle name="#_예정공정표_Book1_04년도서울지역굴착계획_육군 - 수량산출_수신-VDS내역서_20061103" xfId="3081" xr:uid="{00000000-0005-0000-0000-0000C2050000}"/>
    <cellStyle name="#_예정공정표_Book1_04년도서울지역굴착계획_육군관로" xfId="3082" xr:uid="{00000000-0005-0000-0000-0000C3050000}"/>
    <cellStyle name="#_예정공정표_Book1_04년도서울지역굴착계획_육군관로_수신-VDS내역서_20061103" xfId="3083" xr:uid="{00000000-0005-0000-0000-0000C4050000}"/>
    <cellStyle name="#_예정공정표_Book1_04년도서울지역굴착계획_토토토" xfId="3084" xr:uid="{00000000-0005-0000-0000-0000C5050000}"/>
    <cellStyle name="#_예정공정표_Book1_04년도서울지역굴착계획_토토토_수신-VDS내역서_20061103" xfId="3085" xr:uid="{00000000-0005-0000-0000-0000C6050000}"/>
    <cellStyle name="#_예정공정표_Book1_09_덕-H02통신공사_설계서_v4" xfId="6757" xr:uid="{00000000-0005-0000-0000-0000C7050000}"/>
    <cellStyle name="#_예정공정표_Book1_설계서_CCTV-V1" xfId="6758" xr:uid="{00000000-0005-0000-0000-0000C8050000}"/>
    <cellStyle name="#_예정공정표_Book1_수량산출" xfId="3086" xr:uid="{00000000-0005-0000-0000-0000C9050000}"/>
    <cellStyle name="#_예정공정표_Book1_수량산출_수신-VDS내역서_20061103" xfId="3087" xr:uid="{00000000-0005-0000-0000-0000CA050000}"/>
    <cellStyle name="#_예정공정표_Book1_수신-VDS내역서_20061103" xfId="3088" xr:uid="{00000000-0005-0000-0000-0000CB050000}"/>
    <cellStyle name="#_예정공정표_Book1_육군 - 수량산출" xfId="3089" xr:uid="{00000000-0005-0000-0000-0000CC050000}"/>
    <cellStyle name="#_예정공정표_Book1_육군 - 수량산출_수신-VDS내역서_20061103" xfId="3090" xr:uid="{00000000-0005-0000-0000-0000CD050000}"/>
    <cellStyle name="#_예정공정표_Book1_육군관로" xfId="3091" xr:uid="{00000000-0005-0000-0000-0000CE050000}"/>
    <cellStyle name="#_예정공정표_Book1_육군관로_수신-VDS내역서_20061103" xfId="3092" xr:uid="{00000000-0005-0000-0000-0000CF050000}"/>
    <cellStyle name="#_예정공정표_Book1_토토토" xfId="3093" xr:uid="{00000000-0005-0000-0000-0000D0050000}"/>
    <cellStyle name="#_예정공정표_Book1_토토토_수신-VDS내역서_20061103" xfId="3094" xr:uid="{00000000-0005-0000-0000-0000D1050000}"/>
    <cellStyle name="#_예정공정표_NEGS" xfId="3095" xr:uid="{00000000-0005-0000-0000-0000D2050000}"/>
    <cellStyle name="#_예정공정표_NEGS_04년도서울지역굴착계획" xfId="3096" xr:uid="{00000000-0005-0000-0000-0000D3050000}"/>
    <cellStyle name="#_예정공정표_NEGS_04년도서울지역굴착계획_09_덕-H02통신공사_설계서_v4" xfId="6759" xr:uid="{00000000-0005-0000-0000-0000D4050000}"/>
    <cellStyle name="#_예정공정표_NEGS_04년도서울지역굴착계획_설계서_CCTV-V1" xfId="6760" xr:uid="{00000000-0005-0000-0000-0000D5050000}"/>
    <cellStyle name="#_예정공정표_NEGS_04년도서울지역굴착계획_수량산출" xfId="3097" xr:uid="{00000000-0005-0000-0000-0000D6050000}"/>
    <cellStyle name="#_예정공정표_NEGS_04년도서울지역굴착계획_수량산출_수신-VDS내역서_20061103" xfId="3098" xr:uid="{00000000-0005-0000-0000-0000D7050000}"/>
    <cellStyle name="#_예정공정표_NEGS_04년도서울지역굴착계획_수신-VDS내역서_20061103" xfId="3099" xr:uid="{00000000-0005-0000-0000-0000D8050000}"/>
    <cellStyle name="#_예정공정표_NEGS_04년도서울지역굴착계획_육군 - 수량산출" xfId="3100" xr:uid="{00000000-0005-0000-0000-0000D9050000}"/>
    <cellStyle name="#_예정공정표_NEGS_04년도서울지역굴착계획_육군 - 수량산출_수신-VDS내역서_20061103" xfId="3101" xr:uid="{00000000-0005-0000-0000-0000DA050000}"/>
    <cellStyle name="#_예정공정표_NEGS_04년도서울지역굴착계획_육군관로" xfId="3102" xr:uid="{00000000-0005-0000-0000-0000DB050000}"/>
    <cellStyle name="#_예정공정표_NEGS_04년도서울지역굴착계획_육군관로_수신-VDS내역서_20061103" xfId="3103" xr:uid="{00000000-0005-0000-0000-0000DC050000}"/>
    <cellStyle name="#_예정공정표_NEGS_04년도서울지역굴착계획_토토토" xfId="3104" xr:uid="{00000000-0005-0000-0000-0000DD050000}"/>
    <cellStyle name="#_예정공정표_NEGS_04년도서울지역굴착계획_토토토_수신-VDS내역서_20061103" xfId="3105" xr:uid="{00000000-0005-0000-0000-0000DE050000}"/>
    <cellStyle name="#_예정공정표_NEGS_09_덕-H02통신공사_설계서_v4" xfId="6761" xr:uid="{00000000-0005-0000-0000-0000DF050000}"/>
    <cellStyle name="#_예정공정표_NEGS_설계서_CCTV-V1" xfId="6762" xr:uid="{00000000-0005-0000-0000-0000E0050000}"/>
    <cellStyle name="#_예정공정표_NEGS_수량산출" xfId="3106" xr:uid="{00000000-0005-0000-0000-0000E1050000}"/>
    <cellStyle name="#_예정공정표_NEGS_수량산출_수신-VDS내역서_20061103" xfId="3107" xr:uid="{00000000-0005-0000-0000-0000E2050000}"/>
    <cellStyle name="#_예정공정표_NEGS_수신-VDS내역서_20061103" xfId="3108" xr:uid="{00000000-0005-0000-0000-0000E3050000}"/>
    <cellStyle name="#_예정공정표_NEGS_육군 - 수량산출" xfId="3109" xr:uid="{00000000-0005-0000-0000-0000E4050000}"/>
    <cellStyle name="#_예정공정표_NEGS_육군 - 수량산출_수신-VDS내역서_20061103" xfId="3110" xr:uid="{00000000-0005-0000-0000-0000E5050000}"/>
    <cellStyle name="#_예정공정표_NEGS_육군관로" xfId="3111" xr:uid="{00000000-0005-0000-0000-0000E6050000}"/>
    <cellStyle name="#_예정공정표_NEGS_육군관로_수신-VDS내역서_20061103" xfId="3112" xr:uid="{00000000-0005-0000-0000-0000E7050000}"/>
    <cellStyle name="#_예정공정표_NEGS_토토토" xfId="3113" xr:uid="{00000000-0005-0000-0000-0000E8050000}"/>
    <cellStyle name="#_예정공정표_NEGS_토토토_수신-VDS내역서_20061103" xfId="3114" xr:uid="{00000000-0005-0000-0000-0000E9050000}"/>
    <cellStyle name="#_예정공정표_SKT CS-A4정산내역서 최종12.3" xfId="3115" xr:uid="{00000000-0005-0000-0000-0000EA050000}"/>
    <cellStyle name="#_예정공정표_SKT CS-A4정산내역서 최종12.3_04년도서울지역굴착계획" xfId="3116" xr:uid="{00000000-0005-0000-0000-0000EB050000}"/>
    <cellStyle name="#_예정공정표_SKT CS-A4정산내역서 최종12.3_04년도서울지역굴착계획_09_덕-H02통신공사_설계서_v4" xfId="6763" xr:uid="{00000000-0005-0000-0000-0000EC050000}"/>
    <cellStyle name="#_예정공정표_SKT CS-A4정산내역서 최종12.3_04년도서울지역굴착계획_설계서_CCTV-V1" xfId="6764" xr:uid="{00000000-0005-0000-0000-0000ED050000}"/>
    <cellStyle name="#_예정공정표_SKT CS-A4정산내역서 최종12.3_04년도서울지역굴착계획_수량산출" xfId="3117" xr:uid="{00000000-0005-0000-0000-0000EE050000}"/>
    <cellStyle name="#_예정공정표_SKT CS-A4정산내역서 최종12.3_04년도서울지역굴착계획_수량산출_수신-VDS내역서_20061103" xfId="3118" xr:uid="{00000000-0005-0000-0000-0000EF050000}"/>
    <cellStyle name="#_예정공정표_SKT CS-A4정산내역서 최종12.3_04년도서울지역굴착계획_수신-VDS내역서_20061103" xfId="3119" xr:uid="{00000000-0005-0000-0000-0000F0050000}"/>
    <cellStyle name="#_예정공정표_SKT CS-A4정산내역서 최종12.3_04년도서울지역굴착계획_육군 - 수량산출" xfId="3120" xr:uid="{00000000-0005-0000-0000-0000F1050000}"/>
    <cellStyle name="#_예정공정표_SKT CS-A4정산내역서 최종12.3_04년도서울지역굴착계획_육군 - 수량산출_수신-VDS내역서_20061103" xfId="3121" xr:uid="{00000000-0005-0000-0000-0000F2050000}"/>
    <cellStyle name="#_예정공정표_SKT CS-A4정산내역서 최종12.3_04년도서울지역굴착계획_육군관로" xfId="3122" xr:uid="{00000000-0005-0000-0000-0000F3050000}"/>
    <cellStyle name="#_예정공정표_SKT CS-A4정산내역서 최종12.3_04년도서울지역굴착계획_육군관로_수신-VDS내역서_20061103" xfId="3123" xr:uid="{00000000-0005-0000-0000-0000F4050000}"/>
    <cellStyle name="#_예정공정표_SKT CS-A4정산내역서 최종12.3_04년도서울지역굴착계획_토토토" xfId="3124" xr:uid="{00000000-0005-0000-0000-0000F5050000}"/>
    <cellStyle name="#_예정공정표_SKT CS-A4정산내역서 최종12.3_04년도서울지역굴착계획_토토토_수신-VDS내역서_20061103" xfId="3125" xr:uid="{00000000-0005-0000-0000-0000F6050000}"/>
    <cellStyle name="#_예정공정표_SKT CS-A4정산내역서 최종12.3_09_덕-H02통신공사_설계서_v4" xfId="6765" xr:uid="{00000000-0005-0000-0000-0000F7050000}"/>
    <cellStyle name="#_예정공정표_SKT CS-A4정산내역서 최종12.3_설계서_CCTV-V1" xfId="6766" xr:uid="{00000000-0005-0000-0000-0000F8050000}"/>
    <cellStyle name="#_예정공정표_SKT CS-A4정산내역서 최종12.3_수량산출" xfId="3126" xr:uid="{00000000-0005-0000-0000-0000F9050000}"/>
    <cellStyle name="#_예정공정표_SKT CS-A4정산내역서 최종12.3_수량산출_수신-VDS내역서_20061103" xfId="3127" xr:uid="{00000000-0005-0000-0000-0000FA050000}"/>
    <cellStyle name="#_예정공정표_SKT CS-A4정산내역서 최종12.3_수신-VDS내역서_20061103" xfId="3128" xr:uid="{00000000-0005-0000-0000-0000FB050000}"/>
    <cellStyle name="#_예정공정표_SKT CS-A4정산내역서 최종12.3_육군 - 수량산출" xfId="3129" xr:uid="{00000000-0005-0000-0000-0000FC050000}"/>
    <cellStyle name="#_예정공정표_SKT CS-A4정산내역서 최종12.3_육군 - 수량산출_수신-VDS내역서_20061103" xfId="3130" xr:uid="{00000000-0005-0000-0000-0000FD050000}"/>
    <cellStyle name="#_예정공정표_SKT CS-A4정산내역서 최종12.3_육군관로" xfId="3131" xr:uid="{00000000-0005-0000-0000-0000FE050000}"/>
    <cellStyle name="#_예정공정표_SKT CS-A4정산내역서 최종12.3_육군관로_수신-VDS내역서_20061103" xfId="3132" xr:uid="{00000000-0005-0000-0000-0000FF050000}"/>
    <cellStyle name="#_예정공정표_SKT CS-A4정산내역서 최종12.3_토토토" xfId="3133" xr:uid="{00000000-0005-0000-0000-000000060000}"/>
    <cellStyle name="#_예정공정표_SKT CS-A4정산내역서 최종12.3_토토토_수신-VDS내역서_20061103" xfId="3134" xr:uid="{00000000-0005-0000-0000-000001060000}"/>
    <cellStyle name="#_예정공정표_SKT CS-A4정산내역서+CS-A2" xfId="3135" xr:uid="{00000000-0005-0000-0000-000002060000}"/>
    <cellStyle name="#_예정공정표_SKT CS-A4정산내역서+CS-A2_04년도서울지역굴착계획" xfId="3136" xr:uid="{00000000-0005-0000-0000-000003060000}"/>
    <cellStyle name="#_예정공정표_SKT CS-A4정산내역서+CS-A2_04년도서울지역굴착계획_09_덕-H02통신공사_설계서_v4" xfId="6767" xr:uid="{00000000-0005-0000-0000-000004060000}"/>
    <cellStyle name="#_예정공정표_SKT CS-A4정산내역서+CS-A2_04년도서울지역굴착계획_설계서_CCTV-V1" xfId="6768" xr:uid="{00000000-0005-0000-0000-000005060000}"/>
    <cellStyle name="#_예정공정표_SKT CS-A4정산내역서+CS-A2_04년도서울지역굴착계획_수량산출" xfId="3137" xr:uid="{00000000-0005-0000-0000-000006060000}"/>
    <cellStyle name="#_예정공정표_SKT CS-A4정산내역서+CS-A2_04년도서울지역굴착계획_수량산출_수신-VDS내역서_20061103" xfId="3138" xr:uid="{00000000-0005-0000-0000-000007060000}"/>
    <cellStyle name="#_예정공정표_SKT CS-A4정산내역서+CS-A2_04년도서울지역굴착계획_수신-VDS내역서_20061103" xfId="3139" xr:uid="{00000000-0005-0000-0000-000008060000}"/>
    <cellStyle name="#_예정공정표_SKT CS-A4정산내역서+CS-A2_04년도서울지역굴착계획_육군 - 수량산출" xfId="3140" xr:uid="{00000000-0005-0000-0000-000009060000}"/>
    <cellStyle name="#_예정공정표_SKT CS-A4정산내역서+CS-A2_04년도서울지역굴착계획_육군 - 수량산출_수신-VDS내역서_20061103" xfId="3141" xr:uid="{00000000-0005-0000-0000-00000A060000}"/>
    <cellStyle name="#_예정공정표_SKT CS-A4정산내역서+CS-A2_04년도서울지역굴착계획_육군관로" xfId="3142" xr:uid="{00000000-0005-0000-0000-00000B060000}"/>
    <cellStyle name="#_예정공정표_SKT CS-A4정산내역서+CS-A2_04년도서울지역굴착계획_육군관로_수신-VDS내역서_20061103" xfId="3143" xr:uid="{00000000-0005-0000-0000-00000C060000}"/>
    <cellStyle name="#_예정공정표_SKT CS-A4정산내역서+CS-A2_04년도서울지역굴착계획_토토토" xfId="3144" xr:uid="{00000000-0005-0000-0000-00000D060000}"/>
    <cellStyle name="#_예정공정표_SKT CS-A4정산내역서+CS-A2_04년도서울지역굴착계획_토토토_수신-VDS내역서_20061103" xfId="3145" xr:uid="{00000000-0005-0000-0000-00000E060000}"/>
    <cellStyle name="#_예정공정표_SKT CS-A4정산내역서+CS-A2_09_덕-H02통신공사_설계서_v4" xfId="6769" xr:uid="{00000000-0005-0000-0000-00000F060000}"/>
    <cellStyle name="#_예정공정표_SKT CS-A4정산내역서+CS-A2_설계서_CCTV-V1" xfId="6770" xr:uid="{00000000-0005-0000-0000-000010060000}"/>
    <cellStyle name="#_예정공정표_SKT CS-A4정산내역서+CS-A2_수량산출" xfId="3146" xr:uid="{00000000-0005-0000-0000-000011060000}"/>
    <cellStyle name="#_예정공정표_SKT CS-A4정산내역서+CS-A2_수량산출_수신-VDS내역서_20061103" xfId="3147" xr:uid="{00000000-0005-0000-0000-000012060000}"/>
    <cellStyle name="#_예정공정표_SKT CS-A4정산내역서+CS-A2_수신-VDS내역서_20061103" xfId="3148" xr:uid="{00000000-0005-0000-0000-000013060000}"/>
    <cellStyle name="#_예정공정표_SKT CS-A4정산내역서+CS-A2_육군 - 수량산출" xfId="3149" xr:uid="{00000000-0005-0000-0000-000014060000}"/>
    <cellStyle name="#_예정공정표_SKT CS-A4정산내역서+CS-A2_육군 - 수량산출_수신-VDS내역서_20061103" xfId="3150" xr:uid="{00000000-0005-0000-0000-000015060000}"/>
    <cellStyle name="#_예정공정표_SKT CS-A4정산내역서+CS-A2_육군관로" xfId="3151" xr:uid="{00000000-0005-0000-0000-000016060000}"/>
    <cellStyle name="#_예정공정표_SKT CS-A4정산내역서+CS-A2_육군관로_수신-VDS내역서_20061103" xfId="3152" xr:uid="{00000000-0005-0000-0000-000017060000}"/>
    <cellStyle name="#_예정공정표_SKT CS-A4정산내역서+CS-A2_토토토" xfId="3153" xr:uid="{00000000-0005-0000-0000-000018060000}"/>
    <cellStyle name="#_예정공정표_SKT CS-A4정산내역서+CS-A2_토토토_수신-VDS내역서_20061103" xfId="3154" xr:uid="{00000000-0005-0000-0000-000019060000}"/>
    <cellStyle name="#_예정공정표_강동구청허가신청" xfId="3155" xr:uid="{00000000-0005-0000-0000-00001A060000}"/>
    <cellStyle name="#_예정공정표_강동구청허가신청_04년도서울지역굴착계획" xfId="3156" xr:uid="{00000000-0005-0000-0000-00001B060000}"/>
    <cellStyle name="#_예정공정표_강동구청허가신청_04년도서울지역굴착계획_09_덕-H02통신공사_설계서_v4" xfId="6771" xr:uid="{00000000-0005-0000-0000-00001C060000}"/>
    <cellStyle name="#_예정공정표_강동구청허가신청_04년도서울지역굴착계획_설계서_CCTV-V1" xfId="6772" xr:uid="{00000000-0005-0000-0000-00001D060000}"/>
    <cellStyle name="#_예정공정표_강동구청허가신청_04년도서울지역굴착계획_수신-VDS내역서_20061103" xfId="3157" xr:uid="{00000000-0005-0000-0000-00001E060000}"/>
    <cellStyle name="#_예정공정표_강동구청허가신청_09_덕-H02통신공사_설계서_v4" xfId="6773" xr:uid="{00000000-0005-0000-0000-00001F060000}"/>
    <cellStyle name="#_예정공정표_강동구청허가신청_설계서_CCTV-V1" xfId="6774" xr:uid="{00000000-0005-0000-0000-000020060000}"/>
    <cellStyle name="#_예정공정표_강동구청허가신청_수신-VDS내역서_20061103" xfId="3158" xr:uid="{00000000-0005-0000-0000-000021060000}"/>
    <cellStyle name="#_예정공정표_계통도 " xfId="32" xr:uid="{00000000-0005-0000-0000-000022060000}"/>
    <cellStyle name="#_예정공정표_계통도 _(@클릭 pc방)준공자료" xfId="3159" xr:uid="{00000000-0005-0000-0000-000023060000}"/>
    <cellStyle name="#_예정공정표_계통도 _(@클릭 pc방)준공자료_16준공자료(데이콤 중앙국사 ~ 한빛은행)" xfId="3160" xr:uid="{00000000-0005-0000-0000-000024060000}"/>
    <cellStyle name="#_예정공정표_계통도 _개통자료((주)모인텍)" xfId="3161" xr:uid="{00000000-0005-0000-0000-000025060000}"/>
    <cellStyle name="#_예정공정표_계통도 _개통자료((주)모인텍)_개통자료(STI 남가좌 ~ STI 홍은설악)" xfId="3162" xr:uid="{00000000-0005-0000-0000-000026060000}"/>
    <cellStyle name="#_예정공정표_계통도 _개통자료(STI북아현-STI북아현3)" xfId="3163" xr:uid="{00000000-0005-0000-0000-000027060000}"/>
    <cellStyle name="#_예정공정표_계통도 _개통자료(STI북아현-STI북아현3)_개통자료(STI 남가좌 ~ STI 홍은설악)" xfId="3164" xr:uid="{00000000-0005-0000-0000-000028060000}"/>
    <cellStyle name="#_예정공정표_계통도 _기별종합(미정산0306)" xfId="3165" xr:uid="{00000000-0005-0000-0000-000029060000}"/>
    <cellStyle name="#_예정공정표_계통도 _기별종합(미정산0306)_정산내역서(2002년청주5차)" xfId="3166" xr:uid="{00000000-0005-0000-0000-00002A060000}"/>
    <cellStyle name="#_예정공정표_계통도 _기별총괄" xfId="3167" xr:uid="{00000000-0005-0000-0000-00002B060000}"/>
    <cellStyle name="#_예정공정표_계통도 _설계내역서(02년청주10차)" xfId="3168" xr:uid="{00000000-0005-0000-0000-00002C060000}"/>
    <cellStyle name="#_예정공정표_계통도 _설계내역서(02년청주11차)" xfId="3169" xr:uid="{00000000-0005-0000-0000-00002D060000}"/>
    <cellStyle name="#_예정공정표_계통도 _설계내역서(02년청주3차)" xfId="3170" xr:uid="{00000000-0005-0000-0000-00002E060000}"/>
    <cellStyle name="#_예정공정표_계통도 _설계내역서(02년청주4차)" xfId="3171" xr:uid="{00000000-0005-0000-0000-00002F060000}"/>
    <cellStyle name="#_예정공정표_계통도 _설계내역서(02년청주5차)" xfId="3172" xr:uid="{00000000-0005-0000-0000-000030060000}"/>
    <cellStyle name="#_예정공정표_계통도 _설계내역서(02년청주6차)" xfId="3173" xr:uid="{00000000-0005-0000-0000-000031060000}"/>
    <cellStyle name="#_예정공정표_계통도 _설계내역서(02년청주7차)" xfId="3174" xr:uid="{00000000-0005-0000-0000-000032060000}"/>
    <cellStyle name="#_예정공정표_계통도 _설계내역서(02년청주8차)" xfId="3175" xr:uid="{00000000-0005-0000-0000-000033060000}"/>
    <cellStyle name="#_예정공정표_계통도 _세부계통도(비하 프리존pc방외 1건)" xfId="3176" xr:uid="{00000000-0005-0000-0000-000034060000}"/>
    <cellStyle name="#_예정공정표_계통도 _세부계통도(비하 프리존pc방외 1건)_정산내역서(2002년청주5차)" xfId="3177" xr:uid="{00000000-0005-0000-0000-000035060000}"/>
    <cellStyle name="#_예정공정표_계통도 _세부도종합(미정산0306)" xfId="3178" xr:uid="{00000000-0005-0000-0000-000036060000}"/>
    <cellStyle name="#_예정공정표_계통도 _신세기11차추가(함체)" xfId="3179" xr:uid="{00000000-0005-0000-0000-000037060000}"/>
    <cellStyle name="#_예정공정표_계통도 _신세기11차추가(함체)_04년도서울지역굴착계획" xfId="3180" xr:uid="{00000000-0005-0000-0000-000038060000}"/>
    <cellStyle name="#_예정공정표_계통도 _신세기11차추가(함체)_04년도서울지역굴착계획_09_덕-H02통신공사_설계서_v4" xfId="6775" xr:uid="{00000000-0005-0000-0000-000039060000}"/>
    <cellStyle name="#_예정공정표_계통도 _신세기11차추가(함체)_04년도서울지역굴착계획_설계서_CCTV-V1" xfId="6776" xr:uid="{00000000-0005-0000-0000-00003A060000}"/>
    <cellStyle name="#_예정공정표_계통도 _신세기11차추가(함체)_04년도서울지역굴착계획_수량산출" xfId="3181" xr:uid="{00000000-0005-0000-0000-00003B060000}"/>
    <cellStyle name="#_예정공정표_계통도 _신세기11차추가(함체)_04년도서울지역굴착계획_수량산출_수신-VDS내역서_20061103" xfId="3182" xr:uid="{00000000-0005-0000-0000-00003C060000}"/>
    <cellStyle name="#_예정공정표_계통도 _신세기11차추가(함체)_04년도서울지역굴착계획_수신-VDS내역서_20061103" xfId="3183" xr:uid="{00000000-0005-0000-0000-00003D060000}"/>
    <cellStyle name="#_예정공정표_계통도 _신세기11차추가(함체)_04년도서울지역굴착계획_육군 - 수량산출" xfId="3184" xr:uid="{00000000-0005-0000-0000-00003E060000}"/>
    <cellStyle name="#_예정공정표_계통도 _신세기11차추가(함체)_04년도서울지역굴착계획_육군 - 수량산출_수신-VDS내역서_20061103" xfId="3185" xr:uid="{00000000-0005-0000-0000-00003F060000}"/>
    <cellStyle name="#_예정공정표_계통도 _신세기11차추가(함체)_04년도서울지역굴착계획_육군관로" xfId="3186" xr:uid="{00000000-0005-0000-0000-000040060000}"/>
    <cellStyle name="#_예정공정표_계통도 _신세기11차추가(함체)_04년도서울지역굴착계획_육군관로_수신-VDS내역서_20061103" xfId="3187" xr:uid="{00000000-0005-0000-0000-000041060000}"/>
    <cellStyle name="#_예정공정표_계통도 _신세기11차추가(함체)_04년도서울지역굴착계획_토토토" xfId="3188" xr:uid="{00000000-0005-0000-0000-000042060000}"/>
    <cellStyle name="#_예정공정표_계통도 _신세기11차추가(함체)_04년도서울지역굴착계획_토토토_수신-VDS내역서_20061103" xfId="3189" xr:uid="{00000000-0005-0000-0000-000043060000}"/>
    <cellStyle name="#_예정공정표_계통도 _신세기11차추가(함체)_09_덕-H02통신공사_설계서_v4" xfId="6777" xr:uid="{00000000-0005-0000-0000-000044060000}"/>
    <cellStyle name="#_예정공정표_계통도 _신세기11차추가(함체)_설계서_CCTV-V1" xfId="6778" xr:uid="{00000000-0005-0000-0000-000045060000}"/>
    <cellStyle name="#_예정공정표_계통도 _신세기11차추가(함체)_수량산출" xfId="3190" xr:uid="{00000000-0005-0000-0000-000046060000}"/>
    <cellStyle name="#_예정공정표_계통도 _신세기11차추가(함체)_수량산출_수신-VDS내역서_20061103" xfId="3191" xr:uid="{00000000-0005-0000-0000-000047060000}"/>
    <cellStyle name="#_예정공정표_계통도 _신세기11차추가(함체)_수신-VDS내역서_20061103" xfId="3192" xr:uid="{00000000-0005-0000-0000-000048060000}"/>
    <cellStyle name="#_예정공정표_계통도 _신세기11차추가(함체)_육군 - 수량산출" xfId="3193" xr:uid="{00000000-0005-0000-0000-000049060000}"/>
    <cellStyle name="#_예정공정표_계통도 _신세기11차추가(함체)_육군 - 수량산출_수신-VDS내역서_20061103" xfId="3194" xr:uid="{00000000-0005-0000-0000-00004A060000}"/>
    <cellStyle name="#_예정공정표_계통도 _신세기11차추가(함체)_육군관로" xfId="3195" xr:uid="{00000000-0005-0000-0000-00004B060000}"/>
    <cellStyle name="#_예정공정표_계통도 _신세기11차추가(함체)_육군관로_수신-VDS내역서_20061103" xfId="3196" xr:uid="{00000000-0005-0000-0000-00004C060000}"/>
    <cellStyle name="#_예정공정표_계통도 _신세기11차추가(함체)_토토토" xfId="3197" xr:uid="{00000000-0005-0000-0000-00004D060000}"/>
    <cellStyle name="#_예정공정표_계통도 _신세기11차추가(함체)_토토토_수신-VDS내역서_20061103" xfId="3198" xr:uid="{00000000-0005-0000-0000-00004E060000}"/>
    <cellStyle name="#_예정공정표_계통도 _정산내역서(02년청주3차)" xfId="3199" xr:uid="{00000000-0005-0000-0000-00004F060000}"/>
    <cellStyle name="#_예정공정표_계통도 _정산내역서(02년청주4차)" xfId="3200" xr:uid="{00000000-0005-0000-0000-000050060000}"/>
    <cellStyle name="#_예정공정표_계통도 _정산내역서(02년청주5차)" xfId="3201" xr:uid="{00000000-0005-0000-0000-000051060000}"/>
    <cellStyle name="#_예정공정표_계통도 _정산내역서(02년청주6차)" xfId="3202" xr:uid="{00000000-0005-0000-0000-000052060000}"/>
    <cellStyle name="#_예정공정표_계통도 _정산내역서(2002년청주10차)1" xfId="3203" xr:uid="{00000000-0005-0000-0000-000053060000}"/>
    <cellStyle name="#_예정공정표_계통도 _정산내역서(2002년청주11차)" xfId="3204" xr:uid="{00000000-0005-0000-0000-000054060000}"/>
    <cellStyle name="#_예정공정표_계통도 _정산내역서(2002년청주11차)1" xfId="3205" xr:uid="{00000000-0005-0000-0000-000055060000}"/>
    <cellStyle name="#_예정공정표_계통도 _정산내역서(2002년청주16차)1" xfId="3206" xr:uid="{00000000-0005-0000-0000-000056060000}"/>
    <cellStyle name="#_예정공정표_계통도 _정산내역서(2002년청주5차)1" xfId="3207" xr:uid="{00000000-0005-0000-0000-000057060000}"/>
    <cellStyle name="#_예정공정표_계통도 _정산내역서(2002년청주7차)" xfId="3208" xr:uid="{00000000-0005-0000-0000-000058060000}"/>
    <cellStyle name="#_예정공정표_계통도 _정산내역서(2002년청주7차)1" xfId="3209" xr:uid="{00000000-0005-0000-0000-000059060000}"/>
    <cellStyle name="#_예정공정표_계통도 _정산내역서(2002년청주8차)1" xfId="3210" xr:uid="{00000000-0005-0000-0000-00005A060000}"/>
    <cellStyle name="#_예정공정표_계통도 _정산설계(5차 광이더넷)" xfId="3211" xr:uid="{00000000-0005-0000-0000-00005B060000}"/>
    <cellStyle name="#_예정공정표_계통도 _하나로 통신 기별(버즈 PC방외 7건)" xfId="3212" xr:uid="{00000000-0005-0000-0000-00005C060000}"/>
    <cellStyle name="#_예정공정표_계통도 _하나로기별(사이버킹PC방외 5건)" xfId="3213" xr:uid="{00000000-0005-0000-0000-00005D060000}"/>
    <cellStyle name="#_예정공정표_계통도 _하나로기별(테란PC방외 12건)" xfId="3214" xr:uid="{00000000-0005-0000-0000-00005E060000}"/>
    <cellStyle name="#_예정공정표_계통도 _하나로기별(테란PC방외 12건)_정산내역서(2002년청주5차)" xfId="3215" xr:uid="{00000000-0005-0000-0000-00005F060000}"/>
    <cellStyle name="#_예정공정표_담당자" xfId="6779" xr:uid="{00000000-0005-0000-0000-000060060000}"/>
    <cellStyle name="#_예정공정표_담당자_설계종합514" xfId="6780" xr:uid="{00000000-0005-0000-0000-000061060000}"/>
    <cellStyle name="#_예정공정표_도로공사신고서(수서경찰서)" xfId="3216" xr:uid="{00000000-0005-0000-0000-000062060000}"/>
    <cellStyle name="#_예정공정표_도로공사신고서(수서경찰서)_수량산출" xfId="3217" xr:uid="{00000000-0005-0000-0000-000063060000}"/>
    <cellStyle name="#_예정공정표_도로공사신고서(수서경찰서)_육군 - 수량산출" xfId="3218" xr:uid="{00000000-0005-0000-0000-000064060000}"/>
    <cellStyle name="#_예정공정표_도로공사신고서(수서경찰서)_육군관로" xfId="3219" xr:uid="{00000000-0005-0000-0000-000065060000}"/>
    <cellStyle name="#_예정공정표_도로공사신고서(수서경찰서)_토토토" xfId="3220" xr:uid="{00000000-0005-0000-0000-000066060000}"/>
    <cellStyle name="#_예정공정표_설계서" xfId="3221" xr:uid="{00000000-0005-0000-0000-000067060000}"/>
    <cellStyle name="#_예정공정표_설계서_04년도서울지역굴착계획" xfId="3222" xr:uid="{00000000-0005-0000-0000-000068060000}"/>
    <cellStyle name="#_예정공정표_설계서_04년도서울지역굴착계획_09_덕-H02통신공사_설계서_v4" xfId="6781" xr:uid="{00000000-0005-0000-0000-000069060000}"/>
    <cellStyle name="#_예정공정표_설계서_04년도서울지역굴착계획_설계서_CCTV-V1" xfId="6782" xr:uid="{00000000-0005-0000-0000-00006A060000}"/>
    <cellStyle name="#_예정공정표_설계서_04년도서울지역굴착계획_수신-VDS내역서_20061103" xfId="3223" xr:uid="{00000000-0005-0000-0000-00006B060000}"/>
    <cellStyle name="#_예정공정표_설계서_09_덕-H02통신공사_설계서_v4" xfId="6783" xr:uid="{00000000-0005-0000-0000-00006C060000}"/>
    <cellStyle name="#_예정공정표_설계서_설계서_CCTV-V1" xfId="6784" xr:uid="{00000000-0005-0000-0000-00006D060000}"/>
    <cellStyle name="#_예정공정표_설계서_수신-VDS내역서_20061103" xfId="3224" xr:uid="{00000000-0005-0000-0000-00006E060000}"/>
    <cellStyle name="#_예정공정표_수량산출" xfId="3225" xr:uid="{00000000-0005-0000-0000-00006F060000}"/>
    <cellStyle name="#_예정공정표_예술의 전당(KEPGO)" xfId="3226" xr:uid="{00000000-0005-0000-0000-000070060000}"/>
    <cellStyle name="#_예정공정표_예술의 전당(KEPGO)_04년도서울지역굴착계획" xfId="3227" xr:uid="{00000000-0005-0000-0000-000071060000}"/>
    <cellStyle name="#_예정공정표_예술의 전당(KEPGO)_04년도서울지역굴착계획_09_덕-H02통신공사_설계서_v4" xfId="6785" xr:uid="{00000000-0005-0000-0000-000072060000}"/>
    <cellStyle name="#_예정공정표_예술의 전당(KEPGO)_04년도서울지역굴착계획_설계서_CCTV-V1" xfId="6786" xr:uid="{00000000-0005-0000-0000-000073060000}"/>
    <cellStyle name="#_예정공정표_예술의 전당(KEPGO)_04년도서울지역굴착계획_수량산출" xfId="3228" xr:uid="{00000000-0005-0000-0000-000074060000}"/>
    <cellStyle name="#_예정공정표_예술의 전당(KEPGO)_04년도서울지역굴착계획_수량산출_수신-VDS내역서_20061103" xfId="3229" xr:uid="{00000000-0005-0000-0000-000075060000}"/>
    <cellStyle name="#_예정공정표_예술의 전당(KEPGO)_04년도서울지역굴착계획_수신-VDS내역서_20061103" xfId="3230" xr:uid="{00000000-0005-0000-0000-000076060000}"/>
    <cellStyle name="#_예정공정표_예술의 전당(KEPGO)_04년도서울지역굴착계획_육군 - 수량산출" xfId="3231" xr:uid="{00000000-0005-0000-0000-000077060000}"/>
    <cellStyle name="#_예정공정표_예술의 전당(KEPGO)_04년도서울지역굴착계획_육군 - 수량산출_수신-VDS내역서_20061103" xfId="3232" xr:uid="{00000000-0005-0000-0000-000078060000}"/>
    <cellStyle name="#_예정공정표_예술의 전당(KEPGO)_04년도서울지역굴착계획_육군관로" xfId="3233" xr:uid="{00000000-0005-0000-0000-000079060000}"/>
    <cellStyle name="#_예정공정표_예술의 전당(KEPGO)_04년도서울지역굴착계획_육군관로_수신-VDS내역서_20061103" xfId="3234" xr:uid="{00000000-0005-0000-0000-00007A060000}"/>
    <cellStyle name="#_예정공정표_예술의 전당(KEPGO)_04년도서울지역굴착계획_토토토" xfId="3235" xr:uid="{00000000-0005-0000-0000-00007B060000}"/>
    <cellStyle name="#_예정공정표_예술의 전당(KEPGO)_04년도서울지역굴착계획_토토토_수신-VDS내역서_20061103" xfId="3236" xr:uid="{00000000-0005-0000-0000-00007C060000}"/>
    <cellStyle name="#_예정공정표_예술의 전당(KEPGO)_09_덕-H02통신공사_설계서_v4" xfId="6787" xr:uid="{00000000-0005-0000-0000-00007D060000}"/>
    <cellStyle name="#_예정공정표_예술의 전당(KEPGO)_설계서_CCTV-V1" xfId="6788" xr:uid="{00000000-0005-0000-0000-00007E060000}"/>
    <cellStyle name="#_예정공정표_예술의 전당(KEPGO)_수량산출" xfId="3237" xr:uid="{00000000-0005-0000-0000-00007F060000}"/>
    <cellStyle name="#_예정공정표_예술의 전당(KEPGO)_수량산출_수신-VDS내역서_20061103" xfId="3238" xr:uid="{00000000-0005-0000-0000-000080060000}"/>
    <cellStyle name="#_예정공정표_예술의 전당(KEPGO)_수신-VDS내역서_20061103" xfId="3239" xr:uid="{00000000-0005-0000-0000-000081060000}"/>
    <cellStyle name="#_예정공정표_예술의 전당(KEPGO)_육군 - 수량산출" xfId="3240" xr:uid="{00000000-0005-0000-0000-000082060000}"/>
    <cellStyle name="#_예정공정표_예술의 전당(KEPGO)_육군 - 수량산출_수신-VDS내역서_20061103" xfId="3241" xr:uid="{00000000-0005-0000-0000-000083060000}"/>
    <cellStyle name="#_예정공정표_예술의 전당(KEPGO)_육군관로" xfId="3242" xr:uid="{00000000-0005-0000-0000-000084060000}"/>
    <cellStyle name="#_예정공정표_예술의 전당(KEPGO)_육군관로_수신-VDS내역서_20061103" xfId="3243" xr:uid="{00000000-0005-0000-0000-000085060000}"/>
    <cellStyle name="#_예정공정표_예술의 전당(KEPGO)_토토토" xfId="3244" xr:uid="{00000000-0005-0000-0000-000086060000}"/>
    <cellStyle name="#_예정공정표_예술의 전당(KEPGO)_토토토_수신-VDS내역서_20061103" xfId="3245" xr:uid="{00000000-0005-0000-0000-000087060000}"/>
    <cellStyle name="#_예정공정표_육군 - 수량산출" xfId="3246" xr:uid="{00000000-0005-0000-0000-000088060000}"/>
    <cellStyle name="#_예정공정표_육군관로" xfId="3247" xr:uid="{00000000-0005-0000-0000-000089060000}"/>
    <cellStyle name="#_예정공정표_토토토" xfId="3248" xr:uid="{00000000-0005-0000-0000-00008A060000}"/>
    <cellStyle name="#_표준(기별,현장보고서)" xfId="3249" xr:uid="{00000000-0005-0000-0000-00008B060000}"/>
    <cellStyle name="#_표준(기별,현장보고서)(국민은행4차시설공사" xfId="3250" xr:uid="{00000000-0005-0000-0000-00008C060000}"/>
    <cellStyle name="#_표준기별 (2)" xfId="3251" xr:uid="{00000000-0005-0000-0000-00008D060000}"/>
    <cellStyle name="#_품셈" xfId="3252" xr:uid="{00000000-0005-0000-0000-00008E060000}"/>
    <cellStyle name="#_품셈 " xfId="33" xr:uid="{00000000-0005-0000-0000-00008F060000}"/>
    <cellStyle name="#_품셈 (2)" xfId="3253" xr:uid="{00000000-0005-0000-0000-000090060000}"/>
    <cellStyle name="#_품셈 (2)_Book1" xfId="3254" xr:uid="{00000000-0005-0000-0000-000091060000}"/>
    <cellStyle name="#_품셈 (2)_Book1_04년도서울지역굴착계획" xfId="3255" xr:uid="{00000000-0005-0000-0000-000092060000}"/>
    <cellStyle name="#_품셈 (2)_Book1_04년도서울지역굴착계획_09_덕-H02통신공사_설계서_v4" xfId="6789" xr:uid="{00000000-0005-0000-0000-000093060000}"/>
    <cellStyle name="#_품셈 (2)_Book1_04년도서울지역굴착계획_설계서_CCTV-V1" xfId="6790" xr:uid="{00000000-0005-0000-0000-000094060000}"/>
    <cellStyle name="#_품셈 (2)_Book1_04년도서울지역굴착계획_수량산출" xfId="3256" xr:uid="{00000000-0005-0000-0000-000095060000}"/>
    <cellStyle name="#_품셈 (2)_Book1_04년도서울지역굴착계획_수량산출_수신-VDS내역서_20061103" xfId="3257" xr:uid="{00000000-0005-0000-0000-000096060000}"/>
    <cellStyle name="#_품셈 (2)_Book1_04년도서울지역굴착계획_수신-VDS내역서_20061103" xfId="3258" xr:uid="{00000000-0005-0000-0000-000097060000}"/>
    <cellStyle name="#_품셈 (2)_Book1_04년도서울지역굴착계획_육군 - 수량산출" xfId="3259" xr:uid="{00000000-0005-0000-0000-000098060000}"/>
    <cellStyle name="#_품셈 (2)_Book1_04년도서울지역굴착계획_육군 - 수량산출_수신-VDS내역서_20061103" xfId="3260" xr:uid="{00000000-0005-0000-0000-000099060000}"/>
    <cellStyle name="#_품셈 (2)_Book1_04년도서울지역굴착계획_육군관로" xfId="3261" xr:uid="{00000000-0005-0000-0000-00009A060000}"/>
    <cellStyle name="#_품셈 (2)_Book1_04년도서울지역굴착계획_육군관로_수신-VDS내역서_20061103" xfId="3262" xr:uid="{00000000-0005-0000-0000-00009B060000}"/>
    <cellStyle name="#_품셈 (2)_Book1_04년도서울지역굴착계획_토토토" xfId="3263" xr:uid="{00000000-0005-0000-0000-00009C060000}"/>
    <cellStyle name="#_품셈 (2)_Book1_04년도서울지역굴착계획_토토토_수신-VDS내역서_20061103" xfId="3264" xr:uid="{00000000-0005-0000-0000-00009D060000}"/>
    <cellStyle name="#_품셈 (2)_Book1_09_덕-H02통신공사_설계서_v4" xfId="6791" xr:uid="{00000000-0005-0000-0000-00009E060000}"/>
    <cellStyle name="#_품셈 (2)_Book1_설계서_CCTV-V1" xfId="6792" xr:uid="{00000000-0005-0000-0000-00009F060000}"/>
    <cellStyle name="#_품셈 (2)_Book1_수량산출" xfId="3265" xr:uid="{00000000-0005-0000-0000-0000A0060000}"/>
    <cellStyle name="#_품셈 (2)_Book1_수량산출_수신-VDS내역서_20061103" xfId="3266" xr:uid="{00000000-0005-0000-0000-0000A1060000}"/>
    <cellStyle name="#_품셈 (2)_Book1_수신-VDS내역서_20061103" xfId="3267" xr:uid="{00000000-0005-0000-0000-0000A2060000}"/>
    <cellStyle name="#_품셈 (2)_Book1_육군 - 수량산출" xfId="3268" xr:uid="{00000000-0005-0000-0000-0000A3060000}"/>
    <cellStyle name="#_품셈 (2)_Book1_육군 - 수량산출_수신-VDS내역서_20061103" xfId="3269" xr:uid="{00000000-0005-0000-0000-0000A4060000}"/>
    <cellStyle name="#_품셈 (2)_Book1_육군관로" xfId="3270" xr:uid="{00000000-0005-0000-0000-0000A5060000}"/>
    <cellStyle name="#_품셈 (2)_Book1_육군관로_수신-VDS내역서_20061103" xfId="3271" xr:uid="{00000000-0005-0000-0000-0000A6060000}"/>
    <cellStyle name="#_품셈 (2)_Book1_토토토" xfId="3272" xr:uid="{00000000-0005-0000-0000-0000A7060000}"/>
    <cellStyle name="#_품셈 (2)_Book1_토토토_수신-VDS내역서_20061103" xfId="3273" xr:uid="{00000000-0005-0000-0000-0000A8060000}"/>
    <cellStyle name="#_품셈 (2)_NEGS" xfId="3274" xr:uid="{00000000-0005-0000-0000-0000A9060000}"/>
    <cellStyle name="#_품셈 (2)_NEGS_04년도서울지역굴착계획" xfId="3275" xr:uid="{00000000-0005-0000-0000-0000AA060000}"/>
    <cellStyle name="#_품셈 (2)_NEGS_04년도서울지역굴착계획_09_덕-H02통신공사_설계서_v4" xfId="6793" xr:uid="{00000000-0005-0000-0000-0000AB060000}"/>
    <cellStyle name="#_품셈 (2)_NEGS_04년도서울지역굴착계획_설계서_CCTV-V1" xfId="6794" xr:uid="{00000000-0005-0000-0000-0000AC060000}"/>
    <cellStyle name="#_품셈 (2)_NEGS_04년도서울지역굴착계획_수량산출" xfId="3276" xr:uid="{00000000-0005-0000-0000-0000AD060000}"/>
    <cellStyle name="#_품셈 (2)_NEGS_04년도서울지역굴착계획_수량산출_수신-VDS내역서_20061103" xfId="3277" xr:uid="{00000000-0005-0000-0000-0000AE060000}"/>
    <cellStyle name="#_품셈 (2)_NEGS_04년도서울지역굴착계획_수신-VDS내역서_20061103" xfId="3278" xr:uid="{00000000-0005-0000-0000-0000AF060000}"/>
    <cellStyle name="#_품셈 (2)_NEGS_04년도서울지역굴착계획_육군 - 수량산출" xfId="3279" xr:uid="{00000000-0005-0000-0000-0000B0060000}"/>
    <cellStyle name="#_품셈 (2)_NEGS_04년도서울지역굴착계획_육군 - 수량산출_수신-VDS내역서_20061103" xfId="3280" xr:uid="{00000000-0005-0000-0000-0000B1060000}"/>
    <cellStyle name="#_품셈 (2)_NEGS_04년도서울지역굴착계획_육군관로" xfId="3281" xr:uid="{00000000-0005-0000-0000-0000B2060000}"/>
    <cellStyle name="#_품셈 (2)_NEGS_04년도서울지역굴착계획_육군관로_수신-VDS내역서_20061103" xfId="3282" xr:uid="{00000000-0005-0000-0000-0000B3060000}"/>
    <cellStyle name="#_품셈 (2)_NEGS_04년도서울지역굴착계획_토토토" xfId="3283" xr:uid="{00000000-0005-0000-0000-0000B4060000}"/>
    <cellStyle name="#_품셈 (2)_NEGS_04년도서울지역굴착계획_토토토_수신-VDS내역서_20061103" xfId="3284" xr:uid="{00000000-0005-0000-0000-0000B5060000}"/>
    <cellStyle name="#_품셈 (2)_NEGS_09_덕-H02통신공사_설계서_v4" xfId="6795" xr:uid="{00000000-0005-0000-0000-0000B6060000}"/>
    <cellStyle name="#_품셈 (2)_NEGS_설계서_CCTV-V1" xfId="6796" xr:uid="{00000000-0005-0000-0000-0000B7060000}"/>
    <cellStyle name="#_품셈 (2)_NEGS_수량산출" xfId="3285" xr:uid="{00000000-0005-0000-0000-0000B8060000}"/>
    <cellStyle name="#_품셈 (2)_NEGS_수량산출_수신-VDS내역서_20061103" xfId="3286" xr:uid="{00000000-0005-0000-0000-0000B9060000}"/>
    <cellStyle name="#_품셈 (2)_NEGS_수신-VDS내역서_20061103" xfId="3287" xr:uid="{00000000-0005-0000-0000-0000BA060000}"/>
    <cellStyle name="#_품셈 (2)_NEGS_육군 - 수량산출" xfId="3288" xr:uid="{00000000-0005-0000-0000-0000BB060000}"/>
    <cellStyle name="#_품셈 (2)_NEGS_육군 - 수량산출_수신-VDS내역서_20061103" xfId="3289" xr:uid="{00000000-0005-0000-0000-0000BC060000}"/>
    <cellStyle name="#_품셈 (2)_NEGS_육군관로" xfId="3290" xr:uid="{00000000-0005-0000-0000-0000BD060000}"/>
    <cellStyle name="#_품셈 (2)_NEGS_육군관로_수신-VDS내역서_20061103" xfId="3291" xr:uid="{00000000-0005-0000-0000-0000BE060000}"/>
    <cellStyle name="#_품셈 (2)_NEGS_토토토" xfId="3292" xr:uid="{00000000-0005-0000-0000-0000BF060000}"/>
    <cellStyle name="#_품셈 (2)_NEGS_토토토_수신-VDS내역서_20061103" xfId="3293" xr:uid="{00000000-0005-0000-0000-0000C0060000}"/>
    <cellStyle name="#_품셈 (2)_SKT CS-A4정산내역서 최종12.3" xfId="3294" xr:uid="{00000000-0005-0000-0000-0000C1060000}"/>
    <cellStyle name="#_품셈 (2)_SKT CS-A4정산내역서 최종12.3_04년도서울지역굴착계획" xfId="3295" xr:uid="{00000000-0005-0000-0000-0000C2060000}"/>
    <cellStyle name="#_품셈 (2)_SKT CS-A4정산내역서 최종12.3_04년도서울지역굴착계획_09_덕-H02통신공사_설계서_v4" xfId="6797" xr:uid="{00000000-0005-0000-0000-0000C3060000}"/>
    <cellStyle name="#_품셈 (2)_SKT CS-A4정산내역서 최종12.3_04년도서울지역굴착계획_설계서_CCTV-V1" xfId="6798" xr:uid="{00000000-0005-0000-0000-0000C4060000}"/>
    <cellStyle name="#_품셈 (2)_SKT CS-A4정산내역서 최종12.3_04년도서울지역굴착계획_수량산출" xfId="3296" xr:uid="{00000000-0005-0000-0000-0000C5060000}"/>
    <cellStyle name="#_품셈 (2)_SKT CS-A4정산내역서 최종12.3_04년도서울지역굴착계획_수량산출_수신-VDS내역서_20061103" xfId="3297" xr:uid="{00000000-0005-0000-0000-0000C6060000}"/>
    <cellStyle name="#_품셈 (2)_SKT CS-A4정산내역서 최종12.3_04년도서울지역굴착계획_수신-VDS내역서_20061103" xfId="3298" xr:uid="{00000000-0005-0000-0000-0000C7060000}"/>
    <cellStyle name="#_품셈 (2)_SKT CS-A4정산내역서 최종12.3_04년도서울지역굴착계획_육군 - 수량산출" xfId="3299" xr:uid="{00000000-0005-0000-0000-0000C8060000}"/>
    <cellStyle name="#_품셈 (2)_SKT CS-A4정산내역서 최종12.3_04년도서울지역굴착계획_육군 - 수량산출_수신-VDS내역서_20061103" xfId="3300" xr:uid="{00000000-0005-0000-0000-0000C9060000}"/>
    <cellStyle name="#_품셈 (2)_SKT CS-A4정산내역서 최종12.3_04년도서울지역굴착계획_육군관로" xfId="3301" xr:uid="{00000000-0005-0000-0000-0000CA060000}"/>
    <cellStyle name="#_품셈 (2)_SKT CS-A4정산내역서 최종12.3_04년도서울지역굴착계획_육군관로_수신-VDS내역서_20061103" xfId="3302" xr:uid="{00000000-0005-0000-0000-0000CB060000}"/>
    <cellStyle name="#_품셈 (2)_SKT CS-A4정산내역서 최종12.3_04년도서울지역굴착계획_토토토" xfId="3303" xr:uid="{00000000-0005-0000-0000-0000CC060000}"/>
    <cellStyle name="#_품셈 (2)_SKT CS-A4정산내역서 최종12.3_04년도서울지역굴착계획_토토토_수신-VDS내역서_20061103" xfId="3304" xr:uid="{00000000-0005-0000-0000-0000CD060000}"/>
    <cellStyle name="#_품셈 (2)_SKT CS-A4정산내역서 최종12.3_09_덕-H02통신공사_설계서_v4" xfId="6799" xr:uid="{00000000-0005-0000-0000-0000CE060000}"/>
    <cellStyle name="#_품셈 (2)_SKT CS-A4정산내역서 최종12.3_설계서_CCTV-V1" xfId="6800" xr:uid="{00000000-0005-0000-0000-0000CF060000}"/>
    <cellStyle name="#_품셈 (2)_SKT CS-A4정산내역서 최종12.3_수량산출" xfId="3305" xr:uid="{00000000-0005-0000-0000-0000D0060000}"/>
    <cellStyle name="#_품셈 (2)_SKT CS-A4정산내역서 최종12.3_수량산출_수신-VDS내역서_20061103" xfId="3306" xr:uid="{00000000-0005-0000-0000-0000D1060000}"/>
    <cellStyle name="#_품셈 (2)_SKT CS-A4정산내역서 최종12.3_수신-VDS내역서_20061103" xfId="3307" xr:uid="{00000000-0005-0000-0000-0000D2060000}"/>
    <cellStyle name="#_품셈 (2)_SKT CS-A4정산내역서 최종12.3_육군 - 수량산출" xfId="3308" xr:uid="{00000000-0005-0000-0000-0000D3060000}"/>
    <cellStyle name="#_품셈 (2)_SKT CS-A4정산내역서 최종12.3_육군 - 수량산출_수신-VDS내역서_20061103" xfId="3309" xr:uid="{00000000-0005-0000-0000-0000D4060000}"/>
    <cellStyle name="#_품셈 (2)_SKT CS-A4정산내역서 최종12.3_육군관로" xfId="3310" xr:uid="{00000000-0005-0000-0000-0000D5060000}"/>
    <cellStyle name="#_품셈 (2)_SKT CS-A4정산내역서 최종12.3_육군관로_수신-VDS내역서_20061103" xfId="3311" xr:uid="{00000000-0005-0000-0000-0000D6060000}"/>
    <cellStyle name="#_품셈 (2)_SKT CS-A4정산내역서 최종12.3_토토토" xfId="3312" xr:uid="{00000000-0005-0000-0000-0000D7060000}"/>
    <cellStyle name="#_품셈 (2)_SKT CS-A4정산내역서 최종12.3_토토토_수신-VDS내역서_20061103" xfId="3313" xr:uid="{00000000-0005-0000-0000-0000D8060000}"/>
    <cellStyle name="#_품셈 (2)_SKT CS-A4정산내역서+CS-A2" xfId="3314" xr:uid="{00000000-0005-0000-0000-0000D9060000}"/>
    <cellStyle name="#_품셈 (2)_SKT CS-A4정산내역서+CS-A2_04년도서울지역굴착계획" xfId="3315" xr:uid="{00000000-0005-0000-0000-0000DA060000}"/>
    <cellStyle name="#_품셈 (2)_SKT CS-A4정산내역서+CS-A2_04년도서울지역굴착계획_09_덕-H02통신공사_설계서_v4" xfId="6801" xr:uid="{00000000-0005-0000-0000-0000DB060000}"/>
    <cellStyle name="#_품셈 (2)_SKT CS-A4정산내역서+CS-A2_04년도서울지역굴착계획_설계서_CCTV-V1" xfId="6802" xr:uid="{00000000-0005-0000-0000-0000DC060000}"/>
    <cellStyle name="#_품셈 (2)_SKT CS-A4정산내역서+CS-A2_04년도서울지역굴착계획_수량산출" xfId="3316" xr:uid="{00000000-0005-0000-0000-0000DD060000}"/>
    <cellStyle name="#_품셈 (2)_SKT CS-A4정산내역서+CS-A2_04년도서울지역굴착계획_수량산출_수신-VDS내역서_20061103" xfId="3317" xr:uid="{00000000-0005-0000-0000-0000DE060000}"/>
    <cellStyle name="#_품셈 (2)_SKT CS-A4정산내역서+CS-A2_04년도서울지역굴착계획_수신-VDS내역서_20061103" xfId="3318" xr:uid="{00000000-0005-0000-0000-0000DF060000}"/>
    <cellStyle name="#_품셈 (2)_SKT CS-A4정산내역서+CS-A2_04년도서울지역굴착계획_육군 - 수량산출" xfId="3319" xr:uid="{00000000-0005-0000-0000-0000E0060000}"/>
    <cellStyle name="#_품셈 (2)_SKT CS-A4정산내역서+CS-A2_04년도서울지역굴착계획_육군 - 수량산출_수신-VDS내역서_20061103" xfId="3320" xr:uid="{00000000-0005-0000-0000-0000E1060000}"/>
    <cellStyle name="#_품셈 (2)_SKT CS-A4정산내역서+CS-A2_04년도서울지역굴착계획_육군관로" xfId="3321" xr:uid="{00000000-0005-0000-0000-0000E2060000}"/>
    <cellStyle name="#_품셈 (2)_SKT CS-A4정산내역서+CS-A2_04년도서울지역굴착계획_육군관로_수신-VDS내역서_20061103" xfId="3322" xr:uid="{00000000-0005-0000-0000-0000E3060000}"/>
    <cellStyle name="#_품셈 (2)_SKT CS-A4정산내역서+CS-A2_04년도서울지역굴착계획_토토토" xfId="3323" xr:uid="{00000000-0005-0000-0000-0000E4060000}"/>
    <cellStyle name="#_품셈 (2)_SKT CS-A4정산내역서+CS-A2_04년도서울지역굴착계획_토토토_수신-VDS내역서_20061103" xfId="3324" xr:uid="{00000000-0005-0000-0000-0000E5060000}"/>
    <cellStyle name="#_품셈 (2)_SKT CS-A4정산내역서+CS-A2_09_덕-H02통신공사_설계서_v4" xfId="6803" xr:uid="{00000000-0005-0000-0000-0000E6060000}"/>
    <cellStyle name="#_품셈 (2)_SKT CS-A4정산내역서+CS-A2_설계서_CCTV-V1" xfId="6804" xr:uid="{00000000-0005-0000-0000-0000E7060000}"/>
    <cellStyle name="#_품셈 (2)_SKT CS-A4정산내역서+CS-A2_수량산출" xfId="3325" xr:uid="{00000000-0005-0000-0000-0000E8060000}"/>
    <cellStyle name="#_품셈 (2)_SKT CS-A4정산내역서+CS-A2_수량산출_수신-VDS내역서_20061103" xfId="3326" xr:uid="{00000000-0005-0000-0000-0000E9060000}"/>
    <cellStyle name="#_품셈 (2)_SKT CS-A4정산내역서+CS-A2_수신-VDS내역서_20061103" xfId="3327" xr:uid="{00000000-0005-0000-0000-0000EA060000}"/>
    <cellStyle name="#_품셈 (2)_SKT CS-A4정산내역서+CS-A2_육군 - 수량산출" xfId="3328" xr:uid="{00000000-0005-0000-0000-0000EB060000}"/>
    <cellStyle name="#_품셈 (2)_SKT CS-A4정산내역서+CS-A2_육군 - 수량산출_수신-VDS내역서_20061103" xfId="3329" xr:uid="{00000000-0005-0000-0000-0000EC060000}"/>
    <cellStyle name="#_품셈 (2)_SKT CS-A4정산내역서+CS-A2_육군관로" xfId="3330" xr:uid="{00000000-0005-0000-0000-0000ED060000}"/>
    <cellStyle name="#_품셈 (2)_SKT CS-A4정산내역서+CS-A2_육군관로_수신-VDS내역서_20061103" xfId="3331" xr:uid="{00000000-0005-0000-0000-0000EE060000}"/>
    <cellStyle name="#_품셈 (2)_SKT CS-A4정산내역서+CS-A2_토토토" xfId="3332" xr:uid="{00000000-0005-0000-0000-0000EF060000}"/>
    <cellStyle name="#_품셈 (2)_SKT CS-A4정산내역서+CS-A2_토토토_수신-VDS내역서_20061103" xfId="3333" xr:uid="{00000000-0005-0000-0000-0000F0060000}"/>
    <cellStyle name="#_품셈 (2)_강동구청허가신청" xfId="3334" xr:uid="{00000000-0005-0000-0000-0000F1060000}"/>
    <cellStyle name="#_품셈 (2)_강동구청허가신청_04년도서울지역굴착계획" xfId="3335" xr:uid="{00000000-0005-0000-0000-0000F2060000}"/>
    <cellStyle name="#_품셈 (2)_강동구청허가신청_04년도서울지역굴착계획_09_덕-H02통신공사_설계서_v4" xfId="6805" xr:uid="{00000000-0005-0000-0000-0000F3060000}"/>
    <cellStyle name="#_품셈 (2)_강동구청허가신청_04년도서울지역굴착계획_설계서_CCTV-V1" xfId="6806" xr:uid="{00000000-0005-0000-0000-0000F4060000}"/>
    <cellStyle name="#_품셈 (2)_강동구청허가신청_04년도서울지역굴착계획_수신-VDS내역서_20061103" xfId="3336" xr:uid="{00000000-0005-0000-0000-0000F5060000}"/>
    <cellStyle name="#_품셈 (2)_강동구청허가신청_09_덕-H02통신공사_설계서_v4" xfId="6807" xr:uid="{00000000-0005-0000-0000-0000F6060000}"/>
    <cellStyle name="#_품셈 (2)_강동구청허가신청_설계서_CCTV-V1" xfId="6808" xr:uid="{00000000-0005-0000-0000-0000F7060000}"/>
    <cellStyle name="#_품셈 (2)_강동구청허가신청_수신-VDS내역서_20061103" xfId="3337" xr:uid="{00000000-0005-0000-0000-0000F8060000}"/>
    <cellStyle name="#_품셈 (2)_담당자" xfId="6809" xr:uid="{00000000-0005-0000-0000-0000F9060000}"/>
    <cellStyle name="#_품셈 (2)_담당자_설계종합514" xfId="6810" xr:uid="{00000000-0005-0000-0000-0000FA060000}"/>
    <cellStyle name="#_품셈 (2)_도로공사신고서(수서경찰서)" xfId="3338" xr:uid="{00000000-0005-0000-0000-0000FB060000}"/>
    <cellStyle name="#_품셈 (2)_도로공사신고서(수서경찰서)_수량산출" xfId="3339" xr:uid="{00000000-0005-0000-0000-0000FC060000}"/>
    <cellStyle name="#_품셈 (2)_도로공사신고서(수서경찰서)_육군 - 수량산출" xfId="3340" xr:uid="{00000000-0005-0000-0000-0000FD060000}"/>
    <cellStyle name="#_품셈 (2)_도로공사신고서(수서경찰서)_육군관로" xfId="3341" xr:uid="{00000000-0005-0000-0000-0000FE060000}"/>
    <cellStyle name="#_품셈 (2)_도로공사신고서(수서경찰서)_토토토" xfId="3342" xr:uid="{00000000-0005-0000-0000-0000FF060000}"/>
    <cellStyle name="#_품셈 (2)_설계서" xfId="3343" xr:uid="{00000000-0005-0000-0000-000000070000}"/>
    <cellStyle name="#_품셈 (2)_설계서_04년도서울지역굴착계획" xfId="3344" xr:uid="{00000000-0005-0000-0000-000001070000}"/>
    <cellStyle name="#_품셈 (2)_설계서_04년도서울지역굴착계획_09_덕-H02통신공사_설계서_v4" xfId="6811" xr:uid="{00000000-0005-0000-0000-000002070000}"/>
    <cellStyle name="#_품셈 (2)_설계서_04년도서울지역굴착계획_설계서_CCTV-V1" xfId="6812" xr:uid="{00000000-0005-0000-0000-000003070000}"/>
    <cellStyle name="#_품셈 (2)_설계서_04년도서울지역굴착계획_수신-VDS내역서_20061103" xfId="3345" xr:uid="{00000000-0005-0000-0000-000004070000}"/>
    <cellStyle name="#_품셈 (2)_설계서_09_덕-H02통신공사_설계서_v4" xfId="6813" xr:uid="{00000000-0005-0000-0000-000005070000}"/>
    <cellStyle name="#_품셈 (2)_설계서_설계서_CCTV-V1" xfId="6814" xr:uid="{00000000-0005-0000-0000-000006070000}"/>
    <cellStyle name="#_품셈 (2)_설계서_수신-VDS내역서_20061103" xfId="3346" xr:uid="{00000000-0005-0000-0000-000007070000}"/>
    <cellStyle name="#_품셈 (2)_설계종합514" xfId="6815" xr:uid="{00000000-0005-0000-0000-000008070000}"/>
    <cellStyle name="#_품셈 (2)_수량산출" xfId="3347" xr:uid="{00000000-0005-0000-0000-000009070000}"/>
    <cellStyle name="#_품셈 (2)_예술의 전당(KEPGO)" xfId="3348" xr:uid="{00000000-0005-0000-0000-00000A070000}"/>
    <cellStyle name="#_품셈 (2)_예술의 전당(KEPGO)_04년도서울지역굴착계획" xfId="3349" xr:uid="{00000000-0005-0000-0000-00000B070000}"/>
    <cellStyle name="#_품셈 (2)_예술의 전당(KEPGO)_04년도서울지역굴착계획_09_덕-H02통신공사_설계서_v4" xfId="6816" xr:uid="{00000000-0005-0000-0000-00000C070000}"/>
    <cellStyle name="#_품셈 (2)_예술의 전당(KEPGO)_04년도서울지역굴착계획_설계서_CCTV-V1" xfId="6817" xr:uid="{00000000-0005-0000-0000-00000D070000}"/>
    <cellStyle name="#_품셈 (2)_예술의 전당(KEPGO)_04년도서울지역굴착계획_수량산출" xfId="3350" xr:uid="{00000000-0005-0000-0000-00000E070000}"/>
    <cellStyle name="#_품셈 (2)_예술의 전당(KEPGO)_04년도서울지역굴착계획_수량산출_수신-VDS내역서_20061103" xfId="3351" xr:uid="{00000000-0005-0000-0000-00000F070000}"/>
    <cellStyle name="#_품셈 (2)_예술의 전당(KEPGO)_04년도서울지역굴착계획_수신-VDS내역서_20061103" xfId="3352" xr:uid="{00000000-0005-0000-0000-000010070000}"/>
    <cellStyle name="#_품셈 (2)_예술의 전당(KEPGO)_04년도서울지역굴착계획_육군 - 수량산출" xfId="3353" xr:uid="{00000000-0005-0000-0000-000011070000}"/>
    <cellStyle name="#_품셈 (2)_예술의 전당(KEPGO)_04년도서울지역굴착계획_육군 - 수량산출_수신-VDS내역서_20061103" xfId="3354" xr:uid="{00000000-0005-0000-0000-000012070000}"/>
    <cellStyle name="#_품셈 (2)_예술의 전당(KEPGO)_04년도서울지역굴착계획_육군관로" xfId="3355" xr:uid="{00000000-0005-0000-0000-000013070000}"/>
    <cellStyle name="#_품셈 (2)_예술의 전당(KEPGO)_04년도서울지역굴착계획_육군관로_수신-VDS내역서_20061103" xfId="3356" xr:uid="{00000000-0005-0000-0000-000014070000}"/>
    <cellStyle name="#_품셈 (2)_예술의 전당(KEPGO)_04년도서울지역굴착계획_토토토" xfId="3357" xr:uid="{00000000-0005-0000-0000-000015070000}"/>
    <cellStyle name="#_품셈 (2)_예술의 전당(KEPGO)_04년도서울지역굴착계획_토토토_수신-VDS내역서_20061103" xfId="3358" xr:uid="{00000000-0005-0000-0000-000016070000}"/>
    <cellStyle name="#_품셈 (2)_예술의 전당(KEPGO)_09_덕-H02통신공사_설계서_v4" xfId="6818" xr:uid="{00000000-0005-0000-0000-000017070000}"/>
    <cellStyle name="#_품셈 (2)_예술의 전당(KEPGO)_설계서_CCTV-V1" xfId="6819" xr:uid="{00000000-0005-0000-0000-000018070000}"/>
    <cellStyle name="#_품셈 (2)_예술의 전당(KEPGO)_수량산출" xfId="3359" xr:uid="{00000000-0005-0000-0000-000019070000}"/>
    <cellStyle name="#_품셈 (2)_예술의 전당(KEPGO)_수량산출_수신-VDS내역서_20061103" xfId="3360" xr:uid="{00000000-0005-0000-0000-00001A070000}"/>
    <cellStyle name="#_품셈 (2)_예술의 전당(KEPGO)_수신-VDS내역서_20061103" xfId="3361" xr:uid="{00000000-0005-0000-0000-00001B070000}"/>
    <cellStyle name="#_품셈 (2)_예술의 전당(KEPGO)_육군 - 수량산출" xfId="3362" xr:uid="{00000000-0005-0000-0000-00001C070000}"/>
    <cellStyle name="#_품셈 (2)_예술의 전당(KEPGO)_육군 - 수량산출_수신-VDS내역서_20061103" xfId="3363" xr:uid="{00000000-0005-0000-0000-00001D070000}"/>
    <cellStyle name="#_품셈 (2)_예술의 전당(KEPGO)_육군관로" xfId="3364" xr:uid="{00000000-0005-0000-0000-00001E070000}"/>
    <cellStyle name="#_품셈 (2)_예술의 전당(KEPGO)_육군관로_수신-VDS내역서_20061103" xfId="3365" xr:uid="{00000000-0005-0000-0000-00001F070000}"/>
    <cellStyle name="#_품셈 (2)_예술의 전당(KEPGO)_토토토" xfId="3366" xr:uid="{00000000-0005-0000-0000-000020070000}"/>
    <cellStyle name="#_품셈 (2)_예술의 전당(KEPGO)_토토토_수신-VDS내역서_20061103" xfId="3367" xr:uid="{00000000-0005-0000-0000-000021070000}"/>
    <cellStyle name="#_품셈 (2)_육군 - 수량산출" xfId="3368" xr:uid="{00000000-0005-0000-0000-000022070000}"/>
    <cellStyle name="#_품셈 (2)_육군관로" xfId="3369" xr:uid="{00000000-0005-0000-0000-000023070000}"/>
    <cellStyle name="#_품셈 (2)_토토토" xfId="3370" xr:uid="{00000000-0005-0000-0000-000024070000}"/>
    <cellStyle name="#_품셈 (2)_표준(기별,현장보고서)" xfId="3371" xr:uid="{00000000-0005-0000-0000-000025070000}"/>
    <cellStyle name="#_품셈 (2)_표준(기별,현장보고서)(국민은행4차시설공사" xfId="3372" xr:uid="{00000000-0005-0000-0000-000026070000}"/>
    <cellStyle name="#_품셈 (2)_표준(기별,현장보고서)(국민은행4차시설공사_수량산출" xfId="3373" xr:uid="{00000000-0005-0000-0000-000027070000}"/>
    <cellStyle name="#_품셈 (2)_표준(기별,현장보고서)(국민은행4차시설공사_육군 - 수량산출" xfId="3374" xr:uid="{00000000-0005-0000-0000-000028070000}"/>
    <cellStyle name="#_품셈 (2)_표준(기별,현장보고서)(국민은행4차시설공사_육군관로" xfId="3375" xr:uid="{00000000-0005-0000-0000-000029070000}"/>
    <cellStyle name="#_품셈 (2)_표준(기별,현장보고서)(국민은행4차시설공사_토토토" xfId="3376" xr:uid="{00000000-0005-0000-0000-00002A070000}"/>
    <cellStyle name="#_품셈 (2)_표준(기별,현장보고서)_수량산출" xfId="3377" xr:uid="{00000000-0005-0000-0000-00002B070000}"/>
    <cellStyle name="#_품셈 (2)_표준(기별,현장보고서)_육군 - 수량산출" xfId="3378" xr:uid="{00000000-0005-0000-0000-00002C070000}"/>
    <cellStyle name="#_품셈 (2)_표준(기별,현장보고서)_육군관로" xfId="3379" xr:uid="{00000000-0005-0000-0000-00002D070000}"/>
    <cellStyle name="#_품셈 (2)_표준(기별,현장보고서)_토토토" xfId="3380" xr:uid="{00000000-0005-0000-0000-00002E070000}"/>
    <cellStyle name="#_품셈 (2)_표준기별 (2)" xfId="3381" xr:uid="{00000000-0005-0000-0000-00002F070000}"/>
    <cellStyle name="#_품셈 (2)_표준기별 (2)_수량산출" xfId="3382" xr:uid="{00000000-0005-0000-0000-000030070000}"/>
    <cellStyle name="#_품셈 (2)_표준기별 (2)_육군 - 수량산출" xfId="3383" xr:uid="{00000000-0005-0000-0000-000031070000}"/>
    <cellStyle name="#_품셈 (2)_표준기별 (2)_육군관로" xfId="3384" xr:uid="{00000000-0005-0000-0000-000032070000}"/>
    <cellStyle name="#_품셈 (2)_표준기별 (2)_토토토" xfId="3385" xr:uid="{00000000-0005-0000-0000-000033070000}"/>
    <cellStyle name="#_품셈 _A2 SKT CC정산" xfId="3386" xr:uid="{00000000-0005-0000-0000-000034070000}"/>
    <cellStyle name="#_품셈 _A7 SKT CC정산" xfId="3387" xr:uid="{00000000-0005-0000-0000-000035070000}"/>
    <cellStyle name="#_품셈 _SKT CC-A7" xfId="3388" xr:uid="{00000000-0005-0000-0000-000036070000}"/>
    <cellStyle name="#_품셈 _강릉지장이전1" xfId="3389" xr:uid="{00000000-0005-0000-0000-000037070000}"/>
    <cellStyle name="#_품셈 _공주유구반포" xfId="3390" xr:uid="{00000000-0005-0000-0000-000038070000}"/>
    <cellStyle name="#_품셈 _이설기별2" xfId="3391" xr:uid="{00000000-0005-0000-0000-000039070000}"/>
    <cellStyle name="#_품셈 _일월(동현지108외7건)" xfId="3392" xr:uid="{00000000-0005-0000-0000-00003A070000}"/>
    <cellStyle name="#_품셈 _정산432" xfId="3393" xr:uid="{00000000-0005-0000-0000-00003B070000}"/>
    <cellStyle name="#_품셈 _정산서류(LC-A9)" xfId="3394" xr:uid="{00000000-0005-0000-0000-00003C070000}"/>
    <cellStyle name="#_품셈 _지장이설1차" xfId="3395" xr:uid="{00000000-0005-0000-0000-00003D070000}"/>
    <cellStyle name="#_품셈 _지장이설1차(가라)" xfId="3396" xr:uid="{00000000-0005-0000-0000-00003E070000}"/>
    <cellStyle name="#_품셈_Book1" xfId="3397" xr:uid="{00000000-0005-0000-0000-00003F070000}"/>
    <cellStyle name="#_품셈_Book1_04년도서울지역굴착계획" xfId="3398" xr:uid="{00000000-0005-0000-0000-000040070000}"/>
    <cellStyle name="#_품셈_Book1_04년도서울지역굴착계획_09_덕-H02통신공사_설계서_v4" xfId="6820" xr:uid="{00000000-0005-0000-0000-000041070000}"/>
    <cellStyle name="#_품셈_Book1_04년도서울지역굴착계획_설계서_CCTV-V1" xfId="6821" xr:uid="{00000000-0005-0000-0000-000042070000}"/>
    <cellStyle name="#_품셈_Book1_04년도서울지역굴착계획_수량산출" xfId="3399" xr:uid="{00000000-0005-0000-0000-000043070000}"/>
    <cellStyle name="#_품셈_Book1_04년도서울지역굴착계획_수량산출_수신-VDS내역서_20061103" xfId="3400" xr:uid="{00000000-0005-0000-0000-000044070000}"/>
    <cellStyle name="#_품셈_Book1_04년도서울지역굴착계획_수신-VDS내역서_20061103" xfId="3401" xr:uid="{00000000-0005-0000-0000-000045070000}"/>
    <cellStyle name="#_품셈_Book1_04년도서울지역굴착계획_육군 - 수량산출" xfId="3402" xr:uid="{00000000-0005-0000-0000-000046070000}"/>
    <cellStyle name="#_품셈_Book1_04년도서울지역굴착계획_육군 - 수량산출_수신-VDS내역서_20061103" xfId="3403" xr:uid="{00000000-0005-0000-0000-000047070000}"/>
    <cellStyle name="#_품셈_Book1_04년도서울지역굴착계획_육군관로" xfId="3404" xr:uid="{00000000-0005-0000-0000-000048070000}"/>
    <cellStyle name="#_품셈_Book1_04년도서울지역굴착계획_육군관로_수신-VDS내역서_20061103" xfId="3405" xr:uid="{00000000-0005-0000-0000-000049070000}"/>
    <cellStyle name="#_품셈_Book1_04년도서울지역굴착계획_토토토" xfId="3406" xr:uid="{00000000-0005-0000-0000-00004A070000}"/>
    <cellStyle name="#_품셈_Book1_04년도서울지역굴착계획_토토토_수신-VDS내역서_20061103" xfId="3407" xr:uid="{00000000-0005-0000-0000-00004B070000}"/>
    <cellStyle name="#_품셈_Book1_09_덕-H02통신공사_설계서_v4" xfId="6822" xr:uid="{00000000-0005-0000-0000-00004C070000}"/>
    <cellStyle name="#_품셈_Book1_설계서_CCTV-V1" xfId="6823" xr:uid="{00000000-0005-0000-0000-00004D070000}"/>
    <cellStyle name="#_품셈_Book1_수량산출" xfId="3408" xr:uid="{00000000-0005-0000-0000-00004E070000}"/>
    <cellStyle name="#_품셈_Book1_수량산출_수신-VDS내역서_20061103" xfId="3409" xr:uid="{00000000-0005-0000-0000-00004F070000}"/>
    <cellStyle name="#_품셈_Book1_수신-VDS내역서_20061103" xfId="3410" xr:uid="{00000000-0005-0000-0000-000050070000}"/>
    <cellStyle name="#_품셈_Book1_육군 - 수량산출" xfId="3411" xr:uid="{00000000-0005-0000-0000-000051070000}"/>
    <cellStyle name="#_품셈_Book1_육군 - 수량산출_수신-VDS내역서_20061103" xfId="3412" xr:uid="{00000000-0005-0000-0000-000052070000}"/>
    <cellStyle name="#_품셈_Book1_육군관로" xfId="3413" xr:uid="{00000000-0005-0000-0000-000053070000}"/>
    <cellStyle name="#_품셈_Book1_육군관로_수신-VDS내역서_20061103" xfId="3414" xr:uid="{00000000-0005-0000-0000-000054070000}"/>
    <cellStyle name="#_품셈_Book1_토토토" xfId="3415" xr:uid="{00000000-0005-0000-0000-000055070000}"/>
    <cellStyle name="#_품셈_Book1_토토토_수신-VDS내역서_20061103" xfId="3416" xr:uid="{00000000-0005-0000-0000-000056070000}"/>
    <cellStyle name="#_품셈_NEGS" xfId="3417" xr:uid="{00000000-0005-0000-0000-000057070000}"/>
    <cellStyle name="#_품셈_NEGS_04년도서울지역굴착계획" xfId="3418" xr:uid="{00000000-0005-0000-0000-000058070000}"/>
    <cellStyle name="#_품셈_NEGS_04년도서울지역굴착계획_09_덕-H02통신공사_설계서_v4" xfId="6824" xr:uid="{00000000-0005-0000-0000-000059070000}"/>
    <cellStyle name="#_품셈_NEGS_04년도서울지역굴착계획_설계서_CCTV-V1" xfId="6825" xr:uid="{00000000-0005-0000-0000-00005A070000}"/>
    <cellStyle name="#_품셈_NEGS_04년도서울지역굴착계획_수량산출" xfId="3419" xr:uid="{00000000-0005-0000-0000-00005B070000}"/>
    <cellStyle name="#_품셈_NEGS_04년도서울지역굴착계획_수량산출_수신-VDS내역서_20061103" xfId="3420" xr:uid="{00000000-0005-0000-0000-00005C070000}"/>
    <cellStyle name="#_품셈_NEGS_04년도서울지역굴착계획_수신-VDS내역서_20061103" xfId="3421" xr:uid="{00000000-0005-0000-0000-00005D070000}"/>
    <cellStyle name="#_품셈_NEGS_04년도서울지역굴착계획_육군 - 수량산출" xfId="3422" xr:uid="{00000000-0005-0000-0000-00005E070000}"/>
    <cellStyle name="#_품셈_NEGS_04년도서울지역굴착계획_육군 - 수량산출_수신-VDS내역서_20061103" xfId="3423" xr:uid="{00000000-0005-0000-0000-00005F070000}"/>
    <cellStyle name="#_품셈_NEGS_04년도서울지역굴착계획_육군관로" xfId="3424" xr:uid="{00000000-0005-0000-0000-000060070000}"/>
    <cellStyle name="#_품셈_NEGS_04년도서울지역굴착계획_육군관로_수신-VDS내역서_20061103" xfId="3425" xr:uid="{00000000-0005-0000-0000-000061070000}"/>
    <cellStyle name="#_품셈_NEGS_04년도서울지역굴착계획_토토토" xfId="3426" xr:uid="{00000000-0005-0000-0000-000062070000}"/>
    <cellStyle name="#_품셈_NEGS_04년도서울지역굴착계획_토토토_수신-VDS내역서_20061103" xfId="3427" xr:uid="{00000000-0005-0000-0000-000063070000}"/>
    <cellStyle name="#_품셈_NEGS_09_덕-H02통신공사_설계서_v4" xfId="6826" xr:uid="{00000000-0005-0000-0000-000064070000}"/>
    <cellStyle name="#_품셈_NEGS_설계서_CCTV-V1" xfId="6827" xr:uid="{00000000-0005-0000-0000-000065070000}"/>
    <cellStyle name="#_품셈_NEGS_수량산출" xfId="3428" xr:uid="{00000000-0005-0000-0000-000066070000}"/>
    <cellStyle name="#_품셈_NEGS_수량산출_수신-VDS내역서_20061103" xfId="3429" xr:uid="{00000000-0005-0000-0000-000067070000}"/>
    <cellStyle name="#_품셈_NEGS_수신-VDS내역서_20061103" xfId="3430" xr:uid="{00000000-0005-0000-0000-000068070000}"/>
    <cellStyle name="#_품셈_NEGS_육군 - 수량산출" xfId="3431" xr:uid="{00000000-0005-0000-0000-000069070000}"/>
    <cellStyle name="#_품셈_NEGS_육군 - 수량산출_수신-VDS내역서_20061103" xfId="3432" xr:uid="{00000000-0005-0000-0000-00006A070000}"/>
    <cellStyle name="#_품셈_NEGS_육군관로" xfId="3433" xr:uid="{00000000-0005-0000-0000-00006B070000}"/>
    <cellStyle name="#_품셈_NEGS_육군관로_수신-VDS내역서_20061103" xfId="3434" xr:uid="{00000000-0005-0000-0000-00006C070000}"/>
    <cellStyle name="#_품셈_NEGS_토토토" xfId="3435" xr:uid="{00000000-0005-0000-0000-00006D070000}"/>
    <cellStyle name="#_품셈_NEGS_토토토_수신-VDS내역서_20061103" xfId="3436" xr:uid="{00000000-0005-0000-0000-00006E070000}"/>
    <cellStyle name="#_품셈_SKT CS-A4정산내역서 최종12.3" xfId="3437" xr:uid="{00000000-0005-0000-0000-00006F070000}"/>
    <cellStyle name="#_품셈_SKT CS-A4정산내역서 최종12.3_04년도서울지역굴착계획" xfId="3438" xr:uid="{00000000-0005-0000-0000-000070070000}"/>
    <cellStyle name="#_품셈_SKT CS-A4정산내역서 최종12.3_04년도서울지역굴착계획_09_덕-H02통신공사_설계서_v4" xfId="6828" xr:uid="{00000000-0005-0000-0000-000071070000}"/>
    <cellStyle name="#_품셈_SKT CS-A4정산내역서 최종12.3_04년도서울지역굴착계획_설계서_CCTV-V1" xfId="6829" xr:uid="{00000000-0005-0000-0000-000072070000}"/>
    <cellStyle name="#_품셈_SKT CS-A4정산내역서 최종12.3_04년도서울지역굴착계획_수량산출" xfId="3439" xr:uid="{00000000-0005-0000-0000-000073070000}"/>
    <cellStyle name="#_품셈_SKT CS-A4정산내역서 최종12.3_04년도서울지역굴착계획_수량산출_수신-VDS내역서_20061103" xfId="3440" xr:uid="{00000000-0005-0000-0000-000074070000}"/>
    <cellStyle name="#_품셈_SKT CS-A4정산내역서 최종12.3_04년도서울지역굴착계획_수신-VDS내역서_20061103" xfId="3441" xr:uid="{00000000-0005-0000-0000-000075070000}"/>
    <cellStyle name="#_품셈_SKT CS-A4정산내역서 최종12.3_04년도서울지역굴착계획_육군 - 수량산출" xfId="3442" xr:uid="{00000000-0005-0000-0000-000076070000}"/>
    <cellStyle name="#_품셈_SKT CS-A4정산내역서 최종12.3_04년도서울지역굴착계획_육군 - 수량산출_수신-VDS내역서_20061103" xfId="3443" xr:uid="{00000000-0005-0000-0000-000077070000}"/>
    <cellStyle name="#_품셈_SKT CS-A4정산내역서 최종12.3_04년도서울지역굴착계획_육군관로" xfId="3444" xr:uid="{00000000-0005-0000-0000-000078070000}"/>
    <cellStyle name="#_품셈_SKT CS-A4정산내역서 최종12.3_04년도서울지역굴착계획_육군관로_수신-VDS내역서_20061103" xfId="3445" xr:uid="{00000000-0005-0000-0000-000079070000}"/>
    <cellStyle name="#_품셈_SKT CS-A4정산내역서 최종12.3_04년도서울지역굴착계획_토토토" xfId="3446" xr:uid="{00000000-0005-0000-0000-00007A070000}"/>
    <cellStyle name="#_품셈_SKT CS-A4정산내역서 최종12.3_04년도서울지역굴착계획_토토토_수신-VDS내역서_20061103" xfId="3447" xr:uid="{00000000-0005-0000-0000-00007B070000}"/>
    <cellStyle name="#_품셈_SKT CS-A4정산내역서 최종12.3_09_덕-H02통신공사_설계서_v4" xfId="6830" xr:uid="{00000000-0005-0000-0000-00007C070000}"/>
    <cellStyle name="#_품셈_SKT CS-A4정산내역서 최종12.3_설계서_CCTV-V1" xfId="6831" xr:uid="{00000000-0005-0000-0000-00007D070000}"/>
    <cellStyle name="#_품셈_SKT CS-A4정산내역서 최종12.3_수량산출" xfId="3448" xr:uid="{00000000-0005-0000-0000-00007E070000}"/>
    <cellStyle name="#_품셈_SKT CS-A4정산내역서 최종12.3_수량산출_수신-VDS내역서_20061103" xfId="3449" xr:uid="{00000000-0005-0000-0000-00007F070000}"/>
    <cellStyle name="#_품셈_SKT CS-A4정산내역서 최종12.3_수신-VDS내역서_20061103" xfId="3450" xr:uid="{00000000-0005-0000-0000-000080070000}"/>
    <cellStyle name="#_품셈_SKT CS-A4정산내역서 최종12.3_육군 - 수량산출" xfId="3451" xr:uid="{00000000-0005-0000-0000-000081070000}"/>
    <cellStyle name="#_품셈_SKT CS-A4정산내역서 최종12.3_육군 - 수량산출_수신-VDS내역서_20061103" xfId="3452" xr:uid="{00000000-0005-0000-0000-000082070000}"/>
    <cellStyle name="#_품셈_SKT CS-A4정산내역서 최종12.3_육군관로" xfId="3453" xr:uid="{00000000-0005-0000-0000-000083070000}"/>
    <cellStyle name="#_품셈_SKT CS-A4정산내역서 최종12.3_육군관로_수신-VDS내역서_20061103" xfId="3454" xr:uid="{00000000-0005-0000-0000-000084070000}"/>
    <cellStyle name="#_품셈_SKT CS-A4정산내역서 최종12.3_토토토" xfId="3455" xr:uid="{00000000-0005-0000-0000-000085070000}"/>
    <cellStyle name="#_품셈_SKT CS-A4정산내역서 최종12.3_토토토_수신-VDS내역서_20061103" xfId="3456" xr:uid="{00000000-0005-0000-0000-000086070000}"/>
    <cellStyle name="#_품셈_SKT CS-A4정산내역서+CS-A2" xfId="3457" xr:uid="{00000000-0005-0000-0000-000087070000}"/>
    <cellStyle name="#_품셈_SKT CS-A4정산내역서+CS-A2_04년도서울지역굴착계획" xfId="3458" xr:uid="{00000000-0005-0000-0000-000088070000}"/>
    <cellStyle name="#_품셈_SKT CS-A4정산내역서+CS-A2_04년도서울지역굴착계획_09_덕-H02통신공사_설계서_v4" xfId="6832" xr:uid="{00000000-0005-0000-0000-000089070000}"/>
    <cellStyle name="#_품셈_SKT CS-A4정산내역서+CS-A2_04년도서울지역굴착계획_설계서_CCTV-V1" xfId="6833" xr:uid="{00000000-0005-0000-0000-00008A070000}"/>
    <cellStyle name="#_품셈_SKT CS-A4정산내역서+CS-A2_04년도서울지역굴착계획_수량산출" xfId="3459" xr:uid="{00000000-0005-0000-0000-00008B070000}"/>
    <cellStyle name="#_품셈_SKT CS-A4정산내역서+CS-A2_04년도서울지역굴착계획_수량산출_수신-VDS내역서_20061103" xfId="3460" xr:uid="{00000000-0005-0000-0000-00008C070000}"/>
    <cellStyle name="#_품셈_SKT CS-A4정산내역서+CS-A2_04년도서울지역굴착계획_수신-VDS내역서_20061103" xfId="3461" xr:uid="{00000000-0005-0000-0000-00008D070000}"/>
    <cellStyle name="#_품셈_SKT CS-A4정산내역서+CS-A2_04년도서울지역굴착계획_육군 - 수량산출" xfId="3462" xr:uid="{00000000-0005-0000-0000-00008E070000}"/>
    <cellStyle name="#_품셈_SKT CS-A4정산내역서+CS-A2_04년도서울지역굴착계획_육군 - 수량산출_수신-VDS내역서_20061103" xfId="3463" xr:uid="{00000000-0005-0000-0000-00008F070000}"/>
    <cellStyle name="#_품셈_SKT CS-A4정산내역서+CS-A2_04년도서울지역굴착계획_육군관로" xfId="3464" xr:uid="{00000000-0005-0000-0000-000090070000}"/>
    <cellStyle name="#_품셈_SKT CS-A4정산내역서+CS-A2_04년도서울지역굴착계획_육군관로_수신-VDS내역서_20061103" xfId="3465" xr:uid="{00000000-0005-0000-0000-000091070000}"/>
    <cellStyle name="#_품셈_SKT CS-A4정산내역서+CS-A2_04년도서울지역굴착계획_토토토" xfId="3466" xr:uid="{00000000-0005-0000-0000-000092070000}"/>
    <cellStyle name="#_품셈_SKT CS-A4정산내역서+CS-A2_04년도서울지역굴착계획_토토토_수신-VDS내역서_20061103" xfId="3467" xr:uid="{00000000-0005-0000-0000-000093070000}"/>
    <cellStyle name="#_품셈_SKT CS-A4정산내역서+CS-A2_09_덕-H02통신공사_설계서_v4" xfId="6834" xr:uid="{00000000-0005-0000-0000-000094070000}"/>
    <cellStyle name="#_품셈_SKT CS-A4정산내역서+CS-A2_설계서_CCTV-V1" xfId="6835" xr:uid="{00000000-0005-0000-0000-000095070000}"/>
    <cellStyle name="#_품셈_SKT CS-A4정산내역서+CS-A2_수량산출" xfId="3468" xr:uid="{00000000-0005-0000-0000-000096070000}"/>
    <cellStyle name="#_품셈_SKT CS-A4정산내역서+CS-A2_수량산출_수신-VDS내역서_20061103" xfId="3469" xr:uid="{00000000-0005-0000-0000-000097070000}"/>
    <cellStyle name="#_품셈_SKT CS-A4정산내역서+CS-A2_수신-VDS내역서_20061103" xfId="3470" xr:uid="{00000000-0005-0000-0000-000098070000}"/>
    <cellStyle name="#_품셈_SKT CS-A4정산내역서+CS-A2_육군 - 수량산출" xfId="3471" xr:uid="{00000000-0005-0000-0000-000099070000}"/>
    <cellStyle name="#_품셈_SKT CS-A4정산내역서+CS-A2_육군 - 수량산출_수신-VDS내역서_20061103" xfId="3472" xr:uid="{00000000-0005-0000-0000-00009A070000}"/>
    <cellStyle name="#_품셈_SKT CS-A4정산내역서+CS-A2_육군관로" xfId="3473" xr:uid="{00000000-0005-0000-0000-00009B070000}"/>
    <cellStyle name="#_품셈_SKT CS-A4정산내역서+CS-A2_육군관로_수신-VDS내역서_20061103" xfId="3474" xr:uid="{00000000-0005-0000-0000-00009C070000}"/>
    <cellStyle name="#_품셈_SKT CS-A4정산내역서+CS-A2_토토토" xfId="3475" xr:uid="{00000000-0005-0000-0000-00009D070000}"/>
    <cellStyle name="#_품셈_SKT CS-A4정산내역서+CS-A2_토토토_수신-VDS내역서_20061103" xfId="3476" xr:uid="{00000000-0005-0000-0000-00009E070000}"/>
    <cellStyle name="#_품셈_강동구청허가신청" xfId="3477" xr:uid="{00000000-0005-0000-0000-00009F070000}"/>
    <cellStyle name="#_품셈_강동구청허가신청_04년도서울지역굴착계획" xfId="3478" xr:uid="{00000000-0005-0000-0000-0000A0070000}"/>
    <cellStyle name="#_품셈_강동구청허가신청_04년도서울지역굴착계획_09_덕-H02통신공사_설계서_v4" xfId="6836" xr:uid="{00000000-0005-0000-0000-0000A1070000}"/>
    <cellStyle name="#_품셈_강동구청허가신청_04년도서울지역굴착계획_설계서_CCTV-V1" xfId="6837" xr:uid="{00000000-0005-0000-0000-0000A2070000}"/>
    <cellStyle name="#_품셈_강동구청허가신청_04년도서울지역굴착계획_수신-VDS내역서_20061103" xfId="3479" xr:uid="{00000000-0005-0000-0000-0000A3070000}"/>
    <cellStyle name="#_품셈_강동구청허가신청_09_덕-H02통신공사_설계서_v4" xfId="6838" xr:uid="{00000000-0005-0000-0000-0000A4070000}"/>
    <cellStyle name="#_품셈_강동구청허가신청_설계서_CCTV-V1" xfId="6839" xr:uid="{00000000-0005-0000-0000-0000A5070000}"/>
    <cellStyle name="#_품셈_강동구청허가신청_수신-VDS내역서_20061103" xfId="3480" xr:uid="{00000000-0005-0000-0000-0000A6070000}"/>
    <cellStyle name="#_품셈_계통도 " xfId="34" xr:uid="{00000000-0005-0000-0000-0000A7070000}"/>
    <cellStyle name="#_품셈_계통도 _(@클릭 pc방)준공자료" xfId="3481" xr:uid="{00000000-0005-0000-0000-0000A8070000}"/>
    <cellStyle name="#_품셈_계통도 _(@클릭 pc방)준공자료_16준공자료(데이콤 중앙국사 ~ 한빛은행)" xfId="3482" xr:uid="{00000000-0005-0000-0000-0000A9070000}"/>
    <cellStyle name="#_품셈_계통도 _개통자료((주)모인텍)" xfId="3483" xr:uid="{00000000-0005-0000-0000-0000AA070000}"/>
    <cellStyle name="#_품셈_계통도 _개통자료((주)모인텍)_개통자료(STI 남가좌 ~ STI 홍은설악)" xfId="3484" xr:uid="{00000000-0005-0000-0000-0000AB070000}"/>
    <cellStyle name="#_품셈_계통도 _개통자료(STI북아현-STI북아현3)" xfId="3485" xr:uid="{00000000-0005-0000-0000-0000AC070000}"/>
    <cellStyle name="#_품셈_계통도 _개통자료(STI북아현-STI북아현3)_개통자료(STI 남가좌 ~ STI 홍은설악)" xfId="3486" xr:uid="{00000000-0005-0000-0000-0000AD070000}"/>
    <cellStyle name="#_품셈_계통도 _기별종합(미정산0306)" xfId="3487" xr:uid="{00000000-0005-0000-0000-0000AE070000}"/>
    <cellStyle name="#_품셈_계통도 _기별종합(미정산0306)_정산내역서(2002년청주5차)" xfId="3488" xr:uid="{00000000-0005-0000-0000-0000AF070000}"/>
    <cellStyle name="#_품셈_계통도 _기별총괄" xfId="3489" xr:uid="{00000000-0005-0000-0000-0000B0070000}"/>
    <cellStyle name="#_품셈_계통도 _설계내역서(02년청주10차)" xfId="3490" xr:uid="{00000000-0005-0000-0000-0000B1070000}"/>
    <cellStyle name="#_품셈_계통도 _설계내역서(02년청주11차)" xfId="3491" xr:uid="{00000000-0005-0000-0000-0000B2070000}"/>
    <cellStyle name="#_품셈_계통도 _설계내역서(02년청주3차)" xfId="3492" xr:uid="{00000000-0005-0000-0000-0000B3070000}"/>
    <cellStyle name="#_품셈_계통도 _설계내역서(02년청주4차)" xfId="3493" xr:uid="{00000000-0005-0000-0000-0000B4070000}"/>
    <cellStyle name="#_품셈_계통도 _설계내역서(02년청주5차)" xfId="3494" xr:uid="{00000000-0005-0000-0000-0000B5070000}"/>
    <cellStyle name="#_품셈_계통도 _설계내역서(02년청주6차)" xfId="3495" xr:uid="{00000000-0005-0000-0000-0000B6070000}"/>
    <cellStyle name="#_품셈_계통도 _설계내역서(02년청주7차)" xfId="3496" xr:uid="{00000000-0005-0000-0000-0000B7070000}"/>
    <cellStyle name="#_품셈_계통도 _설계내역서(02년청주8차)" xfId="3497" xr:uid="{00000000-0005-0000-0000-0000B8070000}"/>
    <cellStyle name="#_품셈_계통도 _세부계통도(비하 프리존pc방외 1건)" xfId="3498" xr:uid="{00000000-0005-0000-0000-0000B9070000}"/>
    <cellStyle name="#_품셈_계통도 _세부계통도(비하 프리존pc방외 1건)_정산내역서(2002년청주5차)" xfId="3499" xr:uid="{00000000-0005-0000-0000-0000BA070000}"/>
    <cellStyle name="#_품셈_계통도 _세부도종합(미정산0306)" xfId="3500" xr:uid="{00000000-0005-0000-0000-0000BB070000}"/>
    <cellStyle name="#_품셈_계통도 _신세기11차추가(함체)" xfId="3501" xr:uid="{00000000-0005-0000-0000-0000BC070000}"/>
    <cellStyle name="#_품셈_계통도 _신세기11차추가(함체)_04년도서울지역굴착계획" xfId="3502" xr:uid="{00000000-0005-0000-0000-0000BD070000}"/>
    <cellStyle name="#_품셈_계통도 _신세기11차추가(함체)_04년도서울지역굴착계획_09_덕-H02통신공사_설계서_v4" xfId="6840" xr:uid="{00000000-0005-0000-0000-0000BE070000}"/>
    <cellStyle name="#_품셈_계통도 _신세기11차추가(함체)_04년도서울지역굴착계획_설계서_CCTV-V1" xfId="6841" xr:uid="{00000000-0005-0000-0000-0000BF070000}"/>
    <cellStyle name="#_품셈_계통도 _신세기11차추가(함체)_04년도서울지역굴착계획_수량산출" xfId="3503" xr:uid="{00000000-0005-0000-0000-0000C0070000}"/>
    <cellStyle name="#_품셈_계통도 _신세기11차추가(함체)_04년도서울지역굴착계획_수량산출_수신-VDS내역서_20061103" xfId="3504" xr:uid="{00000000-0005-0000-0000-0000C1070000}"/>
    <cellStyle name="#_품셈_계통도 _신세기11차추가(함체)_04년도서울지역굴착계획_수신-VDS내역서_20061103" xfId="3505" xr:uid="{00000000-0005-0000-0000-0000C2070000}"/>
    <cellStyle name="#_품셈_계통도 _신세기11차추가(함체)_04년도서울지역굴착계획_육군 - 수량산출" xfId="3506" xr:uid="{00000000-0005-0000-0000-0000C3070000}"/>
    <cellStyle name="#_품셈_계통도 _신세기11차추가(함체)_04년도서울지역굴착계획_육군 - 수량산출_수신-VDS내역서_20061103" xfId="3507" xr:uid="{00000000-0005-0000-0000-0000C4070000}"/>
    <cellStyle name="#_품셈_계통도 _신세기11차추가(함체)_04년도서울지역굴착계획_육군관로" xfId="3508" xr:uid="{00000000-0005-0000-0000-0000C5070000}"/>
    <cellStyle name="#_품셈_계통도 _신세기11차추가(함체)_04년도서울지역굴착계획_육군관로_수신-VDS내역서_20061103" xfId="3509" xr:uid="{00000000-0005-0000-0000-0000C6070000}"/>
    <cellStyle name="#_품셈_계통도 _신세기11차추가(함체)_04년도서울지역굴착계획_토토토" xfId="3510" xr:uid="{00000000-0005-0000-0000-0000C7070000}"/>
    <cellStyle name="#_품셈_계통도 _신세기11차추가(함체)_04년도서울지역굴착계획_토토토_수신-VDS내역서_20061103" xfId="3511" xr:uid="{00000000-0005-0000-0000-0000C8070000}"/>
    <cellStyle name="#_품셈_계통도 _신세기11차추가(함체)_09_덕-H02통신공사_설계서_v4" xfId="6842" xr:uid="{00000000-0005-0000-0000-0000C9070000}"/>
    <cellStyle name="#_품셈_계통도 _신세기11차추가(함체)_설계서_CCTV-V1" xfId="6843" xr:uid="{00000000-0005-0000-0000-0000CA070000}"/>
    <cellStyle name="#_품셈_계통도 _신세기11차추가(함체)_수량산출" xfId="3512" xr:uid="{00000000-0005-0000-0000-0000CB070000}"/>
    <cellStyle name="#_품셈_계통도 _신세기11차추가(함체)_수량산출_수신-VDS내역서_20061103" xfId="3513" xr:uid="{00000000-0005-0000-0000-0000CC070000}"/>
    <cellStyle name="#_품셈_계통도 _신세기11차추가(함체)_수신-VDS내역서_20061103" xfId="3514" xr:uid="{00000000-0005-0000-0000-0000CD070000}"/>
    <cellStyle name="#_품셈_계통도 _신세기11차추가(함체)_육군 - 수량산출" xfId="3515" xr:uid="{00000000-0005-0000-0000-0000CE070000}"/>
    <cellStyle name="#_품셈_계통도 _신세기11차추가(함체)_육군 - 수량산출_수신-VDS내역서_20061103" xfId="3516" xr:uid="{00000000-0005-0000-0000-0000CF070000}"/>
    <cellStyle name="#_품셈_계통도 _신세기11차추가(함체)_육군관로" xfId="3517" xr:uid="{00000000-0005-0000-0000-0000D0070000}"/>
    <cellStyle name="#_품셈_계통도 _신세기11차추가(함체)_육군관로_수신-VDS내역서_20061103" xfId="3518" xr:uid="{00000000-0005-0000-0000-0000D1070000}"/>
    <cellStyle name="#_품셈_계통도 _신세기11차추가(함체)_토토토" xfId="3519" xr:uid="{00000000-0005-0000-0000-0000D2070000}"/>
    <cellStyle name="#_품셈_계통도 _신세기11차추가(함체)_토토토_수신-VDS내역서_20061103" xfId="3520" xr:uid="{00000000-0005-0000-0000-0000D3070000}"/>
    <cellStyle name="#_품셈_계통도 _정산내역서(02년청주3차)" xfId="3521" xr:uid="{00000000-0005-0000-0000-0000D4070000}"/>
    <cellStyle name="#_품셈_계통도 _정산내역서(02년청주4차)" xfId="3522" xr:uid="{00000000-0005-0000-0000-0000D5070000}"/>
    <cellStyle name="#_품셈_계통도 _정산내역서(02년청주5차)" xfId="3523" xr:uid="{00000000-0005-0000-0000-0000D6070000}"/>
    <cellStyle name="#_품셈_계통도 _정산내역서(02년청주6차)" xfId="3524" xr:uid="{00000000-0005-0000-0000-0000D7070000}"/>
    <cellStyle name="#_품셈_계통도 _정산내역서(2002년청주10차)1" xfId="3525" xr:uid="{00000000-0005-0000-0000-0000D8070000}"/>
    <cellStyle name="#_품셈_계통도 _정산내역서(2002년청주11차)" xfId="3526" xr:uid="{00000000-0005-0000-0000-0000D9070000}"/>
    <cellStyle name="#_품셈_계통도 _정산내역서(2002년청주11차)1" xfId="3527" xr:uid="{00000000-0005-0000-0000-0000DA070000}"/>
    <cellStyle name="#_품셈_계통도 _정산내역서(2002년청주16차)1" xfId="3528" xr:uid="{00000000-0005-0000-0000-0000DB070000}"/>
    <cellStyle name="#_품셈_계통도 _정산내역서(2002년청주5차)1" xfId="3529" xr:uid="{00000000-0005-0000-0000-0000DC070000}"/>
    <cellStyle name="#_품셈_계통도 _정산내역서(2002년청주7차)" xfId="3530" xr:uid="{00000000-0005-0000-0000-0000DD070000}"/>
    <cellStyle name="#_품셈_계통도 _정산내역서(2002년청주7차)1" xfId="3531" xr:uid="{00000000-0005-0000-0000-0000DE070000}"/>
    <cellStyle name="#_품셈_계통도 _정산내역서(2002년청주8차)1" xfId="3532" xr:uid="{00000000-0005-0000-0000-0000DF070000}"/>
    <cellStyle name="#_품셈_계통도 _정산설계(5차 광이더넷)" xfId="3533" xr:uid="{00000000-0005-0000-0000-0000E0070000}"/>
    <cellStyle name="#_품셈_계통도 _하나로 통신 기별(버즈 PC방외 7건)" xfId="3534" xr:uid="{00000000-0005-0000-0000-0000E1070000}"/>
    <cellStyle name="#_품셈_계통도 _하나로기별(사이버킹PC방외 5건)" xfId="3535" xr:uid="{00000000-0005-0000-0000-0000E2070000}"/>
    <cellStyle name="#_품셈_계통도 _하나로기별(테란PC방외 12건)" xfId="3536" xr:uid="{00000000-0005-0000-0000-0000E3070000}"/>
    <cellStyle name="#_품셈_계통도 _하나로기별(테란PC방외 12건)_정산내역서(2002년청주5차)" xfId="3537" xr:uid="{00000000-0005-0000-0000-0000E4070000}"/>
    <cellStyle name="#_품셈_담당자" xfId="6844" xr:uid="{00000000-0005-0000-0000-0000E5070000}"/>
    <cellStyle name="#_품셈_담당자_설계종합514" xfId="6845" xr:uid="{00000000-0005-0000-0000-0000E6070000}"/>
    <cellStyle name="#_품셈_도로공사신고서(수서경찰서)" xfId="3538" xr:uid="{00000000-0005-0000-0000-0000E7070000}"/>
    <cellStyle name="#_품셈_도로공사신고서(수서경찰서)_수량산출" xfId="3539" xr:uid="{00000000-0005-0000-0000-0000E8070000}"/>
    <cellStyle name="#_품셈_도로공사신고서(수서경찰서)_육군 - 수량산출" xfId="3540" xr:uid="{00000000-0005-0000-0000-0000E9070000}"/>
    <cellStyle name="#_품셈_도로공사신고서(수서경찰서)_육군관로" xfId="3541" xr:uid="{00000000-0005-0000-0000-0000EA070000}"/>
    <cellStyle name="#_품셈_도로공사신고서(수서경찰서)_토토토" xfId="3542" xr:uid="{00000000-0005-0000-0000-0000EB070000}"/>
    <cellStyle name="#_품셈_설계서" xfId="3543" xr:uid="{00000000-0005-0000-0000-0000EC070000}"/>
    <cellStyle name="#_품셈_설계서_04년도서울지역굴착계획" xfId="3544" xr:uid="{00000000-0005-0000-0000-0000ED070000}"/>
    <cellStyle name="#_품셈_설계서_04년도서울지역굴착계획_09_덕-H02통신공사_설계서_v4" xfId="6846" xr:uid="{00000000-0005-0000-0000-0000EE070000}"/>
    <cellStyle name="#_품셈_설계서_04년도서울지역굴착계획_설계서_CCTV-V1" xfId="6847" xr:uid="{00000000-0005-0000-0000-0000EF070000}"/>
    <cellStyle name="#_품셈_설계서_04년도서울지역굴착계획_수신-VDS내역서_20061103" xfId="3545" xr:uid="{00000000-0005-0000-0000-0000F0070000}"/>
    <cellStyle name="#_품셈_설계서_09_덕-H02통신공사_설계서_v4" xfId="6848" xr:uid="{00000000-0005-0000-0000-0000F1070000}"/>
    <cellStyle name="#_품셈_설계서_설계서_CCTV-V1" xfId="6849" xr:uid="{00000000-0005-0000-0000-0000F2070000}"/>
    <cellStyle name="#_품셈_설계서_수신-VDS내역서_20061103" xfId="3546" xr:uid="{00000000-0005-0000-0000-0000F3070000}"/>
    <cellStyle name="#_품셈_수량산출" xfId="3547" xr:uid="{00000000-0005-0000-0000-0000F4070000}"/>
    <cellStyle name="#_품셈_예술의 전당(KEPGO)" xfId="3548" xr:uid="{00000000-0005-0000-0000-0000F5070000}"/>
    <cellStyle name="#_품셈_예술의 전당(KEPGO)_04년도서울지역굴착계획" xfId="3549" xr:uid="{00000000-0005-0000-0000-0000F6070000}"/>
    <cellStyle name="#_품셈_예술의 전당(KEPGO)_04년도서울지역굴착계획_09_덕-H02통신공사_설계서_v4" xfId="6850" xr:uid="{00000000-0005-0000-0000-0000F7070000}"/>
    <cellStyle name="#_품셈_예술의 전당(KEPGO)_04년도서울지역굴착계획_설계서_CCTV-V1" xfId="6851" xr:uid="{00000000-0005-0000-0000-0000F8070000}"/>
    <cellStyle name="#_품셈_예술의 전당(KEPGO)_04년도서울지역굴착계획_수량산출" xfId="3550" xr:uid="{00000000-0005-0000-0000-0000F9070000}"/>
    <cellStyle name="#_품셈_예술의 전당(KEPGO)_04년도서울지역굴착계획_수량산출_수신-VDS내역서_20061103" xfId="3551" xr:uid="{00000000-0005-0000-0000-0000FA070000}"/>
    <cellStyle name="#_품셈_예술의 전당(KEPGO)_04년도서울지역굴착계획_수신-VDS내역서_20061103" xfId="3552" xr:uid="{00000000-0005-0000-0000-0000FB070000}"/>
    <cellStyle name="#_품셈_예술의 전당(KEPGO)_04년도서울지역굴착계획_육군 - 수량산출" xfId="3553" xr:uid="{00000000-0005-0000-0000-0000FC070000}"/>
    <cellStyle name="#_품셈_예술의 전당(KEPGO)_04년도서울지역굴착계획_육군 - 수량산출_수신-VDS내역서_20061103" xfId="3554" xr:uid="{00000000-0005-0000-0000-0000FD070000}"/>
    <cellStyle name="#_품셈_예술의 전당(KEPGO)_04년도서울지역굴착계획_육군관로" xfId="3555" xr:uid="{00000000-0005-0000-0000-0000FE070000}"/>
    <cellStyle name="#_품셈_예술의 전당(KEPGO)_04년도서울지역굴착계획_육군관로_수신-VDS내역서_20061103" xfId="3556" xr:uid="{00000000-0005-0000-0000-0000FF070000}"/>
    <cellStyle name="#_품셈_예술의 전당(KEPGO)_04년도서울지역굴착계획_토토토" xfId="3557" xr:uid="{00000000-0005-0000-0000-000000080000}"/>
    <cellStyle name="#_품셈_예술의 전당(KEPGO)_04년도서울지역굴착계획_토토토_수신-VDS내역서_20061103" xfId="3558" xr:uid="{00000000-0005-0000-0000-000001080000}"/>
    <cellStyle name="#_품셈_예술의 전당(KEPGO)_09_덕-H02통신공사_설계서_v4" xfId="6852" xr:uid="{00000000-0005-0000-0000-000002080000}"/>
    <cellStyle name="#_품셈_예술의 전당(KEPGO)_설계서_CCTV-V1" xfId="6853" xr:uid="{00000000-0005-0000-0000-000003080000}"/>
    <cellStyle name="#_품셈_예술의 전당(KEPGO)_수량산출" xfId="3559" xr:uid="{00000000-0005-0000-0000-000004080000}"/>
    <cellStyle name="#_품셈_예술의 전당(KEPGO)_수량산출_수신-VDS내역서_20061103" xfId="3560" xr:uid="{00000000-0005-0000-0000-000005080000}"/>
    <cellStyle name="#_품셈_예술의 전당(KEPGO)_수신-VDS내역서_20061103" xfId="3561" xr:uid="{00000000-0005-0000-0000-000006080000}"/>
    <cellStyle name="#_품셈_예술의 전당(KEPGO)_육군 - 수량산출" xfId="3562" xr:uid="{00000000-0005-0000-0000-000007080000}"/>
    <cellStyle name="#_품셈_예술의 전당(KEPGO)_육군 - 수량산출_수신-VDS내역서_20061103" xfId="3563" xr:uid="{00000000-0005-0000-0000-000008080000}"/>
    <cellStyle name="#_품셈_예술의 전당(KEPGO)_육군관로" xfId="3564" xr:uid="{00000000-0005-0000-0000-000009080000}"/>
    <cellStyle name="#_품셈_예술의 전당(KEPGO)_육군관로_수신-VDS내역서_20061103" xfId="3565" xr:uid="{00000000-0005-0000-0000-00000A080000}"/>
    <cellStyle name="#_품셈_예술의 전당(KEPGO)_토토토" xfId="3566" xr:uid="{00000000-0005-0000-0000-00000B080000}"/>
    <cellStyle name="#_품셈_예술의 전당(KEPGO)_토토토_수신-VDS내역서_20061103" xfId="3567" xr:uid="{00000000-0005-0000-0000-00000C080000}"/>
    <cellStyle name="#_품셈_육군 - 수량산출" xfId="3568" xr:uid="{00000000-0005-0000-0000-00000D080000}"/>
    <cellStyle name="#_품셈_육군관로" xfId="3569" xr:uid="{00000000-0005-0000-0000-00000E080000}"/>
    <cellStyle name="#_품셈_토토토" xfId="3570" xr:uid="{00000000-0005-0000-0000-00000F080000}"/>
    <cellStyle name="$" xfId="40" xr:uid="{00000000-0005-0000-0000-000010080000}"/>
    <cellStyle name="$_0008금감원통합감독검사정보시스템" xfId="41" xr:uid="{00000000-0005-0000-0000-000011080000}"/>
    <cellStyle name="$_0009김포공항LED교체공사(광일)" xfId="42" xr:uid="{00000000-0005-0000-0000-000012080000}"/>
    <cellStyle name="$_0011KIST소각설비제작설치" xfId="45" xr:uid="{00000000-0005-0000-0000-000013080000}"/>
    <cellStyle name="$_0011긴급전화기정산(99년형광일)" xfId="43" xr:uid="{00000000-0005-0000-0000-000014080000}"/>
    <cellStyle name="$_0011부산종합경기장전광판" xfId="44" xr:uid="{00000000-0005-0000-0000-000015080000}"/>
    <cellStyle name="$_0011부산종합경기장전광판_2006112628400-4" xfId="3571" xr:uid="{00000000-0005-0000-0000-000016080000}"/>
    <cellStyle name="$_0011부산종합경기장전광판_광명첨단신호 2차분 설계내역서-070427-016" xfId="3572" xr:uid="{00000000-0005-0000-0000-000017080000}"/>
    <cellStyle name="$_0011부산종합경기장전광판_입찰내역3-CCTV-2차" xfId="3573" xr:uid="{00000000-0005-0000-0000-000018080000}"/>
    <cellStyle name="$_0011부산종합경기장전광판_차량검지기 단위산출서" xfId="3574" xr:uid="{00000000-0005-0000-0000-000019080000}"/>
    <cellStyle name="$_0012문화유적지표석제작설치" xfId="46" xr:uid="{00000000-0005-0000-0000-00001A080000}"/>
    <cellStyle name="$_0102국제조명신공항분수조명" xfId="47" xr:uid="{00000000-0005-0000-0000-00001B080000}"/>
    <cellStyle name="$_0103회전식현수막게시대제작설치" xfId="48" xr:uid="{00000000-0005-0000-0000-00001C080000}"/>
    <cellStyle name="$_0104포항시침출수처리시스템" xfId="49" xr:uid="{00000000-0005-0000-0000-00001D080000}"/>
    <cellStyle name="$_0105담배자판기개조원가" xfId="50" xr:uid="{00000000-0005-0000-0000-00001E080000}"/>
    <cellStyle name="$_0105담배자판기개조원가_2006112628400-4" xfId="3575" xr:uid="{00000000-0005-0000-0000-00001F080000}"/>
    <cellStyle name="$_0105담배자판기개조원가_광명첨단신호 2차분 설계내역서-070427-016" xfId="3576" xr:uid="{00000000-0005-0000-0000-000020080000}"/>
    <cellStyle name="$_0105담배자판기개조원가_입찰내역3-CCTV-2차" xfId="3577" xr:uid="{00000000-0005-0000-0000-000021080000}"/>
    <cellStyle name="$_0105담배자판기개조원가_차량검지기 단위산출서" xfId="3578" xr:uid="{00000000-0005-0000-0000-000022080000}"/>
    <cellStyle name="$_0106LG인버터냉난방기제작-1" xfId="51" xr:uid="{00000000-0005-0000-0000-000023080000}"/>
    <cellStyle name="$_0106LG인버터냉난방기제작-1_2006112628400-4" xfId="3579" xr:uid="{00000000-0005-0000-0000-000024080000}"/>
    <cellStyle name="$_0106LG인버터냉난방기제작-1_광명첨단신호 2차분 설계내역서-070427-016" xfId="3580" xr:uid="{00000000-0005-0000-0000-000025080000}"/>
    <cellStyle name="$_0106LG인버터냉난방기제작-1_입찰내역3-CCTV-2차" xfId="3581" xr:uid="{00000000-0005-0000-0000-000026080000}"/>
    <cellStyle name="$_0106LG인버터냉난방기제작-1_차량검지기 단위산출서" xfId="3582" xr:uid="{00000000-0005-0000-0000-000027080000}"/>
    <cellStyle name="$_0107광전송장비구매설치" xfId="52" xr:uid="{00000000-0005-0000-0000-000028080000}"/>
    <cellStyle name="$_0107도공IBS설비SW부문(참조)" xfId="53" xr:uid="{00000000-0005-0000-0000-000029080000}"/>
    <cellStyle name="$_0107문화재복원용목재-8월6일" xfId="54" xr:uid="{00000000-0005-0000-0000-00002A080000}"/>
    <cellStyle name="$_0107문화재복원용목재-8월6일_2006112628400-4" xfId="3583" xr:uid="{00000000-0005-0000-0000-00002B080000}"/>
    <cellStyle name="$_0107문화재복원용목재-8월6일_광명첨단신호 2차분 설계내역서-070427-016" xfId="3584" xr:uid="{00000000-0005-0000-0000-00002C080000}"/>
    <cellStyle name="$_0107문화재복원용목재-8월6일_입찰내역3-CCTV-2차" xfId="3585" xr:uid="{00000000-0005-0000-0000-00002D080000}"/>
    <cellStyle name="$_0107문화재복원용목재-8월6일_차량검지기 단위산출서" xfId="3586" xr:uid="{00000000-0005-0000-0000-00002E080000}"/>
    <cellStyle name="$_0107포천영중수배전반(제조,설치)" xfId="55" xr:uid="{00000000-0005-0000-0000-00002F080000}"/>
    <cellStyle name="$_0108농기반미곡건조기제작설치" xfId="56" xr:uid="{00000000-0005-0000-0000-000030080000}"/>
    <cellStyle name="$_0108담배인삼공사영업춘추복" xfId="57" xr:uid="{00000000-0005-0000-0000-000031080000}"/>
    <cellStyle name="$_0108한국전기교통-LED교통신호등((원본))" xfId="58" xr:uid="{00000000-0005-0000-0000-000032080000}"/>
    <cellStyle name="$_0111해양수산부등명기제작" xfId="59" xr:uid="{00000000-0005-0000-0000-000033080000}"/>
    <cellStyle name="$_0111핸디소프트-전자표준문서시스템" xfId="60" xr:uid="{00000000-0005-0000-0000-000034080000}"/>
    <cellStyle name="$_0112금감원사무자동화시스템" xfId="61" xr:uid="{00000000-0005-0000-0000-000035080000}"/>
    <cellStyle name="$_0112수도권매립지SW원가" xfId="62" xr:uid="{00000000-0005-0000-0000-000036080000}"/>
    <cellStyle name="$_0112중고원-HRD종합정보망구축(完)" xfId="63" xr:uid="{00000000-0005-0000-0000-000037080000}"/>
    <cellStyle name="$_0201종합예술회관의자제작설치-1" xfId="64" xr:uid="{00000000-0005-0000-0000-000038080000}"/>
    <cellStyle name="$_0202마사회근무복" xfId="65" xr:uid="{00000000-0005-0000-0000-000039080000}"/>
    <cellStyle name="$_0202부경교재-승강칠판" xfId="66" xr:uid="{00000000-0005-0000-0000-00003A080000}"/>
    <cellStyle name="$_0204한국석묘납골함-1규격" xfId="67" xr:uid="{00000000-0005-0000-0000-00003B080000}"/>
    <cellStyle name="$_0206금감원금융정보교환망재구축" xfId="68" xr:uid="{00000000-0005-0000-0000-00003C080000}"/>
    <cellStyle name="$_0206정통부수납장표기기제작설치" xfId="69" xr:uid="{00000000-0005-0000-0000-00003D080000}"/>
    <cellStyle name="$_0207담배인삼공사-담요" xfId="70" xr:uid="{00000000-0005-0000-0000-00003E080000}"/>
    <cellStyle name="$_0208레비텍-다층여과기설계변경" xfId="71" xr:uid="{00000000-0005-0000-0000-00003F080000}"/>
    <cellStyle name="$_0209이산화염소발생기-설치(50K)" xfId="72" xr:uid="{00000000-0005-0000-0000-000040080000}"/>
    <cellStyle name="$_0210현대정보기술-TD이중계" xfId="73" xr:uid="{00000000-0005-0000-0000-000041080000}"/>
    <cellStyle name="$_0211조달청-#1대북지원사업정산(1월7일)" xfId="74" xr:uid="{00000000-0005-0000-0000-000042080000}"/>
    <cellStyle name="$_0212금감원-법규정보시스템(完)" xfId="75" xr:uid="{00000000-0005-0000-0000-000043080000}"/>
    <cellStyle name="$_0301교통방송-CCTV유지보수" xfId="76" xr:uid="{00000000-0005-0000-0000-000044080000}"/>
    <cellStyle name="$_0302인천경찰청-무인단속기위탁관리" xfId="77" xr:uid="{00000000-0005-0000-0000-000045080000}"/>
    <cellStyle name="$_0302조달청-대북지원2차(안성연)" xfId="78" xr:uid="{00000000-0005-0000-0000-000046080000}"/>
    <cellStyle name="$_0302조달청-대북지원2차(최수현)" xfId="79" xr:uid="{00000000-0005-0000-0000-000047080000}"/>
    <cellStyle name="$_0302표준문서-쌍용정보통신(신)" xfId="80" xr:uid="{00000000-0005-0000-0000-000048080000}"/>
    <cellStyle name="$_0304소프트파워-정부표준전자문서시스템" xfId="81" xr:uid="{00000000-0005-0000-0000-000049080000}"/>
    <cellStyle name="$_0304소프트파워-정부표준전자문서시스템(完)" xfId="82" xr:uid="{00000000-0005-0000-0000-00004A080000}"/>
    <cellStyle name="$_0304철도청-주변환장치-1" xfId="83" xr:uid="{00000000-0005-0000-0000-00004B080000}"/>
    <cellStyle name="$_0305금감원-금융통계정보시스템구축(完)" xfId="84" xr:uid="{00000000-0005-0000-0000-00004C080000}"/>
    <cellStyle name="$_0305제낭조합-면범포지" xfId="85" xr:uid="{00000000-0005-0000-0000-00004D080000}"/>
    <cellStyle name="$_0306제낭공업협동조합-면범포지원단(경비까지)" xfId="86" xr:uid="{00000000-0005-0000-0000-00004E080000}"/>
    <cellStyle name="$_0307경찰청-무인교통단속표준SW개발용역(完)" xfId="87" xr:uid="{00000000-0005-0000-0000-00004F080000}"/>
    <cellStyle name="$_0308조달청-#8대북지원사업정산" xfId="88" xr:uid="{00000000-0005-0000-0000-000050080000}"/>
    <cellStyle name="$_0309두합크린텍-설치원가" xfId="89" xr:uid="{00000000-0005-0000-0000-000051080000}"/>
    <cellStyle name="$_0309조달청-#9대북지원사업정산" xfId="90" xr:uid="{00000000-0005-0000-0000-000052080000}"/>
    <cellStyle name="$_0310여주상수도-탈수기(유천ENG)" xfId="91" xr:uid="{00000000-0005-0000-0000-000053080000}"/>
    <cellStyle name="$_0311대기해양작업시간" xfId="92" xr:uid="{00000000-0005-0000-0000-000054080000}"/>
    <cellStyle name="$_0311대기해양중형등명기" xfId="93" xr:uid="{00000000-0005-0000-0000-000055080000}"/>
    <cellStyle name="$_0312국민체육진흥공단-전기부문" xfId="94" xr:uid="{00000000-0005-0000-0000-000056080000}"/>
    <cellStyle name="$_0312대기해양-중형등명기제작설치" xfId="95" xr:uid="{00000000-0005-0000-0000-000057080000}"/>
    <cellStyle name="$_0312라이준-칼라아스콘4규격" xfId="96" xr:uid="{00000000-0005-0000-0000-000058080000}"/>
    <cellStyle name="$_0401집진기프로그램SW개발비산정" xfId="97" xr:uid="{00000000-0005-0000-0000-000059080000}"/>
    <cellStyle name="$_2001-06조달청신성-한냉지형" xfId="98" xr:uid="{00000000-0005-0000-0000-00005A080000}"/>
    <cellStyle name="$_2001년 9월" xfId="3587" xr:uid="{00000000-0005-0000-0000-00005B080000}"/>
    <cellStyle name="$_2001년 9월 일위" xfId="3588" xr:uid="{00000000-0005-0000-0000-00005C080000}"/>
    <cellStyle name="$_2001년7월내역" xfId="3589" xr:uid="{00000000-0005-0000-0000-00005D080000}"/>
    <cellStyle name="$_2001년8월내역" xfId="3590" xr:uid="{00000000-0005-0000-0000-00005E080000}"/>
    <cellStyle name="$_2002-03경찰대학-졸업식" xfId="99" xr:uid="{00000000-0005-0000-0000-00005F080000}"/>
    <cellStyle name="$_2002-03경찰청-경찰표지장" xfId="100" xr:uid="{00000000-0005-0000-0000-000060080000}"/>
    <cellStyle name="$_2002-03반디-가로등(열주형)" xfId="101" xr:uid="{00000000-0005-0000-0000-000061080000}"/>
    <cellStyle name="$_2002-03신화전자-감지기" xfId="102" xr:uid="{00000000-0005-0000-0000-000062080000}"/>
    <cellStyle name="$_2002-04강원랜드-슬러트머신" xfId="103" xr:uid="{00000000-0005-0000-0000-000063080000}"/>
    <cellStyle name="$_2002-04메가컴-외주무대" xfId="104" xr:uid="{00000000-0005-0000-0000-000064080000}"/>
    <cellStyle name="$_2002-04엘지애드-무대" xfId="105" xr:uid="{00000000-0005-0000-0000-000065080000}"/>
    <cellStyle name="$_2002-05강원랜드-슬러트머신(넥스터)" xfId="106" xr:uid="{00000000-0005-0000-0000-000066080000}"/>
    <cellStyle name="$_2002-05경기경찰청-냉온수기공사" xfId="107" xr:uid="{00000000-0005-0000-0000-000067080000}"/>
    <cellStyle name="$_2002-05대통령비서실-카페트" xfId="108" xr:uid="{00000000-0005-0000-0000-000068080000}"/>
    <cellStyle name="$_2002결과표" xfId="109" xr:uid="{00000000-0005-0000-0000-000069080000}"/>
    <cellStyle name="$_2002결과표1" xfId="110" xr:uid="{00000000-0005-0000-0000-00006A080000}"/>
    <cellStyle name="$_2002년 설치" xfId="3591" xr:uid="{00000000-0005-0000-0000-00006B080000}"/>
    <cellStyle name="$_2002년 합판거푸집" xfId="3592" xr:uid="{00000000-0005-0000-0000-00006C080000}"/>
    <cellStyle name="$_2003-01정일사-표창5종" xfId="111" xr:uid="{00000000-0005-0000-0000-00006D080000}"/>
    <cellStyle name="$_2004년완성공사원가경비율(변경최종))" xfId="112" xr:uid="{00000000-0005-0000-0000-00006E080000}"/>
    <cellStyle name="$_2004년완성공사원가경비율(조달청미적용)1" xfId="113" xr:uid="{00000000-0005-0000-0000-00006F080000}"/>
    <cellStyle name="$_2006112628400-4" xfId="3593" xr:uid="{00000000-0005-0000-0000-000070080000}"/>
    <cellStyle name="$_22093743760001-2" xfId="6854" xr:uid="{00000000-0005-0000-0000-000071080000}"/>
    <cellStyle name="$_5월부산마사회발주기제작1" xfId="114" xr:uid="{00000000-0005-0000-0000-000072080000}"/>
    <cellStyle name="$_db진흥" xfId="160" xr:uid="{00000000-0005-0000-0000-000073080000}"/>
    <cellStyle name="$_Pilot플랜트-계변경" xfId="161" xr:uid="{00000000-0005-0000-0000-000074080000}"/>
    <cellStyle name="$_Pilot플랜트이전설치-변경최종" xfId="162" xr:uid="{00000000-0005-0000-0000-000075080000}"/>
    <cellStyle name="$_SE40" xfId="163" xr:uid="{00000000-0005-0000-0000-000076080000}"/>
    <cellStyle name="$_SW(케이비)" xfId="164" xr:uid="{00000000-0005-0000-0000-000077080000}"/>
    <cellStyle name="$_TDW제작시방" xfId="3594" xr:uid="{00000000-0005-0000-0000-000078080000}"/>
    <cellStyle name="$_TDW제작시방(2002,05,27)" xfId="3595" xr:uid="{00000000-0005-0000-0000-000079080000}"/>
    <cellStyle name="$_간지,목차,페이지,표지" xfId="115" xr:uid="{00000000-0005-0000-0000-00007A080000}"/>
    <cellStyle name="$_간지,목차,페이지,표지(원가별)" xfId="116" xr:uid="{00000000-0005-0000-0000-00007B080000}"/>
    <cellStyle name="$_갑지" xfId="3596" xr:uid="{00000000-0005-0000-0000-00007C080000}"/>
    <cellStyle name="$_갑지양식" xfId="3597" xr:uid="{00000000-0005-0000-0000-00007D080000}"/>
    <cellStyle name="$_견적2" xfId="117" xr:uid="{00000000-0005-0000-0000-00007E080000}"/>
    <cellStyle name="$_경찰청-근무,기동복" xfId="118" xr:uid="{00000000-0005-0000-0000-00007F080000}"/>
    <cellStyle name="$_공사비2001-06" xfId="3598" xr:uid="{00000000-0005-0000-0000-000080080000}"/>
    <cellStyle name="$_공사비2001-07" xfId="3599" xr:uid="{00000000-0005-0000-0000-000081080000}"/>
    <cellStyle name="$_공사일반관리비양식" xfId="119" xr:uid="{00000000-0005-0000-0000-000082080000}"/>
    <cellStyle name="$_광명첨단신호 2차분 설계내역서-070427-016" xfId="3600" xr:uid="{00000000-0005-0000-0000-000083080000}"/>
    <cellStyle name="$_기아" xfId="120" xr:uid="{00000000-0005-0000-0000-000084080000}"/>
    <cellStyle name="$_기초공사" xfId="121" xr:uid="{00000000-0005-0000-0000-000085080000}"/>
    <cellStyle name="$_남광TS-60B(둔기교)" xfId="3601" xr:uid="{00000000-0005-0000-0000-000086080000}"/>
    <cellStyle name="$_내역서" xfId="3602" xr:uid="{00000000-0005-0000-0000-000087080000}"/>
    <cellStyle name="$_내역표지" xfId="3603" xr:uid="{00000000-0005-0000-0000-000088080000}"/>
    <cellStyle name="$_네인텍정보기술-회로카드(수현)" xfId="122" xr:uid="{00000000-0005-0000-0000-000089080000}"/>
    <cellStyle name="$_대기해양노무비" xfId="123" xr:uid="{00000000-0005-0000-0000-00008A080000}"/>
    <cellStyle name="$_대북자재8월분" xfId="124" xr:uid="{00000000-0005-0000-0000-00008B080000}"/>
    <cellStyle name="$_대북자재8월분-1" xfId="125" xr:uid="{00000000-0005-0000-0000-00008C080000}"/>
    <cellStyle name="$_동산용사촌수현(원본)" xfId="126" xr:uid="{00000000-0005-0000-0000-00008D080000}"/>
    <cellStyle name="$_명금지구 기계내역 보완(유압식2002,10,2)" xfId="3604" xr:uid="{00000000-0005-0000-0000-00008E080000}"/>
    <cellStyle name="$_백제군사전시1" xfId="127" xr:uid="{00000000-0005-0000-0000-00008F080000}"/>
    <cellStyle name="$_보성회령제사통-변경1" xfId="3605" xr:uid="{00000000-0005-0000-0000-000090080000}"/>
    <cellStyle name="$_세풍승인" xfId="3606" xr:uid="{00000000-0005-0000-0000-000091080000}"/>
    <cellStyle name="$_수초제거기(대양기계)" xfId="128" xr:uid="{00000000-0005-0000-0000-000092080000}"/>
    <cellStyle name="$_수초제거기(대양기계)_2006112628400-4" xfId="3607" xr:uid="{00000000-0005-0000-0000-000093080000}"/>
    <cellStyle name="$_수초제거기(대양기계)_광명첨단신호 2차분 설계내역서-070427-016" xfId="3608" xr:uid="{00000000-0005-0000-0000-000094080000}"/>
    <cellStyle name="$_수초제거기(대양기계)_입찰내역3-CCTV-2차" xfId="3609" xr:uid="{00000000-0005-0000-0000-000095080000}"/>
    <cellStyle name="$_수초제거기(대양기계)_차량검지기 단위산출서" xfId="3610" xr:uid="{00000000-0005-0000-0000-000096080000}"/>
    <cellStyle name="$_순천구룡" xfId="3611" xr:uid="{00000000-0005-0000-0000-000097080000}"/>
    <cellStyle name="$_순천지부구룡해룡" xfId="3612" xr:uid="{00000000-0005-0000-0000-000098080000}"/>
    <cellStyle name="$_시방서" xfId="3613" xr:uid="{00000000-0005-0000-0000-000099080000}"/>
    <cellStyle name="$_시설용역" xfId="129" xr:uid="{00000000-0005-0000-0000-00009A080000}"/>
    <cellStyle name="$_신호등실정보고(2006,07)수정" xfId="130" xr:uid="{00000000-0005-0000-0000-00009B080000}"/>
    <cellStyle name="$_신화BS" xfId="131" xr:uid="{00000000-0005-0000-0000-00009C080000}"/>
    <cellStyle name="$_암전정밀실체현미경(수현)" xfId="132" xr:uid="{00000000-0005-0000-0000-00009D080000}"/>
    <cellStyle name="$_영산천 하수처리장 시설공사" xfId="133" xr:uid="{00000000-0005-0000-0000-00009E080000}"/>
    <cellStyle name="$_오리엔탈" xfId="134" xr:uid="{00000000-0005-0000-0000-00009F080000}"/>
    <cellStyle name="$_원본 - 한국전기교통-개선형신호등 4종" xfId="135" xr:uid="{00000000-0005-0000-0000-0000A0080000}"/>
    <cellStyle name="$_일위대가_현장장비(AVI)" xfId="6855" xr:uid="{00000000-0005-0000-0000-0000A1080000}"/>
    <cellStyle name="$_일체식(STS304)" xfId="3614" xr:uid="{00000000-0005-0000-0000-0000A2080000}"/>
    <cellStyle name="$_입찰내역3-CCTV-2차" xfId="3615" xr:uid="{00000000-0005-0000-0000-0000A3080000}"/>
    <cellStyle name="$_재료비" xfId="136" xr:uid="{00000000-0005-0000-0000-0000A4080000}"/>
    <cellStyle name="$_제경비율모음" xfId="137" xr:uid="{00000000-0005-0000-0000-0000A5080000}"/>
    <cellStyle name="$_제조원가" xfId="138" xr:uid="{00000000-0005-0000-0000-0000A6080000}"/>
    <cellStyle name="$_조달청-B판사천강교제작(최종본)" xfId="147" xr:uid="{00000000-0005-0000-0000-0000A7080000}"/>
    <cellStyle name="$_조달청-대북지원3차(최수현)" xfId="139" xr:uid="{00000000-0005-0000-0000-0000A8080000}"/>
    <cellStyle name="$_조달청-대북지원4차(최수현)" xfId="140" xr:uid="{00000000-0005-0000-0000-0000A9080000}"/>
    <cellStyle name="$_조달청-대북지원5차(최수현)" xfId="141" xr:uid="{00000000-0005-0000-0000-0000AA080000}"/>
    <cellStyle name="$_조달청-대북지원6차(번호)" xfId="142" xr:uid="{00000000-0005-0000-0000-0000AB080000}"/>
    <cellStyle name="$_조달청-대북지원6차(최수현)" xfId="143" xr:uid="{00000000-0005-0000-0000-0000AC080000}"/>
    <cellStyle name="$_조달청-대북지원7차(최수현)" xfId="144" xr:uid="{00000000-0005-0000-0000-0000AD080000}"/>
    <cellStyle name="$_조달청-대북지원8차(최수현)" xfId="145" xr:uid="{00000000-0005-0000-0000-0000AE080000}"/>
    <cellStyle name="$_조달청-대북지원9차(최수현)" xfId="146" xr:uid="{00000000-0005-0000-0000-0000AF080000}"/>
    <cellStyle name="$_중앙선관위(투표,개표)" xfId="148" xr:uid="{00000000-0005-0000-0000-0000B0080000}"/>
    <cellStyle name="$_중앙선관위(투표,개표)-사본" xfId="149" xr:uid="{00000000-0005-0000-0000-0000B1080000}"/>
    <cellStyle name="$_진도마산2차제출F18x21" xfId="3616" xr:uid="{00000000-0005-0000-0000-0000B2080000}"/>
    <cellStyle name="$_차량검지기 단위산출서" xfId="3617" xr:uid="{00000000-0005-0000-0000-0000B3080000}"/>
    <cellStyle name="$_철공가공조립" xfId="150" xr:uid="{00000000-0005-0000-0000-0000B4080000}"/>
    <cellStyle name="$_철도청-조명기구" xfId="151" xr:uid="{00000000-0005-0000-0000-0000B5080000}"/>
    <cellStyle name="$_최종-한국전기교통-개선형신호등 4종(공수조정)" xfId="152" xr:uid="{00000000-0005-0000-0000-0000B6080000}"/>
    <cellStyle name="$_출입통제,CCTV,유출보안 견적내역서(LGE)_1207" xfId="3618" xr:uid="{00000000-0005-0000-0000-0000B7080000}"/>
    <cellStyle name="$_코솔라-제조원가" xfId="153" xr:uid="{00000000-0005-0000-0000-0000B8080000}"/>
    <cellStyle name="$_테마공사새로03" xfId="154" xr:uid="{00000000-0005-0000-0000-0000B9080000}"/>
    <cellStyle name="$_토지공사-간접비" xfId="155" xr:uid="{00000000-0005-0000-0000-0000BA080000}"/>
    <cellStyle name="$_평창증설매립장-설치" xfId="156" xr:uid="{00000000-0005-0000-0000-0000BB080000}"/>
    <cellStyle name="$_한국가스공사필터제조부문" xfId="157" xr:uid="{00000000-0005-0000-0000-0000BC080000}"/>
    <cellStyle name="$_한국도로공사" xfId="158" xr:uid="{00000000-0005-0000-0000-0000BD080000}"/>
    <cellStyle name="$_한전내역서-최종" xfId="159" xr:uid="{00000000-0005-0000-0000-0000BE080000}"/>
    <cellStyle name="$_합판거푸집" xfId="3619" xr:uid="{00000000-0005-0000-0000-0000BF080000}"/>
    <cellStyle name="%(+,-,0)" xfId="165" xr:uid="{00000000-0005-0000-0000-0000C0080000}"/>
    <cellStyle name="(_x0010_" xfId="3620" xr:uid="{00000000-0005-0000-0000-0000C1080000}"/>
    <cellStyle name="(##.00)" xfId="166" xr:uid="{00000000-0005-0000-0000-0000C2080000}"/>
    <cellStyle name="(△콤마)" xfId="167" xr:uid="{00000000-0005-0000-0000-0000C3080000}"/>
    <cellStyle name="(백분율)" xfId="168" xr:uid="{00000000-0005-0000-0000-0000C4080000}"/>
    <cellStyle name="(콤마)" xfId="169" xr:uid="{00000000-0005-0000-0000-0000C5080000}"/>
    <cellStyle name="(표준)" xfId="170" xr:uid="{00000000-0005-0000-0000-0000C6080000}"/>
    <cellStyle name=";;;" xfId="171" xr:uid="{00000000-0005-0000-0000-0000C7080000}"/>
    <cellStyle name="?" xfId="3621" xr:uid="{00000000-0005-0000-0000-0000C808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3622" xr:uid="{00000000-0005-0000-0000-0000C9080000}"/>
    <cellStyle name="?? [0]_????? " xfId="172" xr:uid="{00000000-0005-0000-0000-0000CA080000}"/>
    <cellStyle name="??_x000c_둄_x001b__x000d_|?_x0001_?_x0003__x0014__x0007__x0001__x0001_" xfId="6856" xr:uid="{00000000-0005-0000-0000-0000CB080000}"/>
    <cellStyle name="??_x000c_靖?崧U_x0001_A_x0014_?_x0007__x0001__x0001_" xfId="3623" xr:uid="{00000000-0005-0000-0000-0000CC080000}"/>
    <cellStyle name="??&amp;O?&amp;H?_x0008__x000f__x0007_?_x0007__x0001__x0001_" xfId="174" xr:uid="{00000000-0005-0000-0000-0000CD080000}"/>
    <cellStyle name="??&amp;O?&amp;H?_x0008_??_x0007__x0001__x0001_" xfId="175" xr:uid="{00000000-0005-0000-0000-0000CE080000}"/>
    <cellStyle name="??&amp;O?&amp;H?_x0008_x_x000b_P_x000c__x0007__x0001__x0001_" xfId="3624" xr:uid="{00000000-0005-0000-0000-0000CF080000}"/>
    <cellStyle name="??&amp;?G_x0008_ X_x000a__x0007__x0001__x0001_" xfId="3625" xr:uid="{00000000-0005-0000-0000-0000D0080000}"/>
    <cellStyle name="??&amp;쏗?뷐9_x0008__x0011__x0007_?_x0007__x0001__x0001_" xfId="173" xr:uid="{00000000-0005-0000-0000-0000D1080000}"/>
    <cellStyle name="???­ [0]_¸ð??¸·" xfId="176" xr:uid="{00000000-0005-0000-0000-0000D2080000}"/>
    <cellStyle name="???­_¸ð??¸·" xfId="177" xr:uid="{00000000-0005-0000-0000-0000D3080000}"/>
    <cellStyle name="???Ø_??°???(2¿?) " xfId="3626" xr:uid="{00000000-0005-0000-0000-0000D4080000}"/>
    <cellStyle name="??[0]_RESULTS" xfId="6857" xr:uid="{00000000-0005-0000-0000-0000D5080000}"/>
    <cellStyle name="??_????? " xfId="178" xr:uid="{00000000-0005-0000-0000-0000D6080000}"/>
    <cellStyle name="_x0004_?Ð_x0004_" xfId="181" xr:uid="{00000000-0005-0000-0000-0000D7080000}"/>
    <cellStyle name="?Þ¸¶ [0]_¸ð??¸·" xfId="182" xr:uid="{00000000-0005-0000-0000-0000D8080000}"/>
    <cellStyle name="?Þ¸¶_¸ð??¸·" xfId="183" xr:uid="{00000000-0005-0000-0000-0000D9080000}"/>
    <cellStyle name="?W?_laroux" xfId="184" xr:uid="{00000000-0005-0000-0000-0000DA080000}"/>
    <cellStyle name="? [0.00]_sm1(smc021) " xfId="185" xr:uid="{00000000-0005-0000-0000-0000DB080000}"/>
    <cellStyle name="?_sm1(smc021) " xfId="186" xr:uid="{00000000-0005-0000-0000-0000DC080000}"/>
    <cellStyle name="?曹%U?&amp;H?_x0008_?s_x000a__x0007__x0001__x0001_" xfId="179" xr:uid="{00000000-0005-0000-0000-0000DD080000}"/>
    <cellStyle name="?珠??? " xfId="180" xr:uid="{00000000-0005-0000-0000-0000DE080000}"/>
    <cellStyle name="@_laroux" xfId="187" xr:uid="{00000000-0005-0000-0000-0000DF080000}"/>
    <cellStyle name="@_laroux_제트베인" xfId="188" xr:uid="{00000000-0005-0000-0000-0000E0080000}"/>
    <cellStyle name="@_laroux_제트베인_1" xfId="189" xr:uid="{00000000-0005-0000-0000-0000E1080000}"/>
    <cellStyle name="@_laroux_제트베인_1_광명_주정차시스템 견적서(한일에스티엠_4억9천)_설계내역서-07.06.18_기계경비만들기 " xfId="190" xr:uid="{00000000-0005-0000-0000-0000E2080000}"/>
    <cellStyle name="@_laroux_제트베인_1_광명_주정차시스템 견적서(한일에스티엠_4억9천)_성남시 불법주정차자동_견적서_견적서_ 한일에스티엠_설계내역서-07.06.18_기계경비만들기 " xfId="191" xr:uid="{00000000-0005-0000-0000-0000E3080000}"/>
    <cellStyle name="@_laroux_제트베인_1_광명_주정차시스템 견적서(한일에스티엠_4억9천)_성남시 불법주정차자동_견적서_설계내역서-07.06.18_기계경비만들기 " xfId="192" xr:uid="{00000000-0005-0000-0000-0000E4080000}"/>
    <cellStyle name="@_laroux_제트베인_1_광명_주정차시스템 견적서(한일에스티엠_수정본)_설계내역서-07.06.18_기계경비만들기 " xfId="193" xr:uid="{00000000-0005-0000-0000-0000E5080000}"/>
    <cellStyle name="@_laroux_제트베인_1_광명_주정차시스템 견적서(한일에스티엠_수정본)_성남시 불법주정차자동_견적서_견적서_ 한일에스티엠_설계내역서-07.06.18_기계경비만들기 " xfId="194" xr:uid="{00000000-0005-0000-0000-0000E6080000}"/>
    <cellStyle name="@_laroux_제트베인_1_광명_주정차시스템 견적서(한일에스티엠_수정본)_성남시 불법주정차자동_견적서_설계내역서-07.06.18_기계경비만들기 " xfId="195" xr:uid="{00000000-0005-0000-0000-0000E7080000}"/>
    <cellStyle name="@_laroux_제트베인_1_구보종합건설(관당-흑포)내역서(7.11)" xfId="196" xr:uid="{00000000-0005-0000-0000-0000E8080000}"/>
    <cellStyle name="@_laroux_제트베인_1_구보종합건설(관당-흑포)내역서(7.11)_관당-흑포)최종내역서(070713)" xfId="197" xr:uid="{00000000-0005-0000-0000-0000E9080000}"/>
    <cellStyle name="@_laroux_제트베인_1_농협퇴비-음성한우리영농(보통,그린)" xfId="198" xr:uid="{00000000-0005-0000-0000-0000EA080000}"/>
    <cellStyle name="@_laroux_제트베인_1_농협퇴비-음성한우리영농(보통,그린)_구보종합건설(관당-흑포)내역서(7.11)" xfId="199" xr:uid="{00000000-0005-0000-0000-0000EB080000}"/>
    <cellStyle name="@_laroux_제트베인_1_농협퇴비-음성한우리영농(보통,그린)_구보종합건설(관당-흑포)내역서(7.11)_관당-흑포)최종내역서(070713)" xfId="200" xr:uid="{00000000-0005-0000-0000-0000EC080000}"/>
    <cellStyle name="@_laroux_제트베인_1_농협퇴비-음성한우리영농(보통,그린)_롯데백화점미아점신호물량-가공" xfId="201" xr:uid="{00000000-0005-0000-0000-0000ED080000}"/>
    <cellStyle name="@_laroux_제트베인_1_농협퇴비-음성한우리영농(보통,그린)_롯데백화점미아점신호물량-가공_구보종합건설(관당-흑포)내역서(7.11)" xfId="202" xr:uid="{00000000-0005-0000-0000-0000EE080000}"/>
    <cellStyle name="@_laroux_제트베인_1_농협퇴비-음성한우리영농(보통,그린)_롯데백화점미아점신호물량-가공_구보종합건설(관당-흑포)내역서(7.11)_관당-흑포)최종내역서(070713)" xfId="203" xr:uid="{00000000-0005-0000-0000-0000EF080000}"/>
    <cellStyle name="@_laroux_제트베인_1_농협퇴비-음성한우리영농(보통,그린)_롯데백화점미아점신호물량-가공_신호등설치(관당-흑포)내역서-070612" xfId="204" xr:uid="{00000000-0005-0000-0000-0000F0080000}"/>
    <cellStyle name="@_laroux_제트베인_1_농협퇴비-음성한우리영농(보통,그린)_롯데백화점미아점신호물량-가공_신호등설치(관당-흑포)내역서-070612_관당-흑포)최종내역서(070713)" xfId="205" xr:uid="{00000000-0005-0000-0000-0000F1080000}"/>
    <cellStyle name="@_laroux_제트베인_1_농협퇴비-음성한우리영농(보통,그린)_신호등설치(관당-흑포)내역서-070612" xfId="206" xr:uid="{00000000-0005-0000-0000-0000F2080000}"/>
    <cellStyle name="@_laroux_제트베인_1_농협퇴비-음성한우리영농(보통,그린)_신호등설치(관당-흑포)내역서-070612_관당-흑포)최종내역서(070713)" xfId="207" xr:uid="{00000000-0005-0000-0000-0000F3080000}"/>
    <cellStyle name="@_laroux_제트베인_1_농협퇴비-함양(보통)" xfId="208" xr:uid="{00000000-0005-0000-0000-0000F4080000}"/>
    <cellStyle name="@_laroux_제트베인_1_농협퇴비-함양(보통)_구보종합건설(관당-흑포)내역서(7.11)" xfId="209" xr:uid="{00000000-0005-0000-0000-0000F5080000}"/>
    <cellStyle name="@_laroux_제트베인_1_농협퇴비-함양(보통)_구보종합건설(관당-흑포)내역서(7.11)_관당-흑포)최종내역서(070713)" xfId="210" xr:uid="{00000000-0005-0000-0000-0000F6080000}"/>
    <cellStyle name="@_laroux_제트베인_1_농협퇴비-함양(보통)_롯데백화점미아점신호물량-가공" xfId="211" xr:uid="{00000000-0005-0000-0000-0000F7080000}"/>
    <cellStyle name="@_laroux_제트베인_1_농협퇴비-함양(보통)_롯데백화점미아점신호물량-가공_구보종합건설(관당-흑포)내역서(7.11)" xfId="212" xr:uid="{00000000-0005-0000-0000-0000F8080000}"/>
    <cellStyle name="@_laroux_제트베인_1_농협퇴비-함양(보통)_롯데백화점미아점신호물량-가공_구보종합건설(관당-흑포)내역서(7.11)_관당-흑포)최종내역서(070713)" xfId="213" xr:uid="{00000000-0005-0000-0000-0000F9080000}"/>
    <cellStyle name="@_laroux_제트베인_1_농협퇴비-함양(보통)_롯데백화점미아점신호물량-가공_신호등설치(관당-흑포)내역서-070612" xfId="214" xr:uid="{00000000-0005-0000-0000-0000FA080000}"/>
    <cellStyle name="@_laroux_제트베인_1_농협퇴비-함양(보통)_롯데백화점미아점신호물량-가공_신호등설치(관당-흑포)내역서-070612_관당-흑포)최종내역서(070713)" xfId="215" xr:uid="{00000000-0005-0000-0000-0000FB080000}"/>
    <cellStyle name="@_laroux_제트베인_1_농협퇴비-함양(보통)_신호등설치(관당-흑포)내역서-070612" xfId="216" xr:uid="{00000000-0005-0000-0000-0000FC080000}"/>
    <cellStyle name="@_laroux_제트베인_1_농협퇴비-함양(보통)_신호등설치(관당-흑포)내역서-070612_관당-흑포)최종내역서(070713)" xfId="217" xr:uid="{00000000-0005-0000-0000-0000FD080000}"/>
    <cellStyle name="@_laroux_제트베인_1_롯데백화점미아점신호물량-가공" xfId="218" xr:uid="{00000000-0005-0000-0000-0000FE080000}"/>
    <cellStyle name="@_laroux_제트베인_1_롯데백화점미아점신호물량-가공_구보종합건설(관당-흑포)내역서(7.11)" xfId="219" xr:uid="{00000000-0005-0000-0000-0000FF080000}"/>
    <cellStyle name="@_laroux_제트베인_1_롯데백화점미아점신호물량-가공_구보종합건설(관당-흑포)내역서(7.11)_관당-흑포)최종내역서(070713)" xfId="220" xr:uid="{00000000-0005-0000-0000-000000090000}"/>
    <cellStyle name="@_laroux_제트베인_1_롯데백화점미아점신호물량-가공_신호등설치(관당-흑포)내역서-070612" xfId="221" xr:uid="{00000000-0005-0000-0000-000001090000}"/>
    <cellStyle name="@_laroux_제트베인_1_롯데백화점미아점신호물량-가공_신호등설치(관당-흑포)내역서-070612_관당-흑포)최종내역서(070713)" xfId="222" xr:uid="{00000000-0005-0000-0000-000002090000}"/>
    <cellStyle name="@_laroux_제트베인_1_마창VMS1EA_광명_주정차시스템 견적서(한일에스티엠_4억9천)_설계내역서-07.06.18_기계경비만들기 " xfId="223" xr:uid="{00000000-0005-0000-0000-000003090000}"/>
    <cellStyle name="@_laroux_제트베인_1_마창VMS1EA_광명_주정차시스템 견적서(한일에스티엠_4억9천)_성남시 불법주정차자동_견적서_견적서_ 한일에스티엠_설계내역서-07.06.18_기계경비만들기 " xfId="224" xr:uid="{00000000-0005-0000-0000-000004090000}"/>
    <cellStyle name="@_laroux_제트베인_1_마창VMS1EA_광명_주정차시스템 견적서(한일에스티엠_4억9천)_성남시 불법주정차자동_견적서_설계내역서-07.06.18_기계경비만들기 " xfId="225" xr:uid="{00000000-0005-0000-0000-000005090000}"/>
    <cellStyle name="@_laroux_제트베인_1_마창VMS1EA_광명_주정차시스템 견적서(한일에스티엠_수정본)_설계내역서-07.06.18_기계경비만들기 " xfId="226" xr:uid="{00000000-0005-0000-0000-000006090000}"/>
    <cellStyle name="@_laroux_제트베인_1_마창VMS1EA_광명_주정차시스템 견적서(한일에스티엠_수정본)_성남시 불법주정차자동_견적서_견적서_ 한일에스티엠_설계내역서-07.06.18_기계경비만들기 " xfId="227" xr:uid="{00000000-0005-0000-0000-000007090000}"/>
    <cellStyle name="@_laroux_제트베인_1_마창VMS1EA_광명_주정차시스템 견적서(한일에스티엠_수정본)_성남시 불법주정차자동_견적서_설계내역서-07.06.18_기계경비만들기 " xfId="228" xr:uid="{00000000-0005-0000-0000-000008090000}"/>
    <cellStyle name="@_laroux_제트베인_1_마창VMS1EA_설계내역서-07.06.18_기계경비만들기 " xfId="229" xr:uid="{00000000-0005-0000-0000-000009090000}"/>
    <cellStyle name="@_laroux_제트베인_1_마창VMS1EA_성남시 불법주정차자동_견적서_견적서_ 한일에스티엠_설계내역서-07.06.18_기계경비만들기 " xfId="230" xr:uid="{00000000-0005-0000-0000-00000A090000}"/>
    <cellStyle name="@_laroux_제트베인_1_마창VMS1EA_성남시 불법주정차자동_견적서_설계내역서-07.06.18_기계경비만들기 " xfId="231" xr:uid="{00000000-0005-0000-0000-00000B090000}"/>
    <cellStyle name="@_laroux_제트베인_1_마창VMS1EA-2_광명_주정차시스템 견적서(한일에스티엠_4억9천)_설계내역서-07.06.18_기계경비만들기 " xfId="232" xr:uid="{00000000-0005-0000-0000-00000C090000}"/>
    <cellStyle name="@_laroux_제트베인_1_마창VMS1EA-2_광명_주정차시스템 견적서(한일에스티엠_4억9천)_성남시 불법주정차자동_견적서_견적서_ 한일에스티엠_설계내역서-07.06.18_기계경비만들기 " xfId="233" xr:uid="{00000000-0005-0000-0000-00000D090000}"/>
    <cellStyle name="@_laroux_제트베인_1_마창VMS1EA-2_광명_주정차시스템 견적서(한일에스티엠_4억9천)_성남시 불법주정차자동_견적서_설계내역서-07.06.18_기계경비만들기 " xfId="234" xr:uid="{00000000-0005-0000-0000-00000E090000}"/>
    <cellStyle name="@_laroux_제트베인_1_마창VMS1EA-2_광명_주정차시스템 견적서(한일에스티엠_수정본)_설계내역서-07.06.18_기계경비만들기 " xfId="235" xr:uid="{00000000-0005-0000-0000-00000F090000}"/>
    <cellStyle name="@_laroux_제트베인_1_마창VMS1EA-2_광명_주정차시스템 견적서(한일에스티엠_수정본)_성남시 불법주정차자동_견적서_견적서_ 한일에스티엠_설계내역서-07.06.18_기계경비만들기 " xfId="236" xr:uid="{00000000-0005-0000-0000-000010090000}"/>
    <cellStyle name="@_laroux_제트베인_1_마창VMS1EA-2_광명_주정차시스템 견적서(한일에스티엠_수정본)_성남시 불법주정차자동_견적서_설계내역서-07.06.18_기계경비만들기 " xfId="237" xr:uid="{00000000-0005-0000-0000-000011090000}"/>
    <cellStyle name="@_laroux_제트베인_1_마창VMS1EA-2_설계내역서-07.06.18_기계경비만들기 " xfId="238" xr:uid="{00000000-0005-0000-0000-000012090000}"/>
    <cellStyle name="@_laroux_제트베인_1_마창VMS1EA-2_성남시 불법주정차자동_견적서_견적서_ 한일에스티엠_설계내역서-07.06.18_기계경비만들기 " xfId="239" xr:uid="{00000000-0005-0000-0000-000013090000}"/>
    <cellStyle name="@_laroux_제트베인_1_마창VMS1EA-2_성남시 불법주정차자동_견적서_설계내역서-07.06.18_기계경비만들기 " xfId="240" xr:uid="{00000000-0005-0000-0000-000014090000}"/>
    <cellStyle name="@_laroux_제트베인_1_설계내역서-07.06.18_기계경비만들기 " xfId="241" xr:uid="{00000000-0005-0000-0000-000015090000}"/>
    <cellStyle name="@_laroux_제트베인_1_성남시 불법주정차자동_견적서_견적서_ 한일에스티엠_설계내역서-07.06.18_기계경비만들기 " xfId="242" xr:uid="{00000000-0005-0000-0000-000016090000}"/>
    <cellStyle name="@_laroux_제트베인_1_성남시 불법주정차자동_견적서_설계내역서-07.06.18_기계경비만들기 " xfId="243" xr:uid="{00000000-0005-0000-0000-000017090000}"/>
    <cellStyle name="@_laroux_제트베인_1_신호등설치(관당-흑포)내역서-070612" xfId="244" xr:uid="{00000000-0005-0000-0000-000018090000}"/>
    <cellStyle name="@_laroux_제트베인_1_신호등설치(관당-흑포)내역서-070612_관당-흑포)최종내역서(070713)" xfId="245" xr:uid="{00000000-0005-0000-0000-000019090000}"/>
    <cellStyle name="]_^[꺞_x0008_?" xfId="3627" xr:uid="{00000000-0005-0000-0000-00001A090000}"/>
    <cellStyle name="_(01-14)광양항인건비" xfId="246" xr:uid="{00000000-0005-0000-0000-00001B090000}"/>
    <cellStyle name="_(가)실행 삼성전기 0506" xfId="6858" xr:uid="{00000000-0005-0000-0000-00001C090000}"/>
    <cellStyle name="_00 단가산출서 9호선,공항,공용" xfId="247" xr:uid="{00000000-0005-0000-0000-00001D090000}"/>
    <cellStyle name="_00 실정보고-S.C.W 내역서" xfId="248" xr:uid="{00000000-0005-0000-0000-00001E090000}"/>
    <cellStyle name="_01~02 1-1A,1B 구간 공사용 임시전력공사 내역서" xfId="249" xr:uid="{00000000-0005-0000-0000-00001F090000}"/>
    <cellStyle name="_01-가로등(삼성상용차)" xfId="3628" xr:uid="{00000000-0005-0000-0000-000020090000}"/>
    <cellStyle name="_01-공원등" xfId="3629" xr:uid="{00000000-0005-0000-0000-000021090000}"/>
    <cellStyle name="_02.LGT-견적(LAN_양근창D)_061012T" xfId="3630" xr:uid="{00000000-0005-0000-0000-000022090000}"/>
    <cellStyle name="_03_전기내역서(부산청)" xfId="6859" xr:uid="{00000000-0005-0000-0000-000023090000}"/>
    <cellStyle name="_03-09 가로등3차공사  ((2차분))  2회변경" xfId="250" xr:uid="{00000000-0005-0000-0000-000024090000}"/>
    <cellStyle name="_03-09 가로등3차공사  ((전체분))  4회설계변경작성" xfId="251" xr:uid="{00000000-0005-0000-0000-000025090000}"/>
    <cellStyle name="_03-09 가로등시설3차공사(2차분)1회설계변경작성" xfId="252" xr:uid="{00000000-0005-0000-0000-000026090000}"/>
    <cellStyle name="_03-09 가로등시설3차공사(2차분)1회설계변경작성_가로등3차공사  ((2차분))  2회변경20031018" xfId="253" xr:uid="{00000000-0005-0000-0000-000027090000}"/>
    <cellStyle name="_03-신호등(삼성상용차)" xfId="3631" xr:uid="{00000000-0005-0000-0000-000028090000}"/>
    <cellStyle name="_0402우포식생호안블럭(일부)" xfId="254" xr:uid="{00000000-0005-0000-0000-000029090000}"/>
    <cellStyle name="_0402진흥콘크리트-호안블럭3종(일부)" xfId="255" xr:uid="{00000000-0005-0000-0000-00002A090000}"/>
    <cellStyle name="_0402피아산업-학생용책걸상10종" xfId="256" xr:uid="{00000000-0005-0000-0000-00002B090000}"/>
    <cellStyle name="_040731-1(우회도로2단계-보광통신)" xfId="6860" xr:uid="{00000000-0005-0000-0000-00002C090000}"/>
    <cellStyle name="_04관로_청주1공구" xfId="3632" xr:uid="{00000000-0005-0000-0000-00002D090000}"/>
    <cellStyle name="_05.4.11-2_농심CAMPUS 전력 및 조명제어공사" xfId="3633" xr:uid="{00000000-0005-0000-0000-00002E090000}"/>
    <cellStyle name="_05_통신내역서(부산청)" xfId="6861" xr:uid="{00000000-0005-0000-0000-00002F090000}"/>
    <cellStyle name="_05가로등연간단(서대문구)" xfId="257" xr:uid="{00000000-0005-0000-0000-000030090000}"/>
    <cellStyle name="_06.내역서(경관설비공사)-설계비 변경(9월14일)" xfId="258" xr:uid="{00000000-0005-0000-0000-000031090000}"/>
    <cellStyle name="_06_소방내역서(부산청)" xfId="6862" xr:uid="{00000000-0005-0000-0000-000032090000}"/>
    <cellStyle name="_080213 송도 A1, A2BL CCTV 견적서_v1.0" xfId="3634" xr:uid="{00000000-0005-0000-0000-000033090000}"/>
    <cellStyle name="_080421 동국제강 통합방범 견적서" xfId="3635" xr:uid="{00000000-0005-0000-0000-000034090000}"/>
    <cellStyle name="_1.2경관조명공사 내역서(관급)" xfId="259" xr:uid="{00000000-0005-0000-0000-000035090000}"/>
    <cellStyle name="_1.설계서(201특공)" xfId="3636" xr:uid="{00000000-0005-0000-0000-000036090000}"/>
    <cellStyle name="_1.홍은동1공구 가로등공사" xfId="260" xr:uid="{00000000-0005-0000-0000-000037090000}"/>
    <cellStyle name="_1021_IPT_S8700_ LG가산_to ibs" xfId="3637" xr:uid="{00000000-0005-0000-0000-000038090000}"/>
    <cellStyle name="_11-방송내역서" xfId="3638" xr:uid="{00000000-0005-0000-0000-000039090000}"/>
    <cellStyle name="_1220-원가조사-전자지불" xfId="261" xr:uid="{00000000-0005-0000-0000-00003A090000}"/>
    <cellStyle name="_1원가계산,2총괄내역서xls" xfId="262" xr:uid="{00000000-0005-0000-0000-00003B090000}"/>
    <cellStyle name="_1회변경내역서(최종)-6550백만" xfId="263" xr:uid="{00000000-0005-0000-0000-00003C090000}"/>
    <cellStyle name="_2,3단계밸브교체설계서" xfId="264" xr:uid="{00000000-0005-0000-0000-00003D090000}"/>
    <cellStyle name="_2,3단계밸브교체설계서_시흥정수장문주교체공사" xfId="265" xr:uid="{00000000-0005-0000-0000-00003E090000}"/>
    <cellStyle name="_2,3단계밸브교체설계서_시흥정수장휀스교체공사" xfId="266" xr:uid="{00000000-0005-0000-0000-00003F090000}"/>
    <cellStyle name="_2.실시설계총괄내역서_vds(loop)_최종_이상훈" xfId="269" xr:uid="{00000000-0005-0000-0000-000040090000}"/>
    <cellStyle name="_2.실시설계총괄내역서_교통정보수집" xfId="267" xr:uid="{00000000-0005-0000-0000-000041090000}"/>
    <cellStyle name="_2.실시설계총괄내역서_신호제어" xfId="268" xr:uid="{00000000-0005-0000-0000-000042090000}"/>
    <cellStyle name="_2.통신내역서" xfId="3639" xr:uid="{00000000-0005-0000-0000-000043090000}"/>
    <cellStyle name="_2001 장애조치" xfId="270" xr:uid="{00000000-0005-0000-0000-000044090000}"/>
    <cellStyle name="_2002결과표1" xfId="271" xr:uid="{00000000-0005-0000-0000-000045090000}"/>
    <cellStyle name="_2002광케이블일위대가 및 시행품의서 견본 6월 01일 시행" xfId="3640" xr:uid="{00000000-0005-0000-0000-000046090000}"/>
    <cellStyle name="_2002대전1공구(관로-정산내역)" xfId="3641" xr:uid="{00000000-0005-0000-0000-000047090000}"/>
    <cellStyle name="_2002도로상 밸브실 증고공사" xfId="272" xr:uid="{00000000-0005-0000-0000-000048090000}"/>
    <cellStyle name="_2002도로상 밸브실 증고공사_2003년 사업장 배수로 보수 및 휀스교체공사설계서" xfId="273" xr:uid="{00000000-0005-0000-0000-000049090000}"/>
    <cellStyle name="_2002도로상 밸브실 증고공사_2003년 수도권(과천)밸브교체1" xfId="274" xr:uid="{00000000-0005-0000-0000-00004A090000}"/>
    <cellStyle name="_2002도로상 밸브실 증고공사_사본 - 실적내역서-시흥정수장옥상방수" xfId="275" xr:uid="{00000000-0005-0000-0000-00004B090000}"/>
    <cellStyle name="_2002도로상 밸브실 증고공사_시흥정수장문주교체공사" xfId="276" xr:uid="{00000000-0005-0000-0000-00004C090000}"/>
    <cellStyle name="_2002도로상 밸브실 증고공사_시흥정수장휀스교체공사" xfId="277" xr:uid="{00000000-0005-0000-0000-00004D090000}"/>
    <cellStyle name="_2002도로상 밸브실 증고공사_실적내역서-2003배수로보수공사(검토수정최종)-철거자료" xfId="278" xr:uid="{00000000-0005-0000-0000-00004E090000}"/>
    <cellStyle name="_2002물가변동집계(0205)" xfId="279" xr:uid="{00000000-0005-0000-0000-00004F090000}"/>
    <cellStyle name="_2003-06 가로등시설3차공사(2차분)1회변경" xfId="280" xr:uid="{00000000-0005-0000-0000-000050090000}"/>
    <cellStyle name="_2003-06 가로등시설3차공사(2차분)1회변경_가로등3차공사  ((2차분))  2회변경20031018" xfId="281" xr:uid="{00000000-0005-0000-0000-000051090000}"/>
    <cellStyle name="_2003년 수도권#2,4단계밸브교체공사 설계도서" xfId="282" xr:uid="{00000000-0005-0000-0000-000052090000}"/>
    <cellStyle name="_2003년 수도권#2,4단계밸브교체공사 설계도서_2003년 사업장 배수로 보수 및 휀스교체공사설계서" xfId="283" xr:uid="{00000000-0005-0000-0000-000053090000}"/>
    <cellStyle name="_2003년 수도권#2,4단계밸브교체공사 설계도서_2003년 수도권(과천)밸브교체1" xfId="284" xr:uid="{00000000-0005-0000-0000-000054090000}"/>
    <cellStyle name="_2003년 수도권#2,4단계밸브교체공사 설계도서_사본 - 실적내역서-시흥정수장옥상방수" xfId="285" xr:uid="{00000000-0005-0000-0000-000055090000}"/>
    <cellStyle name="_2003년 수도권#2,4단계밸브교체공사 설계도서_시흥정수장문주교체공사" xfId="286" xr:uid="{00000000-0005-0000-0000-000056090000}"/>
    <cellStyle name="_2003년 수도권#2,4단계밸브교체공사 설계도서_시흥정수장휀스교체공사" xfId="287" xr:uid="{00000000-0005-0000-0000-000057090000}"/>
    <cellStyle name="_2003년 수도권#2,4단계밸브교체공사 설계도서_실적내역서-2003배수로보수공사(검토수정최종)-철거자료" xfId="288" xr:uid="{00000000-0005-0000-0000-000058090000}"/>
    <cellStyle name="_2003년 수도권#2,4단계제수밸브교체공사 설계도서" xfId="289" xr:uid="{00000000-0005-0000-0000-000059090000}"/>
    <cellStyle name="_2003년 수도권#2,4단계제수밸브교체공사 설계도서_2003년 사업장 배수로 보수 및 휀스교체공사설계서" xfId="290" xr:uid="{00000000-0005-0000-0000-00005A090000}"/>
    <cellStyle name="_2003년 수도권#2,4단계제수밸브교체공사 설계도서_2003년 수도권(과천)밸브교체1" xfId="291" xr:uid="{00000000-0005-0000-0000-00005B090000}"/>
    <cellStyle name="_2003년 수도권#2,4단계제수밸브교체공사 설계도서_사본 - 실적내역서-시흥정수장옥상방수" xfId="292" xr:uid="{00000000-0005-0000-0000-00005C090000}"/>
    <cellStyle name="_2003년 수도권#2,4단계제수밸브교체공사 설계도서_시흥정수장문주교체공사" xfId="293" xr:uid="{00000000-0005-0000-0000-00005D090000}"/>
    <cellStyle name="_2003년 수도권#2,4단계제수밸브교체공사 설계도서_시흥정수장휀스교체공사" xfId="294" xr:uid="{00000000-0005-0000-0000-00005E090000}"/>
    <cellStyle name="_2003년 수도권#2,4단계제수밸브교체공사 설계도서_실적내역서-2003배수로보수공사(검토수정최종)-철거자료" xfId="295" xr:uid="{00000000-0005-0000-0000-00005F090000}"/>
    <cellStyle name="_2003년 수도권(과천)밸브교체" xfId="296" xr:uid="{00000000-0005-0000-0000-000060090000}"/>
    <cellStyle name="_2003년 수도권(과천)밸브교체_2003년 사업장 배수로 보수 및 휀스교체공사설계서" xfId="297" xr:uid="{00000000-0005-0000-0000-000061090000}"/>
    <cellStyle name="_2003년 수도권(과천)밸브교체_2003년 수도권(과천)밸브교체1" xfId="298" xr:uid="{00000000-0005-0000-0000-000062090000}"/>
    <cellStyle name="_2003년 수도권(과천)밸브교체_사본 - 실적내역서-시흥정수장옥상방수" xfId="299" xr:uid="{00000000-0005-0000-0000-000063090000}"/>
    <cellStyle name="_2003년 수도권(과천)밸브교체_시흥정수장문주교체공사" xfId="300" xr:uid="{00000000-0005-0000-0000-000064090000}"/>
    <cellStyle name="_2003년 수도권(과천)밸브교체_시흥정수장휀스교체공사" xfId="301" xr:uid="{00000000-0005-0000-0000-000065090000}"/>
    <cellStyle name="_2003년 수도권(과천)밸브교체_실적내역서-2003배수로보수공사(검토수정최종)-철거자료" xfId="302" xr:uid="{00000000-0005-0000-0000-000066090000}"/>
    <cellStyle name="_2003년 수도권(과천)밸브교체1" xfId="303" xr:uid="{00000000-0005-0000-0000-000067090000}"/>
    <cellStyle name="_2003년 수도권(과천)밸브교체1_2003년 사업장 배수로 보수 및 휀스교체공사설계서" xfId="304" xr:uid="{00000000-0005-0000-0000-000068090000}"/>
    <cellStyle name="_2003년 수도권(과천)밸브교체1_2003년 수도권(과천)밸브교체1" xfId="305" xr:uid="{00000000-0005-0000-0000-000069090000}"/>
    <cellStyle name="_2003년 수도권(과천)밸브교체1_사본 - 실적내역서-시흥정수장옥상방수" xfId="306" xr:uid="{00000000-0005-0000-0000-00006A090000}"/>
    <cellStyle name="_2003년 수도권(과천)밸브교체1_시흥정수장문주교체공사" xfId="307" xr:uid="{00000000-0005-0000-0000-00006B090000}"/>
    <cellStyle name="_2003년 수도권(과천)밸브교체1_시흥정수장휀스교체공사" xfId="308" xr:uid="{00000000-0005-0000-0000-00006C090000}"/>
    <cellStyle name="_2003년 수도권(과천)밸브교체1_실적내역서-2003배수로보수공사(검토수정최종)-철거자료" xfId="309" xr:uid="{00000000-0005-0000-0000-00006D090000}"/>
    <cellStyle name="_20050826(덕양구신호등내역서)" xfId="310" xr:uid="{00000000-0005-0000-0000-00006E090000}"/>
    <cellStyle name="_200605월고양신호등일위대가,단가조사서" xfId="311" xr:uid="{00000000-0005-0000-0000-00006F090000}"/>
    <cellStyle name="_2006112628400-4" xfId="3642" xr:uid="{00000000-0005-0000-0000-000070090000}"/>
    <cellStyle name="_3.CCTV 수량및단가(부산청)" xfId="3643" xr:uid="{00000000-0005-0000-0000-000071090000}"/>
    <cellStyle name="_4.VMS 수량및단가(부산청)" xfId="3644" xr:uid="{00000000-0005-0000-0000-000072090000}"/>
    <cellStyle name="_4.단가대비표" xfId="3645" xr:uid="{00000000-0005-0000-0000-000073090000}"/>
    <cellStyle name="_6.1 자가망(장비)수량및단가(익산청)" xfId="3646" xr:uid="{00000000-0005-0000-0000-000074090000}"/>
    <cellStyle name="_6.1 자가통신망(장비)수량및단가산출서(부산청)" xfId="6863" xr:uid="{00000000-0005-0000-0000-000075090000}"/>
    <cellStyle name="_6.2 자가망(케이블)수량산출서(익산청)" xfId="3647" xr:uid="{00000000-0005-0000-0000-000076090000}"/>
    <cellStyle name="_7. 수량산출서(전체)" xfId="312" xr:uid="{00000000-0005-0000-0000-000077090000}"/>
    <cellStyle name="_7.수량산출서" xfId="313" xr:uid="{00000000-0005-0000-0000-000078090000}"/>
    <cellStyle name="_7월분 준공도면" xfId="3648" xr:uid="{00000000-0005-0000-0000-000079090000}"/>
    <cellStyle name="_7월준공도면통합" xfId="3649" xr:uid="{00000000-0005-0000-0000-00007A090000}"/>
    <cellStyle name="_8.전기접지 수량및단가(부산청)" xfId="6864" xr:uid="{00000000-0005-0000-0000-00007B090000}"/>
    <cellStyle name="_99광통신간석외1개소" xfId="3650" xr:uid="{00000000-0005-0000-0000-00007C090000}"/>
    <cellStyle name="_99광통신간석외1개소_04년도서울지역굴착계획" xfId="3651" xr:uid="{00000000-0005-0000-0000-00007D090000}"/>
    <cellStyle name="_99광통신간석외1개소_04년도서울지역굴착계획_09_덕-H02통신공사_설계서_v4" xfId="6865" xr:uid="{00000000-0005-0000-0000-00007E090000}"/>
    <cellStyle name="_99광통신간석외1개소_04년도서울지역굴착계획_설계서_CCTV-V1" xfId="6866" xr:uid="{00000000-0005-0000-0000-00007F090000}"/>
    <cellStyle name="_99광통신간석외1개소_04년도서울지역굴착계획_수신-VDS내역서_20061103" xfId="3652" xr:uid="{00000000-0005-0000-0000-000080090000}"/>
    <cellStyle name="_99광통신간석외1개소_09_덕-H02통신공사_설계서_v4" xfId="6867" xr:uid="{00000000-0005-0000-0000-000081090000}"/>
    <cellStyle name="_99광통신간석외1개소_1" xfId="3653" xr:uid="{00000000-0005-0000-0000-000082090000}"/>
    <cellStyle name="_99광통신간석외1개소_봅시다장비내역서" xfId="3654" xr:uid="{00000000-0005-0000-0000-000083090000}"/>
    <cellStyle name="_99광통신간석외1개소_봅시다장비내역서_04년도서울지역굴착계획" xfId="3655" xr:uid="{00000000-0005-0000-0000-000084090000}"/>
    <cellStyle name="_99광통신간석외1개소_봅시다장비내역서_04년도서울지역굴착계획_09_덕-H02통신공사_설계서_v4" xfId="6868" xr:uid="{00000000-0005-0000-0000-000085090000}"/>
    <cellStyle name="_99광통신간석외1개소_봅시다장비내역서_04년도서울지역굴착계획_설계서_CCTV-V1" xfId="6869" xr:uid="{00000000-0005-0000-0000-000086090000}"/>
    <cellStyle name="_99광통신간석외1개소_봅시다장비내역서_04년도서울지역굴착계획_수신-VDS내역서_20061103" xfId="3656" xr:uid="{00000000-0005-0000-0000-000087090000}"/>
    <cellStyle name="_99광통신간석외1개소_봅시다장비내역서_09_덕-H02통신공사_설계서_v4" xfId="6870" xr:uid="{00000000-0005-0000-0000-000088090000}"/>
    <cellStyle name="_99광통신간석외1개소_봅시다장비내역서_설계서_CCTV-V1" xfId="6871" xr:uid="{00000000-0005-0000-0000-000089090000}"/>
    <cellStyle name="_99광통신간석외1개소_봅시다장비내역서_수신-VDS내역서_20061103" xfId="3657" xr:uid="{00000000-0005-0000-0000-00008A090000}"/>
    <cellStyle name="_99광통신간석외1개소_봅시다장비내역서_의정부" xfId="3658" xr:uid="{00000000-0005-0000-0000-00008B090000}"/>
    <cellStyle name="_99광통신간석외1개소_봅시다장비내역서_의정부_04년도서울지역굴착계획" xfId="3659" xr:uid="{00000000-0005-0000-0000-00008C090000}"/>
    <cellStyle name="_99광통신간석외1개소_봅시다장비내역서_의정부_04년도서울지역굴착계획_09_덕-H02통신공사_설계서_v4" xfId="6872" xr:uid="{00000000-0005-0000-0000-00008D090000}"/>
    <cellStyle name="_99광통신간석외1개소_봅시다장비내역서_의정부_04년도서울지역굴착계획_설계서_CCTV-V1" xfId="6873" xr:uid="{00000000-0005-0000-0000-00008E090000}"/>
    <cellStyle name="_99광통신간석외1개소_봅시다장비내역서_의정부_04년도서울지역굴착계획_수신-VDS내역서_20061103" xfId="3660" xr:uid="{00000000-0005-0000-0000-00008F090000}"/>
    <cellStyle name="_99광통신간석외1개소_봅시다장비내역서_의정부_09_덕-H02통신공사_설계서_v4" xfId="6874" xr:uid="{00000000-0005-0000-0000-000090090000}"/>
    <cellStyle name="_99광통신간석외1개소_봅시다장비내역서_의정부_설계서_CCTV-V1" xfId="6875" xr:uid="{00000000-0005-0000-0000-000091090000}"/>
    <cellStyle name="_99광통신간석외1개소_봅시다장비내역서_의정부_수신-VDS내역서_20061103" xfId="3661" xr:uid="{00000000-0005-0000-0000-000092090000}"/>
    <cellStyle name="_99광통신간석외1개소_설계서_CCTV-V1" xfId="6876" xr:uid="{00000000-0005-0000-0000-000093090000}"/>
    <cellStyle name="_99광통신간석외1개소_수신-VDS내역서_20061103" xfId="3662" xr:uid="{00000000-0005-0000-0000-000094090000}"/>
    <cellStyle name="_99광통신간석외1개소_신호현자재내역 의정부" xfId="3663" xr:uid="{00000000-0005-0000-0000-000095090000}"/>
    <cellStyle name="_99광통신간석외1개소_신호현자재내역 의정부_04년도서울지역굴착계획" xfId="3664" xr:uid="{00000000-0005-0000-0000-000096090000}"/>
    <cellStyle name="_99광통신간석외1개소_신호현자재내역 의정부_04년도서울지역굴착계획_09_덕-H02통신공사_설계서_v4" xfId="6877" xr:uid="{00000000-0005-0000-0000-000097090000}"/>
    <cellStyle name="_99광통신간석외1개소_신호현자재내역 의정부_04년도서울지역굴착계획_설계서_CCTV-V1" xfId="6878" xr:uid="{00000000-0005-0000-0000-000098090000}"/>
    <cellStyle name="_99광통신간석외1개소_신호현자재내역 의정부_04년도서울지역굴착계획_수신-VDS내역서_20061103" xfId="3665" xr:uid="{00000000-0005-0000-0000-000099090000}"/>
    <cellStyle name="_99광통신간석외1개소_신호현자재내역 의정부_09_덕-H02통신공사_설계서_v4" xfId="6879" xr:uid="{00000000-0005-0000-0000-00009A090000}"/>
    <cellStyle name="_99광통신간석외1개소_신호현자재내역 의정부_설계서_CCTV-V1" xfId="6880" xr:uid="{00000000-0005-0000-0000-00009B090000}"/>
    <cellStyle name="_99광통신간석외1개소_신호현자재내역 의정부_수신-VDS내역서_20061103" xfId="3666" xr:uid="{00000000-0005-0000-0000-00009C090000}"/>
    <cellStyle name="_99광통신간석외1개소_신호현자재내역 의정부_의정부" xfId="3667" xr:uid="{00000000-0005-0000-0000-00009D090000}"/>
    <cellStyle name="_99광통신간석외1개소_신호현자재내역 의정부_의정부_04년도서울지역굴착계획" xfId="3668" xr:uid="{00000000-0005-0000-0000-00009E090000}"/>
    <cellStyle name="_99광통신간석외1개소_신호현자재내역 의정부_의정부_04년도서울지역굴착계획_09_덕-H02통신공사_설계서_v4" xfId="6881" xr:uid="{00000000-0005-0000-0000-00009F090000}"/>
    <cellStyle name="_99광통신간석외1개소_신호현자재내역 의정부_의정부_04년도서울지역굴착계획_설계서_CCTV-V1" xfId="6882" xr:uid="{00000000-0005-0000-0000-0000A0090000}"/>
    <cellStyle name="_99광통신간석외1개소_신호현자재내역 의정부_의정부_04년도서울지역굴착계획_수신-VDS내역서_20061103" xfId="3669" xr:uid="{00000000-0005-0000-0000-0000A1090000}"/>
    <cellStyle name="_99광통신간석외1개소_신호현자재내역 의정부_의정부_09_덕-H02통신공사_설계서_v4" xfId="6883" xr:uid="{00000000-0005-0000-0000-0000A2090000}"/>
    <cellStyle name="_99광통신간석외1개소_신호현자재내역 의정부_의정부_설계서_CCTV-V1" xfId="6884" xr:uid="{00000000-0005-0000-0000-0000A3090000}"/>
    <cellStyle name="_99광통신간석외1개소_신호현자재내역 의정부_의정부_수신-VDS내역서_20061103" xfId="3670" xr:uid="{00000000-0005-0000-0000-0000A4090000}"/>
    <cellStyle name="_99광통신간석외1개소_의정부장비내역서" xfId="3671" xr:uid="{00000000-0005-0000-0000-0000A5090000}"/>
    <cellStyle name="_99광통신간석외1개소_의정부장비내역서_04년도서울지역굴착계획" xfId="3672" xr:uid="{00000000-0005-0000-0000-0000A6090000}"/>
    <cellStyle name="_99광통신간석외1개소_의정부장비내역서_04년도서울지역굴착계획_09_덕-H02통신공사_설계서_v4" xfId="6885" xr:uid="{00000000-0005-0000-0000-0000A7090000}"/>
    <cellStyle name="_99광통신간석외1개소_의정부장비내역서_04년도서울지역굴착계획_설계서_CCTV-V1" xfId="6886" xr:uid="{00000000-0005-0000-0000-0000A8090000}"/>
    <cellStyle name="_99광통신간석외1개소_의정부장비내역서_04년도서울지역굴착계획_수신-VDS내역서_20061103" xfId="3673" xr:uid="{00000000-0005-0000-0000-0000A9090000}"/>
    <cellStyle name="_99광통신간석외1개소_의정부장비내역서_09_덕-H02통신공사_설계서_v4" xfId="6887" xr:uid="{00000000-0005-0000-0000-0000AA090000}"/>
    <cellStyle name="_99광통신간석외1개소_의정부장비내역서_설계서_CCTV-V1" xfId="6888" xr:uid="{00000000-0005-0000-0000-0000AB090000}"/>
    <cellStyle name="_99광통신간석외1개소_의정부장비내역서_수신-VDS내역서_20061103" xfId="3674" xr:uid="{00000000-0005-0000-0000-0000AC090000}"/>
    <cellStyle name="_99광통신간석외1개소_의정부장비내역서_의정부" xfId="3675" xr:uid="{00000000-0005-0000-0000-0000AD090000}"/>
    <cellStyle name="_99광통신간석외1개소_의정부장비내역서_의정부_04년도서울지역굴착계획" xfId="3676" xr:uid="{00000000-0005-0000-0000-0000AE090000}"/>
    <cellStyle name="_99광통신간석외1개소_의정부장비내역서_의정부_04년도서울지역굴착계획_09_덕-H02통신공사_설계서_v4" xfId="6889" xr:uid="{00000000-0005-0000-0000-0000AF090000}"/>
    <cellStyle name="_99광통신간석외1개소_의정부장비내역서_의정부_04년도서울지역굴착계획_설계서_CCTV-V1" xfId="6890" xr:uid="{00000000-0005-0000-0000-0000B0090000}"/>
    <cellStyle name="_99광통신간석외1개소_의정부장비내역서_의정부_04년도서울지역굴착계획_수신-VDS내역서_20061103" xfId="3677" xr:uid="{00000000-0005-0000-0000-0000B1090000}"/>
    <cellStyle name="_99광통신간석외1개소_의정부장비내역서_의정부_09_덕-H02통신공사_설계서_v4" xfId="6891" xr:uid="{00000000-0005-0000-0000-0000B2090000}"/>
    <cellStyle name="_99광통신간석외1개소_의정부장비내역서_의정부_설계서_CCTV-V1" xfId="6892" xr:uid="{00000000-0005-0000-0000-0000B3090000}"/>
    <cellStyle name="_99광통신간석외1개소_의정부장비내역서_의정부_수신-VDS내역서_20061103" xfId="3678" xr:uid="{00000000-0005-0000-0000-0000B4090000}"/>
    <cellStyle name="_99광통신네트워크 중구 연안지역 보강공사" xfId="3679" xr:uid="{00000000-0005-0000-0000-0000B5090000}"/>
    <cellStyle name="_99광통신네트워크 중구 연안지역 보강공사_04년도서울지역굴착계획" xfId="3680" xr:uid="{00000000-0005-0000-0000-0000B6090000}"/>
    <cellStyle name="_99광통신네트워크 중구 연안지역 보강공사_04년도서울지역굴착계획_09_덕-H02통신공사_설계서_v4" xfId="6893" xr:uid="{00000000-0005-0000-0000-0000B7090000}"/>
    <cellStyle name="_99광통신네트워크 중구 연안지역 보강공사_04년도서울지역굴착계획_설계서_CCTV-V1" xfId="6894" xr:uid="{00000000-0005-0000-0000-0000B8090000}"/>
    <cellStyle name="_99광통신네트워크 중구 연안지역 보강공사_04년도서울지역굴착계획_수신-VDS내역서_20061103" xfId="3681" xr:uid="{00000000-0005-0000-0000-0000B9090000}"/>
    <cellStyle name="_99광통신네트워크 중구 연안지역 보강공사_09_덕-H02통신공사_설계서_v4" xfId="6895" xr:uid="{00000000-0005-0000-0000-0000BA090000}"/>
    <cellStyle name="_99광통신네트워크 중구 연안지역 보강공사_1" xfId="3682" xr:uid="{00000000-0005-0000-0000-0000BB090000}"/>
    <cellStyle name="_99광통신네트워크 중구 연안지역 보강공사_봅시다장비내역서" xfId="3683" xr:uid="{00000000-0005-0000-0000-0000BC090000}"/>
    <cellStyle name="_99광통신네트워크 중구 연안지역 보강공사_봅시다장비내역서_04년도서울지역굴착계획" xfId="3684" xr:uid="{00000000-0005-0000-0000-0000BD090000}"/>
    <cellStyle name="_99광통신네트워크 중구 연안지역 보강공사_봅시다장비내역서_04년도서울지역굴착계획_09_덕-H02통신공사_설계서_v4" xfId="6896" xr:uid="{00000000-0005-0000-0000-0000BE090000}"/>
    <cellStyle name="_99광통신네트워크 중구 연안지역 보강공사_봅시다장비내역서_04년도서울지역굴착계획_설계서_CCTV-V1" xfId="6897" xr:uid="{00000000-0005-0000-0000-0000BF090000}"/>
    <cellStyle name="_99광통신네트워크 중구 연안지역 보강공사_봅시다장비내역서_04년도서울지역굴착계획_수신-VDS내역서_20061103" xfId="3685" xr:uid="{00000000-0005-0000-0000-0000C0090000}"/>
    <cellStyle name="_99광통신네트워크 중구 연안지역 보강공사_봅시다장비내역서_09_덕-H02통신공사_설계서_v4" xfId="6898" xr:uid="{00000000-0005-0000-0000-0000C1090000}"/>
    <cellStyle name="_99광통신네트워크 중구 연안지역 보강공사_봅시다장비내역서_설계서_CCTV-V1" xfId="6899" xr:uid="{00000000-0005-0000-0000-0000C2090000}"/>
    <cellStyle name="_99광통신네트워크 중구 연안지역 보강공사_봅시다장비내역서_수신-VDS내역서_20061103" xfId="3686" xr:uid="{00000000-0005-0000-0000-0000C3090000}"/>
    <cellStyle name="_99광통신네트워크 중구 연안지역 보강공사_봅시다장비내역서_의정부" xfId="3687" xr:uid="{00000000-0005-0000-0000-0000C4090000}"/>
    <cellStyle name="_99광통신네트워크 중구 연안지역 보강공사_봅시다장비내역서_의정부_04년도서울지역굴착계획" xfId="3688" xr:uid="{00000000-0005-0000-0000-0000C5090000}"/>
    <cellStyle name="_99광통신네트워크 중구 연안지역 보강공사_봅시다장비내역서_의정부_04년도서울지역굴착계획_09_덕-H02통신공사_설계서_v4" xfId="6900" xr:uid="{00000000-0005-0000-0000-0000C6090000}"/>
    <cellStyle name="_99광통신네트워크 중구 연안지역 보강공사_봅시다장비내역서_의정부_04년도서울지역굴착계획_설계서_CCTV-V1" xfId="6901" xr:uid="{00000000-0005-0000-0000-0000C7090000}"/>
    <cellStyle name="_99광통신네트워크 중구 연안지역 보강공사_봅시다장비내역서_의정부_04년도서울지역굴착계획_수신-VDS내역서_20061103" xfId="3689" xr:uid="{00000000-0005-0000-0000-0000C8090000}"/>
    <cellStyle name="_99광통신네트워크 중구 연안지역 보강공사_봅시다장비내역서_의정부_09_덕-H02통신공사_설계서_v4" xfId="6902" xr:uid="{00000000-0005-0000-0000-0000C9090000}"/>
    <cellStyle name="_99광통신네트워크 중구 연안지역 보강공사_봅시다장비내역서_의정부_설계서_CCTV-V1" xfId="6903" xr:uid="{00000000-0005-0000-0000-0000CA090000}"/>
    <cellStyle name="_99광통신네트워크 중구 연안지역 보강공사_봅시다장비내역서_의정부_수신-VDS내역서_20061103" xfId="3690" xr:uid="{00000000-0005-0000-0000-0000CB090000}"/>
    <cellStyle name="_99광통신네트워크 중구 연안지역 보강공사_설계서_CCTV-V1" xfId="6904" xr:uid="{00000000-0005-0000-0000-0000CC090000}"/>
    <cellStyle name="_99광통신네트워크 중구 연안지역 보강공사_수신-VDS내역서_20061103" xfId="3691" xr:uid="{00000000-0005-0000-0000-0000CD090000}"/>
    <cellStyle name="_99광통신네트워크 중구 연안지역 보강공사_신호현자재내역 의정부" xfId="3692" xr:uid="{00000000-0005-0000-0000-0000CE090000}"/>
    <cellStyle name="_99광통신네트워크 중구 연안지역 보강공사_신호현자재내역 의정부_04년도서울지역굴착계획" xfId="3693" xr:uid="{00000000-0005-0000-0000-0000CF090000}"/>
    <cellStyle name="_99광통신네트워크 중구 연안지역 보강공사_신호현자재내역 의정부_04년도서울지역굴착계획_09_덕-H02통신공사_설계서_v4" xfId="6905" xr:uid="{00000000-0005-0000-0000-0000D0090000}"/>
    <cellStyle name="_99광통신네트워크 중구 연안지역 보강공사_신호현자재내역 의정부_04년도서울지역굴착계획_설계서_CCTV-V1" xfId="6906" xr:uid="{00000000-0005-0000-0000-0000D1090000}"/>
    <cellStyle name="_99광통신네트워크 중구 연안지역 보강공사_신호현자재내역 의정부_04년도서울지역굴착계획_수신-VDS내역서_20061103" xfId="3694" xr:uid="{00000000-0005-0000-0000-0000D2090000}"/>
    <cellStyle name="_99광통신네트워크 중구 연안지역 보강공사_신호현자재내역 의정부_09_덕-H02통신공사_설계서_v4" xfId="6907" xr:uid="{00000000-0005-0000-0000-0000D3090000}"/>
    <cellStyle name="_99광통신네트워크 중구 연안지역 보강공사_신호현자재내역 의정부_설계서_CCTV-V1" xfId="6908" xr:uid="{00000000-0005-0000-0000-0000D4090000}"/>
    <cellStyle name="_99광통신네트워크 중구 연안지역 보강공사_신호현자재내역 의정부_수신-VDS내역서_20061103" xfId="3695" xr:uid="{00000000-0005-0000-0000-0000D5090000}"/>
    <cellStyle name="_99광통신네트워크 중구 연안지역 보강공사_신호현자재내역 의정부_의정부" xfId="3696" xr:uid="{00000000-0005-0000-0000-0000D6090000}"/>
    <cellStyle name="_99광통신네트워크 중구 연안지역 보강공사_신호현자재내역 의정부_의정부_04년도서울지역굴착계획" xfId="3697" xr:uid="{00000000-0005-0000-0000-0000D7090000}"/>
    <cellStyle name="_99광통신네트워크 중구 연안지역 보강공사_신호현자재내역 의정부_의정부_04년도서울지역굴착계획_09_덕-H02통신공사_설계서_v4" xfId="6909" xr:uid="{00000000-0005-0000-0000-0000D8090000}"/>
    <cellStyle name="_99광통신네트워크 중구 연안지역 보강공사_신호현자재내역 의정부_의정부_04년도서울지역굴착계획_설계서_CCTV-V1" xfId="6910" xr:uid="{00000000-0005-0000-0000-0000D9090000}"/>
    <cellStyle name="_99광통신네트워크 중구 연안지역 보강공사_신호현자재내역 의정부_의정부_04년도서울지역굴착계획_수신-VDS내역서_20061103" xfId="3698" xr:uid="{00000000-0005-0000-0000-0000DA090000}"/>
    <cellStyle name="_99광통신네트워크 중구 연안지역 보강공사_신호현자재내역 의정부_의정부_09_덕-H02통신공사_설계서_v4" xfId="6911" xr:uid="{00000000-0005-0000-0000-0000DB090000}"/>
    <cellStyle name="_99광통신네트워크 중구 연안지역 보강공사_신호현자재내역 의정부_의정부_설계서_CCTV-V1" xfId="6912" xr:uid="{00000000-0005-0000-0000-0000DC090000}"/>
    <cellStyle name="_99광통신네트워크 중구 연안지역 보강공사_신호현자재내역 의정부_의정부_수신-VDS내역서_20061103" xfId="3699" xr:uid="{00000000-0005-0000-0000-0000DD090000}"/>
    <cellStyle name="_99광통신네트워크 중구 연안지역 보강공사_의정부장비내역서" xfId="3700" xr:uid="{00000000-0005-0000-0000-0000DE090000}"/>
    <cellStyle name="_99광통신네트워크 중구 연안지역 보강공사_의정부장비내역서_04년도서울지역굴착계획" xfId="3701" xr:uid="{00000000-0005-0000-0000-0000DF090000}"/>
    <cellStyle name="_99광통신네트워크 중구 연안지역 보강공사_의정부장비내역서_04년도서울지역굴착계획_09_덕-H02통신공사_설계서_v4" xfId="6913" xr:uid="{00000000-0005-0000-0000-0000E0090000}"/>
    <cellStyle name="_99광통신네트워크 중구 연안지역 보강공사_의정부장비내역서_04년도서울지역굴착계획_설계서_CCTV-V1" xfId="6914" xr:uid="{00000000-0005-0000-0000-0000E1090000}"/>
    <cellStyle name="_99광통신네트워크 중구 연안지역 보강공사_의정부장비내역서_04년도서울지역굴착계획_수신-VDS내역서_20061103" xfId="3702" xr:uid="{00000000-0005-0000-0000-0000E2090000}"/>
    <cellStyle name="_99광통신네트워크 중구 연안지역 보강공사_의정부장비내역서_09_덕-H02통신공사_설계서_v4" xfId="6915" xr:uid="{00000000-0005-0000-0000-0000E3090000}"/>
    <cellStyle name="_99광통신네트워크 중구 연안지역 보강공사_의정부장비내역서_설계서_CCTV-V1" xfId="6916" xr:uid="{00000000-0005-0000-0000-0000E4090000}"/>
    <cellStyle name="_99광통신네트워크 중구 연안지역 보강공사_의정부장비내역서_수신-VDS내역서_20061103" xfId="3703" xr:uid="{00000000-0005-0000-0000-0000E5090000}"/>
    <cellStyle name="_99광통신네트워크 중구 연안지역 보강공사_의정부장비내역서_의정부" xfId="3704" xr:uid="{00000000-0005-0000-0000-0000E6090000}"/>
    <cellStyle name="_99광통신네트워크 중구 연안지역 보강공사_의정부장비내역서_의정부_04년도서울지역굴착계획" xfId="3705" xr:uid="{00000000-0005-0000-0000-0000E7090000}"/>
    <cellStyle name="_99광통신네트워크 중구 연안지역 보강공사_의정부장비내역서_의정부_04년도서울지역굴착계획_09_덕-H02통신공사_설계서_v4" xfId="6917" xr:uid="{00000000-0005-0000-0000-0000E8090000}"/>
    <cellStyle name="_99광통신네트워크 중구 연안지역 보강공사_의정부장비내역서_의정부_04년도서울지역굴착계획_설계서_CCTV-V1" xfId="6918" xr:uid="{00000000-0005-0000-0000-0000E9090000}"/>
    <cellStyle name="_99광통신네트워크 중구 연안지역 보강공사_의정부장비내역서_의정부_04년도서울지역굴착계획_수신-VDS내역서_20061103" xfId="3706" xr:uid="{00000000-0005-0000-0000-0000EA090000}"/>
    <cellStyle name="_99광통신네트워크 중구 연안지역 보강공사_의정부장비내역서_의정부_09_덕-H02통신공사_설계서_v4" xfId="6919" xr:uid="{00000000-0005-0000-0000-0000EB090000}"/>
    <cellStyle name="_99광통신네트워크 중구 연안지역 보강공사_의정부장비내역서_의정부_설계서_CCTV-V1" xfId="6920" xr:uid="{00000000-0005-0000-0000-0000EC090000}"/>
    <cellStyle name="_99광통신네트워크 중구 연안지역 보강공사_의정부장비내역서_의정부_수신-VDS내역서_20061103" xfId="3707" xr:uid="{00000000-0005-0000-0000-0000ED090000}"/>
    <cellStyle name="_99광통신네트워크남구용현외1개소" xfId="3708" xr:uid="{00000000-0005-0000-0000-0000EE090000}"/>
    <cellStyle name="_99광통신네트워크남구용현외1개소_1" xfId="3709" xr:uid="{00000000-0005-0000-0000-0000EF090000}"/>
    <cellStyle name="_99광통신네트워크남구용현외1개소_1_04년도서울지역굴착계획" xfId="3710" xr:uid="{00000000-0005-0000-0000-0000F0090000}"/>
    <cellStyle name="_99광통신네트워크남구용현외1개소_1_04년도서울지역굴착계획_09_덕-H02통신공사_설계서_v4" xfId="6921" xr:uid="{00000000-0005-0000-0000-0000F1090000}"/>
    <cellStyle name="_99광통신네트워크남구용현외1개소_1_04년도서울지역굴착계획_설계서_CCTV-V1" xfId="6922" xr:uid="{00000000-0005-0000-0000-0000F2090000}"/>
    <cellStyle name="_99광통신네트워크남구용현외1개소_1_04년도서울지역굴착계획_수신-VDS내역서_20061103" xfId="3711" xr:uid="{00000000-0005-0000-0000-0000F3090000}"/>
    <cellStyle name="_99광통신네트워크남구용현외1개소_1_09_덕-H02통신공사_설계서_v4" xfId="6923" xr:uid="{00000000-0005-0000-0000-0000F4090000}"/>
    <cellStyle name="_99광통신네트워크남구용현외1개소_1_봅시다장비내역서" xfId="3712" xr:uid="{00000000-0005-0000-0000-0000F5090000}"/>
    <cellStyle name="_99광통신네트워크남구용현외1개소_1_봅시다장비내역서_04년도서울지역굴착계획" xfId="3713" xr:uid="{00000000-0005-0000-0000-0000F6090000}"/>
    <cellStyle name="_99광통신네트워크남구용현외1개소_1_봅시다장비내역서_04년도서울지역굴착계획_09_덕-H02통신공사_설계서_v4" xfId="6924" xr:uid="{00000000-0005-0000-0000-0000F7090000}"/>
    <cellStyle name="_99광통신네트워크남구용현외1개소_1_봅시다장비내역서_04년도서울지역굴착계획_설계서_CCTV-V1" xfId="6925" xr:uid="{00000000-0005-0000-0000-0000F8090000}"/>
    <cellStyle name="_99광통신네트워크남구용현외1개소_1_봅시다장비내역서_04년도서울지역굴착계획_수신-VDS내역서_20061103" xfId="3714" xr:uid="{00000000-0005-0000-0000-0000F9090000}"/>
    <cellStyle name="_99광통신네트워크남구용현외1개소_1_봅시다장비내역서_09_덕-H02통신공사_설계서_v4" xfId="6926" xr:uid="{00000000-0005-0000-0000-0000FA090000}"/>
    <cellStyle name="_99광통신네트워크남구용현외1개소_1_봅시다장비내역서_설계서_CCTV-V1" xfId="6927" xr:uid="{00000000-0005-0000-0000-0000FB090000}"/>
    <cellStyle name="_99광통신네트워크남구용현외1개소_1_봅시다장비내역서_수신-VDS내역서_20061103" xfId="3715" xr:uid="{00000000-0005-0000-0000-0000FC090000}"/>
    <cellStyle name="_99광통신네트워크남구용현외1개소_1_봅시다장비내역서_의정부" xfId="3716" xr:uid="{00000000-0005-0000-0000-0000FD090000}"/>
    <cellStyle name="_99광통신네트워크남구용현외1개소_1_봅시다장비내역서_의정부_04년도서울지역굴착계획" xfId="3717" xr:uid="{00000000-0005-0000-0000-0000FE090000}"/>
    <cellStyle name="_99광통신네트워크남구용현외1개소_1_봅시다장비내역서_의정부_04년도서울지역굴착계획_09_덕-H02통신공사_설계서_v4" xfId="6928" xr:uid="{00000000-0005-0000-0000-0000FF090000}"/>
    <cellStyle name="_99광통신네트워크남구용현외1개소_1_봅시다장비내역서_의정부_04년도서울지역굴착계획_설계서_CCTV-V1" xfId="6929" xr:uid="{00000000-0005-0000-0000-0000000A0000}"/>
    <cellStyle name="_99광통신네트워크남구용현외1개소_1_봅시다장비내역서_의정부_04년도서울지역굴착계획_수신-VDS내역서_20061103" xfId="3718" xr:uid="{00000000-0005-0000-0000-0000010A0000}"/>
    <cellStyle name="_99광통신네트워크남구용현외1개소_1_봅시다장비내역서_의정부_09_덕-H02통신공사_설계서_v4" xfId="6930" xr:uid="{00000000-0005-0000-0000-0000020A0000}"/>
    <cellStyle name="_99광통신네트워크남구용현외1개소_1_봅시다장비내역서_의정부_설계서_CCTV-V1" xfId="6931" xr:uid="{00000000-0005-0000-0000-0000030A0000}"/>
    <cellStyle name="_99광통신네트워크남구용현외1개소_1_봅시다장비내역서_의정부_수신-VDS내역서_20061103" xfId="3719" xr:uid="{00000000-0005-0000-0000-0000040A0000}"/>
    <cellStyle name="_99광통신네트워크남구용현외1개소_1_설계서_CCTV-V1" xfId="6932" xr:uid="{00000000-0005-0000-0000-0000050A0000}"/>
    <cellStyle name="_99광통신네트워크남구용현외1개소_1_수신-VDS내역서_20061103" xfId="3720" xr:uid="{00000000-0005-0000-0000-0000060A0000}"/>
    <cellStyle name="_99광통신네트워크남구용현외1개소_1_신호현자재내역 의정부" xfId="3721" xr:uid="{00000000-0005-0000-0000-0000070A0000}"/>
    <cellStyle name="_99광통신네트워크남구용현외1개소_1_신호현자재내역 의정부_04년도서울지역굴착계획" xfId="3722" xr:uid="{00000000-0005-0000-0000-0000080A0000}"/>
    <cellStyle name="_99광통신네트워크남구용현외1개소_1_신호현자재내역 의정부_04년도서울지역굴착계획_09_덕-H02통신공사_설계서_v4" xfId="6933" xr:uid="{00000000-0005-0000-0000-0000090A0000}"/>
    <cellStyle name="_99광통신네트워크남구용현외1개소_1_신호현자재내역 의정부_04년도서울지역굴착계획_설계서_CCTV-V1" xfId="6934" xr:uid="{00000000-0005-0000-0000-00000A0A0000}"/>
    <cellStyle name="_99광통신네트워크남구용현외1개소_1_신호현자재내역 의정부_04년도서울지역굴착계획_수신-VDS내역서_20061103" xfId="3723" xr:uid="{00000000-0005-0000-0000-00000B0A0000}"/>
    <cellStyle name="_99광통신네트워크남구용현외1개소_1_신호현자재내역 의정부_09_덕-H02통신공사_설계서_v4" xfId="6935" xr:uid="{00000000-0005-0000-0000-00000C0A0000}"/>
    <cellStyle name="_99광통신네트워크남구용현외1개소_1_신호현자재내역 의정부_설계서_CCTV-V1" xfId="6936" xr:uid="{00000000-0005-0000-0000-00000D0A0000}"/>
    <cellStyle name="_99광통신네트워크남구용현외1개소_1_신호현자재내역 의정부_수신-VDS내역서_20061103" xfId="3724" xr:uid="{00000000-0005-0000-0000-00000E0A0000}"/>
    <cellStyle name="_99광통신네트워크남구용현외1개소_1_신호현자재내역 의정부_의정부" xfId="3725" xr:uid="{00000000-0005-0000-0000-00000F0A0000}"/>
    <cellStyle name="_99광통신네트워크남구용현외1개소_1_신호현자재내역 의정부_의정부_04년도서울지역굴착계획" xfId="3726" xr:uid="{00000000-0005-0000-0000-0000100A0000}"/>
    <cellStyle name="_99광통신네트워크남구용현외1개소_1_신호현자재내역 의정부_의정부_04년도서울지역굴착계획_09_덕-H02통신공사_설계서_v4" xfId="6937" xr:uid="{00000000-0005-0000-0000-0000110A0000}"/>
    <cellStyle name="_99광통신네트워크남구용현외1개소_1_신호현자재내역 의정부_의정부_04년도서울지역굴착계획_설계서_CCTV-V1" xfId="6938" xr:uid="{00000000-0005-0000-0000-0000120A0000}"/>
    <cellStyle name="_99광통신네트워크남구용현외1개소_1_신호현자재내역 의정부_의정부_04년도서울지역굴착계획_수신-VDS내역서_20061103" xfId="3727" xr:uid="{00000000-0005-0000-0000-0000130A0000}"/>
    <cellStyle name="_99광통신네트워크남구용현외1개소_1_신호현자재내역 의정부_의정부_09_덕-H02통신공사_설계서_v4" xfId="6939" xr:uid="{00000000-0005-0000-0000-0000140A0000}"/>
    <cellStyle name="_99광통신네트워크남구용현외1개소_1_신호현자재내역 의정부_의정부_설계서_CCTV-V1" xfId="6940" xr:uid="{00000000-0005-0000-0000-0000150A0000}"/>
    <cellStyle name="_99광통신네트워크남구용현외1개소_1_신호현자재내역 의정부_의정부_수신-VDS내역서_20061103" xfId="3728" xr:uid="{00000000-0005-0000-0000-0000160A0000}"/>
    <cellStyle name="_99광통신네트워크남구용현외1개소_1_용현한양외계약및준공관련" xfId="3729" xr:uid="{00000000-0005-0000-0000-0000170A0000}"/>
    <cellStyle name="_99광통신네트워크남구용현외1개소_1_의정부장비내역서" xfId="3730" xr:uid="{00000000-0005-0000-0000-0000180A0000}"/>
    <cellStyle name="_99광통신네트워크남구용현외1개소_1_의정부장비내역서_04년도서울지역굴착계획" xfId="3731" xr:uid="{00000000-0005-0000-0000-0000190A0000}"/>
    <cellStyle name="_99광통신네트워크남구용현외1개소_1_의정부장비내역서_04년도서울지역굴착계획_09_덕-H02통신공사_설계서_v4" xfId="6941" xr:uid="{00000000-0005-0000-0000-00001A0A0000}"/>
    <cellStyle name="_99광통신네트워크남구용현외1개소_1_의정부장비내역서_04년도서울지역굴착계획_설계서_CCTV-V1" xfId="6942" xr:uid="{00000000-0005-0000-0000-00001B0A0000}"/>
    <cellStyle name="_99광통신네트워크남구용현외1개소_1_의정부장비내역서_04년도서울지역굴착계획_수신-VDS내역서_20061103" xfId="3732" xr:uid="{00000000-0005-0000-0000-00001C0A0000}"/>
    <cellStyle name="_99광통신네트워크남구용현외1개소_1_의정부장비내역서_09_덕-H02통신공사_설계서_v4" xfId="6943" xr:uid="{00000000-0005-0000-0000-00001D0A0000}"/>
    <cellStyle name="_99광통신네트워크남구용현외1개소_1_의정부장비내역서_설계서_CCTV-V1" xfId="6944" xr:uid="{00000000-0005-0000-0000-00001E0A0000}"/>
    <cellStyle name="_99광통신네트워크남구용현외1개소_1_의정부장비내역서_수신-VDS내역서_20061103" xfId="3733" xr:uid="{00000000-0005-0000-0000-00001F0A0000}"/>
    <cellStyle name="_99광통신네트워크남구용현외1개소_1_의정부장비내역서_의정부" xfId="3734" xr:uid="{00000000-0005-0000-0000-0000200A0000}"/>
    <cellStyle name="_99광통신네트워크남구용현외1개소_1_의정부장비내역서_의정부_04년도서울지역굴착계획" xfId="3735" xr:uid="{00000000-0005-0000-0000-0000210A0000}"/>
    <cellStyle name="_99광통신네트워크남구용현외1개소_1_의정부장비내역서_의정부_04년도서울지역굴착계획_09_덕-H02통신공사_설계서_v4" xfId="6945" xr:uid="{00000000-0005-0000-0000-0000220A0000}"/>
    <cellStyle name="_99광통신네트워크남구용현외1개소_1_의정부장비내역서_의정부_04년도서울지역굴착계획_설계서_CCTV-V1" xfId="6946" xr:uid="{00000000-0005-0000-0000-0000230A0000}"/>
    <cellStyle name="_99광통신네트워크남구용현외1개소_1_의정부장비내역서_의정부_04년도서울지역굴착계획_수신-VDS내역서_20061103" xfId="3736" xr:uid="{00000000-0005-0000-0000-0000240A0000}"/>
    <cellStyle name="_99광통신네트워크남구용현외1개소_1_의정부장비내역서_의정부_09_덕-H02통신공사_설계서_v4" xfId="6947" xr:uid="{00000000-0005-0000-0000-0000250A0000}"/>
    <cellStyle name="_99광통신네트워크남구용현외1개소_1_의정부장비내역서_의정부_설계서_CCTV-V1" xfId="6948" xr:uid="{00000000-0005-0000-0000-0000260A0000}"/>
    <cellStyle name="_99광통신네트워크남구용현외1개소_1_의정부장비내역서_의정부_수신-VDS내역서_20061103" xfId="3737" xr:uid="{00000000-0005-0000-0000-0000270A0000}"/>
    <cellStyle name="_99광통신네트워크남구용현외1개소_1_파워콤간이공사관련" xfId="3738" xr:uid="{00000000-0005-0000-0000-0000280A0000}"/>
    <cellStyle name="_99광통신네트워크남구용현외1개소_용현한양외계약및준공관련" xfId="3739" xr:uid="{00000000-0005-0000-0000-0000290A0000}"/>
    <cellStyle name="_99광통신네트워크남구용현외1개소_용현한양외계약및준공관련_04년도서울지역굴착계획" xfId="3740" xr:uid="{00000000-0005-0000-0000-00002A0A0000}"/>
    <cellStyle name="_99광통신네트워크남구용현외1개소_용현한양외계약및준공관련_04년도서울지역굴착계획_09_덕-H02통신공사_설계서_v4" xfId="6949" xr:uid="{00000000-0005-0000-0000-00002B0A0000}"/>
    <cellStyle name="_99광통신네트워크남구용현외1개소_용현한양외계약및준공관련_04년도서울지역굴착계획_설계서_CCTV-V1" xfId="6950" xr:uid="{00000000-0005-0000-0000-00002C0A0000}"/>
    <cellStyle name="_99광통신네트워크남구용현외1개소_용현한양외계약및준공관련_04년도서울지역굴착계획_수신-VDS내역서_20061103" xfId="3741" xr:uid="{00000000-0005-0000-0000-00002D0A0000}"/>
    <cellStyle name="_99광통신네트워크남구용현외1개소_용현한양외계약및준공관련_09_덕-H02통신공사_설계서_v4" xfId="6951" xr:uid="{00000000-0005-0000-0000-00002E0A0000}"/>
    <cellStyle name="_99광통신네트워크남구용현외1개소_용현한양외계약및준공관련_봅시다장비내역서" xfId="3742" xr:uid="{00000000-0005-0000-0000-00002F0A0000}"/>
    <cellStyle name="_99광통신네트워크남구용현외1개소_용현한양외계약및준공관련_봅시다장비내역서_04년도서울지역굴착계획" xfId="3743" xr:uid="{00000000-0005-0000-0000-0000300A0000}"/>
    <cellStyle name="_99광통신네트워크남구용현외1개소_용현한양외계약및준공관련_봅시다장비내역서_04년도서울지역굴착계획_09_덕-H02통신공사_설계서_v4" xfId="6952" xr:uid="{00000000-0005-0000-0000-0000310A0000}"/>
    <cellStyle name="_99광통신네트워크남구용현외1개소_용현한양외계약및준공관련_봅시다장비내역서_04년도서울지역굴착계획_설계서_CCTV-V1" xfId="6953" xr:uid="{00000000-0005-0000-0000-0000320A0000}"/>
    <cellStyle name="_99광통신네트워크남구용현외1개소_용현한양외계약및준공관련_봅시다장비내역서_04년도서울지역굴착계획_수신-VDS내역서_20061103" xfId="3744" xr:uid="{00000000-0005-0000-0000-0000330A0000}"/>
    <cellStyle name="_99광통신네트워크남구용현외1개소_용현한양외계약및준공관련_봅시다장비내역서_09_덕-H02통신공사_설계서_v4" xfId="6954" xr:uid="{00000000-0005-0000-0000-0000340A0000}"/>
    <cellStyle name="_99광통신네트워크남구용현외1개소_용현한양외계약및준공관련_봅시다장비내역서_설계서_CCTV-V1" xfId="6955" xr:uid="{00000000-0005-0000-0000-0000350A0000}"/>
    <cellStyle name="_99광통신네트워크남구용현외1개소_용현한양외계약및준공관련_봅시다장비내역서_수신-VDS내역서_20061103" xfId="3745" xr:uid="{00000000-0005-0000-0000-0000360A0000}"/>
    <cellStyle name="_99광통신네트워크남구용현외1개소_용현한양외계약및준공관련_봅시다장비내역서_의정부" xfId="3746" xr:uid="{00000000-0005-0000-0000-0000370A0000}"/>
    <cellStyle name="_99광통신네트워크남구용현외1개소_용현한양외계약및준공관련_봅시다장비내역서_의정부_04년도서울지역굴착계획" xfId="3747" xr:uid="{00000000-0005-0000-0000-0000380A0000}"/>
    <cellStyle name="_99광통신네트워크남구용현외1개소_용현한양외계약및준공관련_봅시다장비내역서_의정부_04년도서울지역굴착계획_09_덕-H02통신공사_설계서_v4" xfId="6956" xr:uid="{00000000-0005-0000-0000-0000390A0000}"/>
    <cellStyle name="_99광통신네트워크남구용현외1개소_용현한양외계약및준공관련_봅시다장비내역서_의정부_04년도서울지역굴착계획_설계서_CCTV-V1" xfId="6957" xr:uid="{00000000-0005-0000-0000-00003A0A0000}"/>
    <cellStyle name="_99광통신네트워크남구용현외1개소_용현한양외계약및준공관련_봅시다장비내역서_의정부_04년도서울지역굴착계획_수신-VDS내역서_20061103" xfId="3748" xr:uid="{00000000-0005-0000-0000-00003B0A0000}"/>
    <cellStyle name="_99광통신네트워크남구용현외1개소_용현한양외계약및준공관련_봅시다장비내역서_의정부_09_덕-H02통신공사_설계서_v4" xfId="6958" xr:uid="{00000000-0005-0000-0000-00003C0A0000}"/>
    <cellStyle name="_99광통신네트워크남구용현외1개소_용현한양외계약및준공관련_봅시다장비내역서_의정부_설계서_CCTV-V1" xfId="6959" xr:uid="{00000000-0005-0000-0000-00003D0A0000}"/>
    <cellStyle name="_99광통신네트워크남구용현외1개소_용현한양외계약및준공관련_봅시다장비내역서_의정부_수신-VDS내역서_20061103" xfId="3749" xr:uid="{00000000-0005-0000-0000-00003E0A0000}"/>
    <cellStyle name="_99광통신네트워크남구용현외1개소_용현한양외계약및준공관련_설계서_CCTV-V1" xfId="6960" xr:uid="{00000000-0005-0000-0000-00003F0A0000}"/>
    <cellStyle name="_99광통신네트워크남구용현외1개소_용현한양외계약및준공관련_수신-VDS내역서_20061103" xfId="3750" xr:uid="{00000000-0005-0000-0000-0000400A0000}"/>
    <cellStyle name="_99광통신네트워크남구용현외1개소_용현한양외계약및준공관련_신호현자재내역 의정부" xfId="3751" xr:uid="{00000000-0005-0000-0000-0000410A0000}"/>
    <cellStyle name="_99광통신네트워크남구용현외1개소_용현한양외계약및준공관련_신호현자재내역 의정부_04년도서울지역굴착계획" xfId="3752" xr:uid="{00000000-0005-0000-0000-0000420A0000}"/>
    <cellStyle name="_99광통신네트워크남구용현외1개소_용현한양외계약및준공관련_신호현자재내역 의정부_04년도서울지역굴착계획_09_덕-H02통신공사_설계서_v4" xfId="6961" xr:uid="{00000000-0005-0000-0000-0000430A0000}"/>
    <cellStyle name="_99광통신네트워크남구용현외1개소_용현한양외계약및준공관련_신호현자재내역 의정부_04년도서울지역굴착계획_설계서_CCTV-V1" xfId="6962" xr:uid="{00000000-0005-0000-0000-0000440A0000}"/>
    <cellStyle name="_99광통신네트워크남구용현외1개소_용현한양외계약및준공관련_신호현자재내역 의정부_04년도서울지역굴착계획_수신-VDS내역서_20061103" xfId="3753" xr:uid="{00000000-0005-0000-0000-0000450A0000}"/>
    <cellStyle name="_99광통신네트워크남구용현외1개소_용현한양외계약및준공관련_신호현자재내역 의정부_09_덕-H02통신공사_설계서_v4" xfId="6963" xr:uid="{00000000-0005-0000-0000-0000460A0000}"/>
    <cellStyle name="_99광통신네트워크남구용현외1개소_용현한양외계약및준공관련_신호현자재내역 의정부_설계서_CCTV-V1" xfId="6964" xr:uid="{00000000-0005-0000-0000-0000470A0000}"/>
    <cellStyle name="_99광통신네트워크남구용현외1개소_용현한양외계약및준공관련_신호현자재내역 의정부_수신-VDS내역서_20061103" xfId="3754" xr:uid="{00000000-0005-0000-0000-0000480A0000}"/>
    <cellStyle name="_99광통신네트워크남구용현외1개소_용현한양외계약및준공관련_신호현자재내역 의정부_의정부" xfId="3755" xr:uid="{00000000-0005-0000-0000-0000490A0000}"/>
    <cellStyle name="_99광통신네트워크남구용현외1개소_용현한양외계약및준공관련_신호현자재내역 의정부_의정부_04년도서울지역굴착계획" xfId="3756" xr:uid="{00000000-0005-0000-0000-00004A0A0000}"/>
    <cellStyle name="_99광통신네트워크남구용현외1개소_용현한양외계약및준공관련_신호현자재내역 의정부_의정부_04년도서울지역굴착계획_09_덕-H02통신공사_설계서_v4" xfId="6965" xr:uid="{00000000-0005-0000-0000-00004B0A0000}"/>
    <cellStyle name="_99광통신네트워크남구용현외1개소_용현한양외계약및준공관련_신호현자재내역 의정부_의정부_04년도서울지역굴착계획_설계서_CCTV-V1" xfId="6966" xr:uid="{00000000-0005-0000-0000-00004C0A0000}"/>
    <cellStyle name="_99광통신네트워크남구용현외1개소_용현한양외계약및준공관련_신호현자재내역 의정부_의정부_04년도서울지역굴착계획_수신-VDS내역서_20061103" xfId="3757" xr:uid="{00000000-0005-0000-0000-00004D0A0000}"/>
    <cellStyle name="_99광통신네트워크남구용현외1개소_용현한양외계약및준공관련_신호현자재내역 의정부_의정부_09_덕-H02통신공사_설계서_v4" xfId="6967" xr:uid="{00000000-0005-0000-0000-00004E0A0000}"/>
    <cellStyle name="_99광통신네트워크남구용현외1개소_용현한양외계약및준공관련_신호현자재내역 의정부_의정부_설계서_CCTV-V1" xfId="6968" xr:uid="{00000000-0005-0000-0000-00004F0A0000}"/>
    <cellStyle name="_99광통신네트워크남구용현외1개소_용현한양외계약및준공관련_신호현자재내역 의정부_의정부_수신-VDS내역서_20061103" xfId="3758" xr:uid="{00000000-0005-0000-0000-0000500A0000}"/>
    <cellStyle name="_99광통신네트워크남구용현외1개소_용현한양외계약및준공관련_의정부장비내역서" xfId="3759" xr:uid="{00000000-0005-0000-0000-0000510A0000}"/>
    <cellStyle name="_99광통신네트워크남구용현외1개소_용현한양외계약및준공관련_의정부장비내역서_04년도서울지역굴착계획" xfId="3760" xr:uid="{00000000-0005-0000-0000-0000520A0000}"/>
    <cellStyle name="_99광통신네트워크남구용현외1개소_용현한양외계약및준공관련_의정부장비내역서_04년도서울지역굴착계획_09_덕-H02통신공사_설계서_v4" xfId="6969" xr:uid="{00000000-0005-0000-0000-0000530A0000}"/>
    <cellStyle name="_99광통신네트워크남구용현외1개소_용현한양외계약및준공관련_의정부장비내역서_04년도서울지역굴착계획_설계서_CCTV-V1" xfId="6970" xr:uid="{00000000-0005-0000-0000-0000540A0000}"/>
    <cellStyle name="_99광통신네트워크남구용현외1개소_용현한양외계약및준공관련_의정부장비내역서_04년도서울지역굴착계획_수신-VDS내역서_20061103" xfId="3761" xr:uid="{00000000-0005-0000-0000-0000550A0000}"/>
    <cellStyle name="_99광통신네트워크남구용현외1개소_용현한양외계약및준공관련_의정부장비내역서_09_덕-H02통신공사_설계서_v4" xfId="6971" xr:uid="{00000000-0005-0000-0000-0000560A0000}"/>
    <cellStyle name="_99광통신네트워크남구용현외1개소_용현한양외계약및준공관련_의정부장비내역서_설계서_CCTV-V1" xfId="6972" xr:uid="{00000000-0005-0000-0000-0000570A0000}"/>
    <cellStyle name="_99광통신네트워크남구용현외1개소_용현한양외계약및준공관련_의정부장비내역서_수신-VDS내역서_20061103" xfId="3762" xr:uid="{00000000-0005-0000-0000-0000580A0000}"/>
    <cellStyle name="_99광통신네트워크남구용현외1개소_용현한양외계약및준공관련_의정부장비내역서_의정부" xfId="3763" xr:uid="{00000000-0005-0000-0000-0000590A0000}"/>
    <cellStyle name="_99광통신네트워크남구용현외1개소_용현한양외계약및준공관련_의정부장비내역서_의정부_04년도서울지역굴착계획" xfId="3764" xr:uid="{00000000-0005-0000-0000-00005A0A0000}"/>
    <cellStyle name="_99광통신네트워크남구용현외1개소_용현한양외계약및준공관련_의정부장비내역서_의정부_04년도서울지역굴착계획_09_덕-H02통신공사_설계서_v4" xfId="6973" xr:uid="{00000000-0005-0000-0000-00005B0A0000}"/>
    <cellStyle name="_99광통신네트워크남구용현외1개소_용현한양외계약및준공관련_의정부장비내역서_의정부_04년도서울지역굴착계획_설계서_CCTV-V1" xfId="6974" xr:uid="{00000000-0005-0000-0000-00005C0A0000}"/>
    <cellStyle name="_99광통신네트워크남구용현외1개소_용현한양외계약및준공관련_의정부장비내역서_의정부_04년도서울지역굴착계획_수신-VDS내역서_20061103" xfId="3765" xr:uid="{00000000-0005-0000-0000-00005D0A0000}"/>
    <cellStyle name="_99광통신네트워크남구용현외1개소_용현한양외계약및준공관련_의정부장비내역서_의정부_09_덕-H02통신공사_설계서_v4" xfId="6975" xr:uid="{00000000-0005-0000-0000-00005E0A0000}"/>
    <cellStyle name="_99광통신네트워크남구용현외1개소_용현한양외계약및준공관련_의정부장비내역서_의정부_설계서_CCTV-V1" xfId="6976" xr:uid="{00000000-0005-0000-0000-00005F0A0000}"/>
    <cellStyle name="_99광통신네트워크남구용현외1개소_용현한양외계약및준공관련_의정부장비내역서_의정부_수신-VDS내역서_20061103" xfId="3766" xr:uid="{00000000-0005-0000-0000-0000600A0000}"/>
    <cellStyle name="_99광통신네트워크남구용현외1개소_파워콤간이공사관련" xfId="3767" xr:uid="{00000000-0005-0000-0000-0000610A0000}"/>
    <cellStyle name="_99광통신네트워크남구용현외1개소_파워콤간이공사관련_04년도서울지역굴착계획" xfId="3768" xr:uid="{00000000-0005-0000-0000-0000620A0000}"/>
    <cellStyle name="_99광통신네트워크남구용현외1개소_파워콤간이공사관련_04년도서울지역굴착계획_09_덕-H02통신공사_설계서_v4" xfId="6977" xr:uid="{00000000-0005-0000-0000-0000630A0000}"/>
    <cellStyle name="_99광통신네트워크남구용현외1개소_파워콤간이공사관련_04년도서울지역굴착계획_설계서_CCTV-V1" xfId="6978" xr:uid="{00000000-0005-0000-0000-0000640A0000}"/>
    <cellStyle name="_99광통신네트워크남구용현외1개소_파워콤간이공사관련_04년도서울지역굴착계획_수신-VDS내역서_20061103" xfId="3769" xr:uid="{00000000-0005-0000-0000-0000650A0000}"/>
    <cellStyle name="_99광통신네트워크남구용현외1개소_파워콤간이공사관련_09_덕-H02통신공사_설계서_v4" xfId="6979" xr:uid="{00000000-0005-0000-0000-0000660A0000}"/>
    <cellStyle name="_99광통신네트워크남구용현외1개소_파워콤간이공사관련_봅시다장비내역서" xfId="3770" xr:uid="{00000000-0005-0000-0000-0000670A0000}"/>
    <cellStyle name="_99광통신네트워크남구용현외1개소_파워콤간이공사관련_봅시다장비내역서_04년도서울지역굴착계획" xfId="3771" xr:uid="{00000000-0005-0000-0000-0000680A0000}"/>
    <cellStyle name="_99광통신네트워크남구용현외1개소_파워콤간이공사관련_봅시다장비내역서_04년도서울지역굴착계획_09_덕-H02통신공사_설계서_v4" xfId="6980" xr:uid="{00000000-0005-0000-0000-0000690A0000}"/>
    <cellStyle name="_99광통신네트워크남구용현외1개소_파워콤간이공사관련_봅시다장비내역서_04년도서울지역굴착계획_설계서_CCTV-V1" xfId="6981" xr:uid="{00000000-0005-0000-0000-00006A0A0000}"/>
    <cellStyle name="_99광통신네트워크남구용현외1개소_파워콤간이공사관련_봅시다장비내역서_04년도서울지역굴착계획_수신-VDS내역서_20061103" xfId="3772" xr:uid="{00000000-0005-0000-0000-00006B0A0000}"/>
    <cellStyle name="_99광통신네트워크남구용현외1개소_파워콤간이공사관련_봅시다장비내역서_09_덕-H02통신공사_설계서_v4" xfId="6982" xr:uid="{00000000-0005-0000-0000-00006C0A0000}"/>
    <cellStyle name="_99광통신네트워크남구용현외1개소_파워콤간이공사관련_봅시다장비내역서_설계서_CCTV-V1" xfId="6983" xr:uid="{00000000-0005-0000-0000-00006D0A0000}"/>
    <cellStyle name="_99광통신네트워크남구용현외1개소_파워콤간이공사관련_봅시다장비내역서_수신-VDS내역서_20061103" xfId="3773" xr:uid="{00000000-0005-0000-0000-00006E0A0000}"/>
    <cellStyle name="_99광통신네트워크남구용현외1개소_파워콤간이공사관련_봅시다장비내역서_의정부" xfId="3774" xr:uid="{00000000-0005-0000-0000-00006F0A0000}"/>
    <cellStyle name="_99광통신네트워크남구용현외1개소_파워콤간이공사관련_봅시다장비내역서_의정부_04년도서울지역굴착계획" xfId="3775" xr:uid="{00000000-0005-0000-0000-0000700A0000}"/>
    <cellStyle name="_99광통신네트워크남구용현외1개소_파워콤간이공사관련_봅시다장비내역서_의정부_04년도서울지역굴착계획_09_덕-H02통신공사_설계서_v4" xfId="6984" xr:uid="{00000000-0005-0000-0000-0000710A0000}"/>
    <cellStyle name="_99광통신네트워크남구용현외1개소_파워콤간이공사관련_봅시다장비내역서_의정부_04년도서울지역굴착계획_설계서_CCTV-V1" xfId="6985" xr:uid="{00000000-0005-0000-0000-0000720A0000}"/>
    <cellStyle name="_99광통신네트워크남구용현외1개소_파워콤간이공사관련_봅시다장비내역서_의정부_04년도서울지역굴착계획_수신-VDS내역서_20061103" xfId="3776" xr:uid="{00000000-0005-0000-0000-0000730A0000}"/>
    <cellStyle name="_99광통신네트워크남구용현외1개소_파워콤간이공사관련_봅시다장비내역서_의정부_09_덕-H02통신공사_설계서_v4" xfId="6986" xr:uid="{00000000-0005-0000-0000-0000740A0000}"/>
    <cellStyle name="_99광통신네트워크남구용현외1개소_파워콤간이공사관련_봅시다장비내역서_의정부_설계서_CCTV-V1" xfId="6987" xr:uid="{00000000-0005-0000-0000-0000750A0000}"/>
    <cellStyle name="_99광통신네트워크남구용현외1개소_파워콤간이공사관련_봅시다장비내역서_의정부_수신-VDS내역서_20061103" xfId="3777" xr:uid="{00000000-0005-0000-0000-0000760A0000}"/>
    <cellStyle name="_99광통신네트워크남구용현외1개소_파워콤간이공사관련_설계서_CCTV-V1" xfId="6988" xr:uid="{00000000-0005-0000-0000-0000770A0000}"/>
    <cellStyle name="_99광통신네트워크남구용현외1개소_파워콤간이공사관련_수신-VDS내역서_20061103" xfId="3778" xr:uid="{00000000-0005-0000-0000-0000780A0000}"/>
    <cellStyle name="_99광통신네트워크남구용현외1개소_파워콤간이공사관련_신호현자재내역 의정부" xfId="3779" xr:uid="{00000000-0005-0000-0000-0000790A0000}"/>
    <cellStyle name="_99광통신네트워크남구용현외1개소_파워콤간이공사관련_신호현자재내역 의정부_04년도서울지역굴착계획" xfId="3780" xr:uid="{00000000-0005-0000-0000-00007A0A0000}"/>
    <cellStyle name="_99광통신네트워크남구용현외1개소_파워콤간이공사관련_신호현자재내역 의정부_04년도서울지역굴착계획_09_덕-H02통신공사_설계서_v4" xfId="6989" xr:uid="{00000000-0005-0000-0000-00007B0A0000}"/>
    <cellStyle name="_99광통신네트워크남구용현외1개소_파워콤간이공사관련_신호현자재내역 의정부_04년도서울지역굴착계획_설계서_CCTV-V1" xfId="6990" xr:uid="{00000000-0005-0000-0000-00007C0A0000}"/>
    <cellStyle name="_99광통신네트워크남구용현외1개소_파워콤간이공사관련_신호현자재내역 의정부_04년도서울지역굴착계획_수신-VDS내역서_20061103" xfId="3781" xr:uid="{00000000-0005-0000-0000-00007D0A0000}"/>
    <cellStyle name="_99광통신네트워크남구용현외1개소_파워콤간이공사관련_신호현자재내역 의정부_09_덕-H02통신공사_설계서_v4" xfId="6991" xr:uid="{00000000-0005-0000-0000-00007E0A0000}"/>
    <cellStyle name="_99광통신네트워크남구용현외1개소_파워콤간이공사관련_신호현자재내역 의정부_설계서_CCTV-V1" xfId="6992" xr:uid="{00000000-0005-0000-0000-00007F0A0000}"/>
    <cellStyle name="_99광통신네트워크남구용현외1개소_파워콤간이공사관련_신호현자재내역 의정부_수신-VDS내역서_20061103" xfId="3782" xr:uid="{00000000-0005-0000-0000-0000800A0000}"/>
    <cellStyle name="_99광통신네트워크남구용현외1개소_파워콤간이공사관련_신호현자재내역 의정부_의정부" xfId="3783" xr:uid="{00000000-0005-0000-0000-0000810A0000}"/>
    <cellStyle name="_99광통신네트워크남구용현외1개소_파워콤간이공사관련_신호현자재내역 의정부_의정부_04년도서울지역굴착계획" xfId="3784" xr:uid="{00000000-0005-0000-0000-0000820A0000}"/>
    <cellStyle name="_99광통신네트워크남구용현외1개소_파워콤간이공사관련_신호현자재내역 의정부_의정부_04년도서울지역굴착계획_09_덕-H02통신공사_설계서_v4" xfId="6993" xr:uid="{00000000-0005-0000-0000-0000830A0000}"/>
    <cellStyle name="_99광통신네트워크남구용현외1개소_파워콤간이공사관련_신호현자재내역 의정부_의정부_04년도서울지역굴착계획_설계서_CCTV-V1" xfId="6994" xr:uid="{00000000-0005-0000-0000-0000840A0000}"/>
    <cellStyle name="_99광통신네트워크남구용현외1개소_파워콤간이공사관련_신호현자재내역 의정부_의정부_04년도서울지역굴착계획_수신-VDS내역서_20061103" xfId="3785" xr:uid="{00000000-0005-0000-0000-0000850A0000}"/>
    <cellStyle name="_99광통신네트워크남구용현외1개소_파워콤간이공사관련_신호현자재내역 의정부_의정부_09_덕-H02통신공사_설계서_v4" xfId="6995" xr:uid="{00000000-0005-0000-0000-0000860A0000}"/>
    <cellStyle name="_99광통신네트워크남구용현외1개소_파워콤간이공사관련_신호현자재내역 의정부_의정부_설계서_CCTV-V1" xfId="6996" xr:uid="{00000000-0005-0000-0000-0000870A0000}"/>
    <cellStyle name="_99광통신네트워크남구용현외1개소_파워콤간이공사관련_신호현자재내역 의정부_의정부_수신-VDS내역서_20061103" xfId="3786" xr:uid="{00000000-0005-0000-0000-0000880A0000}"/>
    <cellStyle name="_99광통신네트워크남구용현외1개소_파워콤간이공사관련_의정부장비내역서" xfId="3787" xr:uid="{00000000-0005-0000-0000-0000890A0000}"/>
    <cellStyle name="_99광통신네트워크남구용현외1개소_파워콤간이공사관련_의정부장비내역서_04년도서울지역굴착계획" xfId="3788" xr:uid="{00000000-0005-0000-0000-00008A0A0000}"/>
    <cellStyle name="_99광통신네트워크남구용현외1개소_파워콤간이공사관련_의정부장비내역서_04년도서울지역굴착계획_09_덕-H02통신공사_설계서_v4" xfId="6997" xr:uid="{00000000-0005-0000-0000-00008B0A0000}"/>
    <cellStyle name="_99광통신네트워크남구용현외1개소_파워콤간이공사관련_의정부장비내역서_04년도서울지역굴착계획_설계서_CCTV-V1" xfId="6998" xr:uid="{00000000-0005-0000-0000-00008C0A0000}"/>
    <cellStyle name="_99광통신네트워크남구용현외1개소_파워콤간이공사관련_의정부장비내역서_04년도서울지역굴착계획_수신-VDS내역서_20061103" xfId="3789" xr:uid="{00000000-0005-0000-0000-00008D0A0000}"/>
    <cellStyle name="_99광통신네트워크남구용현외1개소_파워콤간이공사관련_의정부장비내역서_09_덕-H02통신공사_설계서_v4" xfId="6999" xr:uid="{00000000-0005-0000-0000-00008E0A0000}"/>
    <cellStyle name="_99광통신네트워크남구용현외1개소_파워콤간이공사관련_의정부장비내역서_설계서_CCTV-V1" xfId="7000" xr:uid="{00000000-0005-0000-0000-00008F0A0000}"/>
    <cellStyle name="_99광통신네트워크남구용현외1개소_파워콤간이공사관련_의정부장비내역서_수신-VDS내역서_20061103" xfId="3790" xr:uid="{00000000-0005-0000-0000-0000900A0000}"/>
    <cellStyle name="_99광통신네트워크남구용현외1개소_파워콤간이공사관련_의정부장비내역서_의정부" xfId="3791" xr:uid="{00000000-0005-0000-0000-0000910A0000}"/>
    <cellStyle name="_99광통신네트워크남구용현외1개소_파워콤간이공사관련_의정부장비내역서_의정부_04년도서울지역굴착계획" xfId="3792" xr:uid="{00000000-0005-0000-0000-0000920A0000}"/>
    <cellStyle name="_99광통신네트워크남구용현외1개소_파워콤간이공사관련_의정부장비내역서_의정부_04년도서울지역굴착계획_09_덕-H02통신공사_설계서_v4" xfId="7001" xr:uid="{00000000-0005-0000-0000-0000930A0000}"/>
    <cellStyle name="_99광통신네트워크남구용현외1개소_파워콤간이공사관련_의정부장비내역서_의정부_04년도서울지역굴착계획_설계서_CCTV-V1" xfId="7002" xr:uid="{00000000-0005-0000-0000-0000940A0000}"/>
    <cellStyle name="_99광통신네트워크남구용현외1개소_파워콤간이공사관련_의정부장비내역서_의정부_04년도서울지역굴착계획_수신-VDS내역서_20061103" xfId="3793" xr:uid="{00000000-0005-0000-0000-0000950A0000}"/>
    <cellStyle name="_99광통신네트워크남구용현외1개소_파워콤간이공사관련_의정부장비내역서_의정부_09_덕-H02통신공사_설계서_v4" xfId="7003" xr:uid="{00000000-0005-0000-0000-0000960A0000}"/>
    <cellStyle name="_99광통신네트워크남구용현외1개소_파워콤간이공사관련_의정부장비내역서_의정부_설계서_CCTV-V1" xfId="7004" xr:uid="{00000000-0005-0000-0000-0000970A0000}"/>
    <cellStyle name="_99광통신네트워크남구용현외1개소_파워콤간이공사관련_의정부장비내역서_의정부_수신-VDS내역서_20061103" xfId="3794" xr:uid="{00000000-0005-0000-0000-0000980A0000}"/>
    <cellStyle name="_99광통신시흥방산" xfId="3795" xr:uid="{00000000-0005-0000-0000-0000990A0000}"/>
    <cellStyle name="_99광통신시흥방산_1" xfId="3796" xr:uid="{00000000-0005-0000-0000-00009A0A0000}"/>
    <cellStyle name="_99광통신시흥방산_1_04년도서울지역굴착계획" xfId="3797" xr:uid="{00000000-0005-0000-0000-00009B0A0000}"/>
    <cellStyle name="_99광통신시흥방산_1_04년도서울지역굴착계획_09_덕-H02통신공사_설계서_v4" xfId="7005" xr:uid="{00000000-0005-0000-0000-00009C0A0000}"/>
    <cellStyle name="_99광통신시흥방산_1_04년도서울지역굴착계획_설계서_CCTV-V1" xfId="7006" xr:uid="{00000000-0005-0000-0000-00009D0A0000}"/>
    <cellStyle name="_99광통신시흥방산_1_04년도서울지역굴착계획_수신-VDS내역서_20061103" xfId="3798" xr:uid="{00000000-0005-0000-0000-00009E0A0000}"/>
    <cellStyle name="_99광통신시흥방산_1_09_덕-H02통신공사_설계서_v4" xfId="7007" xr:uid="{00000000-0005-0000-0000-00009F0A0000}"/>
    <cellStyle name="_99광통신시흥방산_1_봅시다장비내역서" xfId="3799" xr:uid="{00000000-0005-0000-0000-0000A00A0000}"/>
    <cellStyle name="_99광통신시흥방산_1_봅시다장비내역서_04년도서울지역굴착계획" xfId="3800" xr:uid="{00000000-0005-0000-0000-0000A10A0000}"/>
    <cellStyle name="_99광통신시흥방산_1_봅시다장비내역서_04년도서울지역굴착계획_09_덕-H02통신공사_설계서_v4" xfId="7008" xr:uid="{00000000-0005-0000-0000-0000A20A0000}"/>
    <cellStyle name="_99광통신시흥방산_1_봅시다장비내역서_04년도서울지역굴착계획_설계서_CCTV-V1" xfId="7009" xr:uid="{00000000-0005-0000-0000-0000A30A0000}"/>
    <cellStyle name="_99광통신시흥방산_1_봅시다장비내역서_04년도서울지역굴착계획_수신-VDS내역서_20061103" xfId="3801" xr:uid="{00000000-0005-0000-0000-0000A40A0000}"/>
    <cellStyle name="_99광통신시흥방산_1_봅시다장비내역서_09_덕-H02통신공사_설계서_v4" xfId="7010" xr:uid="{00000000-0005-0000-0000-0000A50A0000}"/>
    <cellStyle name="_99광통신시흥방산_1_봅시다장비내역서_설계서_CCTV-V1" xfId="7011" xr:uid="{00000000-0005-0000-0000-0000A60A0000}"/>
    <cellStyle name="_99광통신시흥방산_1_봅시다장비내역서_수신-VDS내역서_20061103" xfId="3802" xr:uid="{00000000-0005-0000-0000-0000A70A0000}"/>
    <cellStyle name="_99광통신시흥방산_1_봅시다장비내역서_의정부" xfId="3803" xr:uid="{00000000-0005-0000-0000-0000A80A0000}"/>
    <cellStyle name="_99광통신시흥방산_1_봅시다장비내역서_의정부_04년도서울지역굴착계획" xfId="3804" xr:uid="{00000000-0005-0000-0000-0000A90A0000}"/>
    <cellStyle name="_99광통신시흥방산_1_봅시다장비내역서_의정부_04년도서울지역굴착계획_09_덕-H02통신공사_설계서_v4" xfId="7012" xr:uid="{00000000-0005-0000-0000-0000AA0A0000}"/>
    <cellStyle name="_99광통신시흥방산_1_봅시다장비내역서_의정부_04년도서울지역굴착계획_설계서_CCTV-V1" xfId="7013" xr:uid="{00000000-0005-0000-0000-0000AB0A0000}"/>
    <cellStyle name="_99광통신시흥방산_1_봅시다장비내역서_의정부_04년도서울지역굴착계획_수신-VDS내역서_20061103" xfId="3805" xr:uid="{00000000-0005-0000-0000-0000AC0A0000}"/>
    <cellStyle name="_99광통신시흥방산_1_봅시다장비내역서_의정부_09_덕-H02통신공사_설계서_v4" xfId="7014" xr:uid="{00000000-0005-0000-0000-0000AD0A0000}"/>
    <cellStyle name="_99광통신시흥방산_1_봅시다장비내역서_의정부_설계서_CCTV-V1" xfId="7015" xr:uid="{00000000-0005-0000-0000-0000AE0A0000}"/>
    <cellStyle name="_99광통신시흥방산_1_봅시다장비내역서_의정부_수신-VDS내역서_20061103" xfId="3806" xr:uid="{00000000-0005-0000-0000-0000AF0A0000}"/>
    <cellStyle name="_99광통신시흥방산_1_설계서_CCTV-V1" xfId="7016" xr:uid="{00000000-0005-0000-0000-0000B00A0000}"/>
    <cellStyle name="_99광통신시흥방산_1_수신-VDS내역서_20061103" xfId="3807" xr:uid="{00000000-0005-0000-0000-0000B10A0000}"/>
    <cellStyle name="_99광통신시흥방산_1_신호현자재내역 의정부" xfId="3808" xr:uid="{00000000-0005-0000-0000-0000B20A0000}"/>
    <cellStyle name="_99광통신시흥방산_1_신호현자재내역 의정부_04년도서울지역굴착계획" xfId="3809" xr:uid="{00000000-0005-0000-0000-0000B30A0000}"/>
    <cellStyle name="_99광통신시흥방산_1_신호현자재내역 의정부_04년도서울지역굴착계획_09_덕-H02통신공사_설계서_v4" xfId="7017" xr:uid="{00000000-0005-0000-0000-0000B40A0000}"/>
    <cellStyle name="_99광통신시흥방산_1_신호현자재내역 의정부_04년도서울지역굴착계획_설계서_CCTV-V1" xfId="7018" xr:uid="{00000000-0005-0000-0000-0000B50A0000}"/>
    <cellStyle name="_99광통신시흥방산_1_신호현자재내역 의정부_04년도서울지역굴착계획_수신-VDS내역서_20061103" xfId="3810" xr:uid="{00000000-0005-0000-0000-0000B60A0000}"/>
    <cellStyle name="_99광통신시흥방산_1_신호현자재내역 의정부_09_덕-H02통신공사_설계서_v4" xfId="7019" xr:uid="{00000000-0005-0000-0000-0000B70A0000}"/>
    <cellStyle name="_99광통신시흥방산_1_신호현자재내역 의정부_설계서_CCTV-V1" xfId="7020" xr:uid="{00000000-0005-0000-0000-0000B80A0000}"/>
    <cellStyle name="_99광통신시흥방산_1_신호현자재내역 의정부_수신-VDS내역서_20061103" xfId="3811" xr:uid="{00000000-0005-0000-0000-0000B90A0000}"/>
    <cellStyle name="_99광통신시흥방산_1_신호현자재내역 의정부_의정부" xfId="3812" xr:uid="{00000000-0005-0000-0000-0000BA0A0000}"/>
    <cellStyle name="_99광통신시흥방산_1_신호현자재내역 의정부_의정부_04년도서울지역굴착계획" xfId="3813" xr:uid="{00000000-0005-0000-0000-0000BB0A0000}"/>
    <cellStyle name="_99광통신시흥방산_1_신호현자재내역 의정부_의정부_04년도서울지역굴착계획_09_덕-H02통신공사_설계서_v4" xfId="7021" xr:uid="{00000000-0005-0000-0000-0000BC0A0000}"/>
    <cellStyle name="_99광통신시흥방산_1_신호현자재내역 의정부_의정부_04년도서울지역굴착계획_설계서_CCTV-V1" xfId="7022" xr:uid="{00000000-0005-0000-0000-0000BD0A0000}"/>
    <cellStyle name="_99광통신시흥방산_1_신호현자재내역 의정부_의정부_04년도서울지역굴착계획_수신-VDS내역서_20061103" xfId="3814" xr:uid="{00000000-0005-0000-0000-0000BE0A0000}"/>
    <cellStyle name="_99광통신시흥방산_1_신호현자재내역 의정부_의정부_09_덕-H02통신공사_설계서_v4" xfId="7023" xr:uid="{00000000-0005-0000-0000-0000BF0A0000}"/>
    <cellStyle name="_99광통신시흥방산_1_신호현자재내역 의정부_의정부_설계서_CCTV-V1" xfId="7024" xr:uid="{00000000-0005-0000-0000-0000C00A0000}"/>
    <cellStyle name="_99광통신시흥방산_1_신호현자재내역 의정부_의정부_수신-VDS내역서_20061103" xfId="3815" xr:uid="{00000000-0005-0000-0000-0000C10A0000}"/>
    <cellStyle name="_99광통신시흥방산_1_의정부장비내역서" xfId="3816" xr:uid="{00000000-0005-0000-0000-0000C20A0000}"/>
    <cellStyle name="_99광통신시흥방산_1_의정부장비내역서_04년도서울지역굴착계획" xfId="3817" xr:uid="{00000000-0005-0000-0000-0000C30A0000}"/>
    <cellStyle name="_99광통신시흥방산_1_의정부장비내역서_04년도서울지역굴착계획_09_덕-H02통신공사_설계서_v4" xfId="7025" xr:uid="{00000000-0005-0000-0000-0000C40A0000}"/>
    <cellStyle name="_99광통신시흥방산_1_의정부장비내역서_04년도서울지역굴착계획_설계서_CCTV-V1" xfId="7026" xr:uid="{00000000-0005-0000-0000-0000C50A0000}"/>
    <cellStyle name="_99광통신시흥방산_1_의정부장비내역서_04년도서울지역굴착계획_수신-VDS내역서_20061103" xfId="3818" xr:uid="{00000000-0005-0000-0000-0000C60A0000}"/>
    <cellStyle name="_99광통신시흥방산_1_의정부장비내역서_09_덕-H02통신공사_설계서_v4" xfId="7027" xr:uid="{00000000-0005-0000-0000-0000C70A0000}"/>
    <cellStyle name="_99광통신시흥방산_1_의정부장비내역서_설계서_CCTV-V1" xfId="7028" xr:uid="{00000000-0005-0000-0000-0000C80A0000}"/>
    <cellStyle name="_99광통신시흥방산_1_의정부장비내역서_수신-VDS내역서_20061103" xfId="3819" xr:uid="{00000000-0005-0000-0000-0000C90A0000}"/>
    <cellStyle name="_99광통신시흥방산_1_의정부장비내역서_의정부" xfId="3820" xr:uid="{00000000-0005-0000-0000-0000CA0A0000}"/>
    <cellStyle name="_99광통신시흥방산_1_의정부장비내역서_의정부_04년도서울지역굴착계획" xfId="3821" xr:uid="{00000000-0005-0000-0000-0000CB0A0000}"/>
    <cellStyle name="_99광통신시흥방산_1_의정부장비내역서_의정부_04년도서울지역굴착계획_09_덕-H02통신공사_설계서_v4" xfId="7029" xr:uid="{00000000-0005-0000-0000-0000CC0A0000}"/>
    <cellStyle name="_99광통신시흥방산_1_의정부장비내역서_의정부_04년도서울지역굴착계획_설계서_CCTV-V1" xfId="7030" xr:uid="{00000000-0005-0000-0000-0000CD0A0000}"/>
    <cellStyle name="_99광통신시흥방산_1_의정부장비내역서_의정부_04년도서울지역굴착계획_수신-VDS내역서_20061103" xfId="3822" xr:uid="{00000000-0005-0000-0000-0000CE0A0000}"/>
    <cellStyle name="_99광통신시흥방산_1_의정부장비내역서_의정부_09_덕-H02통신공사_설계서_v4" xfId="7031" xr:uid="{00000000-0005-0000-0000-0000CF0A0000}"/>
    <cellStyle name="_99광통신시흥방산_1_의정부장비내역서_의정부_설계서_CCTV-V1" xfId="7032" xr:uid="{00000000-0005-0000-0000-0000D00A0000}"/>
    <cellStyle name="_99광통신시흥방산_1_의정부장비내역서_의정부_수신-VDS내역서_20061103" xfId="3823" xr:uid="{00000000-0005-0000-0000-0000D10A0000}"/>
    <cellStyle name="_99광통신시흥방산_2" xfId="3824" xr:uid="{00000000-0005-0000-0000-0000D20A0000}"/>
    <cellStyle name="_99신현외1개소보강" xfId="3825" xr:uid="{00000000-0005-0000-0000-0000D30A0000}"/>
    <cellStyle name="_A,C부지 예산서" xfId="1323" xr:uid="{00000000-0005-0000-0000-0000D40A0000}"/>
    <cellStyle name="_A.TK토목,공사현황(2002-2)-1" xfId="1324" xr:uid="{00000000-0005-0000-0000-0000D50A0000}"/>
    <cellStyle name="_BIS내역서 안형기 작성지원" xfId="1325" xr:uid="{00000000-0005-0000-0000-0000D60A0000}"/>
    <cellStyle name="_Book1" xfId="1326" xr:uid="{00000000-0005-0000-0000-0000D70A0000}"/>
    <cellStyle name="_B수량산출서(오창-진천)" xfId="7033" xr:uid="{00000000-0005-0000-0000-0000D80A0000}"/>
    <cellStyle name="_B수량산출서(최종분-전체분)" xfId="7034" xr:uid="{00000000-0005-0000-0000-0000D90A0000}"/>
    <cellStyle name="_CCTV내역(포스코22블럭)_070724_M" xfId="3826" xr:uid="{00000000-0005-0000-0000-0000DA0A0000}"/>
    <cellStyle name="_Cisco_spec(To_LGCNS) 견적" xfId="3827" xr:uid="{00000000-0005-0000-0000-0000DB0A0000}"/>
    <cellStyle name="_cover" xfId="1330" xr:uid="{00000000-0005-0000-0000-0000DC0A0000}"/>
    <cellStyle name="_C앤C" xfId="1327" xr:uid="{00000000-0005-0000-0000-0000DD0A0000}"/>
    <cellStyle name="_C앤C(네트웍)" xfId="1328" xr:uid="{00000000-0005-0000-0000-0000DE0A0000}"/>
    <cellStyle name="_C앤C원가계산" xfId="1329" xr:uid="{00000000-0005-0000-0000-0000DF0A0000}"/>
    <cellStyle name="_ESC산출서(5공구)020814기준(cms+품셈상의기계경비)" xfId="1331" xr:uid="{00000000-0005-0000-0000-0000E00A0000}"/>
    <cellStyle name="_FAX1" xfId="1332" xr:uid="{00000000-0005-0000-0000-0000E10A0000}"/>
    <cellStyle name="_FAX1_골재원변경 실정보고(수정분)" xfId="1333" xr:uid="{00000000-0005-0000-0000-0000E20A0000}"/>
    <cellStyle name="_FAX1_골재원변경 실정보고(수정분)_구보종합건설(관당-흑포)내역서(7.11)" xfId="1334" xr:uid="{00000000-0005-0000-0000-0000E30A0000}"/>
    <cellStyle name="_FAX1_골재원변경 실정보고(수정분)_구보종합건설(관당-흑포)내역서(7.11)_관당-흑포)최종내역서(070713)" xfId="1335" xr:uid="{00000000-0005-0000-0000-0000E40A0000}"/>
    <cellStyle name="_FAX1_골재원변경 실정보고(수정분)_신호등설치(관당-흑포)내역서-070612" xfId="1336" xr:uid="{00000000-0005-0000-0000-0000E50A0000}"/>
    <cellStyle name="_FAX1_골재원변경 실정보고(수정분)_신호등설치(관당-흑포)내역서-070612_관당-흑포)최종내역서(070713)" xfId="1337" xr:uid="{00000000-0005-0000-0000-0000E60A0000}"/>
    <cellStyle name="_FAX1_골재원변경 실정보고(수정분최종)" xfId="1338" xr:uid="{00000000-0005-0000-0000-0000E70A0000}"/>
    <cellStyle name="_FAX1_골재원변경 실정보고(수정분최종)_구보종합건설(관당-흑포)내역서(7.11)" xfId="1339" xr:uid="{00000000-0005-0000-0000-0000E80A0000}"/>
    <cellStyle name="_FAX1_골재원변경 실정보고(수정분최종)_구보종합건설(관당-흑포)내역서(7.11)_관당-흑포)최종내역서(070713)" xfId="1340" xr:uid="{00000000-0005-0000-0000-0000E90A0000}"/>
    <cellStyle name="_FAX1_골재원변경 실정보고(수정분최종)_신호등설치(관당-흑포)내역서-070612" xfId="1341" xr:uid="{00000000-0005-0000-0000-0000EA0A0000}"/>
    <cellStyle name="_FAX1_골재원변경 실정보고(수정분최종)_신호등설치(관당-흑포)내역서-070612_관당-흑포)최종내역서(070713)" xfId="1342" xr:uid="{00000000-0005-0000-0000-0000EB0A0000}"/>
    <cellStyle name="_FAX1_골재원변경 실정보고-050830" xfId="1343" xr:uid="{00000000-0005-0000-0000-0000EC0A0000}"/>
    <cellStyle name="_FAX1_골재원변경 실정보고-050830_구보종합건설(관당-흑포)내역서(7.11)" xfId="1344" xr:uid="{00000000-0005-0000-0000-0000ED0A0000}"/>
    <cellStyle name="_FAX1_골재원변경 실정보고-050830_구보종합건설(관당-흑포)내역서(7.11)_관당-흑포)최종내역서(070713)" xfId="1345" xr:uid="{00000000-0005-0000-0000-0000EE0A0000}"/>
    <cellStyle name="_FAX1_골재원변경 실정보고-050830_신호등설치(관당-흑포)내역서-070612" xfId="1346" xr:uid="{00000000-0005-0000-0000-0000EF0A0000}"/>
    <cellStyle name="_FAX1_골재원변경 실정보고-050830_신호등설치(관당-흑포)내역서-070612_관당-흑포)최종내역서(070713)" xfId="1347" xr:uid="{00000000-0005-0000-0000-0000F00A0000}"/>
    <cellStyle name="_FAX1_구보종합건설(관당-흑포)내역서(7.11)" xfId="1348" xr:uid="{00000000-0005-0000-0000-0000F10A0000}"/>
    <cellStyle name="_FAX1_구보종합건설(관당-흑포)내역서(7.11)_관당-흑포)최종내역서(070713)" xfId="1349" xr:uid="{00000000-0005-0000-0000-0000F20A0000}"/>
    <cellStyle name="_FAX1_선정안(삼산)" xfId="1350" xr:uid="{00000000-0005-0000-0000-0000F30A0000}"/>
    <cellStyle name="_FAX1_선정안(삼산)_골재원변경 실정보고(수정분)" xfId="1351" xr:uid="{00000000-0005-0000-0000-0000F40A0000}"/>
    <cellStyle name="_FAX1_선정안(삼산)_골재원변경 실정보고(수정분)_구보종합건설(관당-흑포)내역서(7.11)" xfId="1352" xr:uid="{00000000-0005-0000-0000-0000F50A0000}"/>
    <cellStyle name="_FAX1_선정안(삼산)_골재원변경 실정보고(수정분)_구보종합건설(관당-흑포)내역서(7.11)_관당-흑포)최종내역서(070713)" xfId="1353" xr:uid="{00000000-0005-0000-0000-0000F60A0000}"/>
    <cellStyle name="_FAX1_선정안(삼산)_골재원변경 실정보고(수정분)_신호등설치(관당-흑포)내역서-070612" xfId="1354" xr:uid="{00000000-0005-0000-0000-0000F70A0000}"/>
    <cellStyle name="_FAX1_선정안(삼산)_골재원변경 실정보고(수정분)_신호등설치(관당-흑포)내역서-070612_관당-흑포)최종내역서(070713)" xfId="1355" xr:uid="{00000000-0005-0000-0000-0000F80A0000}"/>
    <cellStyle name="_FAX1_선정안(삼산)_골재원변경 실정보고(수정분최종)" xfId="1356" xr:uid="{00000000-0005-0000-0000-0000F90A0000}"/>
    <cellStyle name="_FAX1_선정안(삼산)_골재원변경 실정보고(수정분최종)_구보종합건설(관당-흑포)내역서(7.11)" xfId="1357" xr:uid="{00000000-0005-0000-0000-0000FA0A0000}"/>
    <cellStyle name="_FAX1_선정안(삼산)_골재원변경 실정보고(수정분최종)_구보종합건설(관당-흑포)내역서(7.11)_관당-흑포)최종내역서(070713)" xfId="1358" xr:uid="{00000000-0005-0000-0000-0000FB0A0000}"/>
    <cellStyle name="_FAX1_선정안(삼산)_골재원변경 실정보고(수정분최종)_신호등설치(관당-흑포)내역서-070612" xfId="1359" xr:uid="{00000000-0005-0000-0000-0000FC0A0000}"/>
    <cellStyle name="_FAX1_선정안(삼산)_골재원변경 실정보고(수정분최종)_신호등설치(관당-흑포)내역서-070612_관당-흑포)최종내역서(070713)" xfId="1360" xr:uid="{00000000-0005-0000-0000-0000FD0A0000}"/>
    <cellStyle name="_FAX1_선정안(삼산)_골재원변경 실정보고-050830" xfId="1361" xr:uid="{00000000-0005-0000-0000-0000FE0A0000}"/>
    <cellStyle name="_FAX1_선정안(삼산)_골재원변경 실정보고-050830_구보종합건설(관당-흑포)내역서(7.11)" xfId="1362" xr:uid="{00000000-0005-0000-0000-0000FF0A0000}"/>
    <cellStyle name="_FAX1_선정안(삼산)_골재원변경 실정보고-050830_구보종합건설(관당-흑포)내역서(7.11)_관당-흑포)최종내역서(070713)" xfId="1363" xr:uid="{00000000-0005-0000-0000-0000000B0000}"/>
    <cellStyle name="_FAX1_선정안(삼산)_골재원변경 실정보고-050830_신호등설치(관당-흑포)내역서-070612" xfId="1364" xr:uid="{00000000-0005-0000-0000-0000010B0000}"/>
    <cellStyle name="_FAX1_선정안(삼산)_골재원변경 실정보고-050830_신호등설치(관당-흑포)내역서-070612_관당-흑포)최종내역서(070713)" xfId="1365" xr:uid="{00000000-0005-0000-0000-0000020B0000}"/>
    <cellStyle name="_FAX1_선정안(삼산)_구보종합건설(관당-흑포)내역서(7.11)" xfId="1366" xr:uid="{00000000-0005-0000-0000-0000030B0000}"/>
    <cellStyle name="_FAX1_선정안(삼산)_구보종합건설(관당-흑포)내역서(7.11)_관당-흑포)최종내역서(070713)" xfId="1367" xr:uid="{00000000-0005-0000-0000-0000040B0000}"/>
    <cellStyle name="_FAX1_선정안(삼산)_신호등설치(관당-흑포)내역서-070612" xfId="1368" xr:uid="{00000000-0005-0000-0000-0000050B0000}"/>
    <cellStyle name="_FAX1_선정안(삼산)_신호등설치(관당-흑포)내역서-070612_관당-흑포)최종내역서(070713)" xfId="1369" xr:uid="{00000000-0005-0000-0000-0000060B0000}"/>
    <cellStyle name="_FAX1_신호등설치(관당-흑포)내역서-070612" xfId="1370" xr:uid="{00000000-0005-0000-0000-0000070B0000}"/>
    <cellStyle name="_FAX1_신호등설치(관당-흑포)내역서-070612_관당-흑포)최종내역서(070713)" xfId="1371" xr:uid="{00000000-0005-0000-0000-0000080B0000}"/>
    <cellStyle name="_FAX1_추풍령" xfId="1372" xr:uid="{00000000-0005-0000-0000-0000090B0000}"/>
    <cellStyle name="_FAX1_추풍령_골재원변경 실정보고(수정분)" xfId="1373" xr:uid="{00000000-0005-0000-0000-00000A0B0000}"/>
    <cellStyle name="_FAX1_추풍령_골재원변경 실정보고(수정분)_구보종합건설(관당-흑포)내역서(7.11)" xfId="1374" xr:uid="{00000000-0005-0000-0000-00000B0B0000}"/>
    <cellStyle name="_FAX1_추풍령_골재원변경 실정보고(수정분)_구보종합건설(관당-흑포)내역서(7.11)_관당-흑포)최종내역서(070713)" xfId="1375" xr:uid="{00000000-0005-0000-0000-00000C0B0000}"/>
    <cellStyle name="_FAX1_추풍령_골재원변경 실정보고(수정분)_신호등설치(관당-흑포)내역서-070612" xfId="1376" xr:uid="{00000000-0005-0000-0000-00000D0B0000}"/>
    <cellStyle name="_FAX1_추풍령_골재원변경 실정보고(수정분)_신호등설치(관당-흑포)내역서-070612_관당-흑포)최종내역서(070713)" xfId="1377" xr:uid="{00000000-0005-0000-0000-00000E0B0000}"/>
    <cellStyle name="_FAX1_추풍령_골재원변경 실정보고(수정분최종)" xfId="1378" xr:uid="{00000000-0005-0000-0000-00000F0B0000}"/>
    <cellStyle name="_FAX1_추풍령_골재원변경 실정보고(수정분최종)_구보종합건설(관당-흑포)내역서(7.11)" xfId="1379" xr:uid="{00000000-0005-0000-0000-0000100B0000}"/>
    <cellStyle name="_FAX1_추풍령_골재원변경 실정보고(수정분최종)_구보종합건설(관당-흑포)내역서(7.11)_관당-흑포)최종내역서(070713)" xfId="1380" xr:uid="{00000000-0005-0000-0000-0000110B0000}"/>
    <cellStyle name="_FAX1_추풍령_골재원변경 실정보고(수정분최종)_신호등설치(관당-흑포)내역서-070612" xfId="1381" xr:uid="{00000000-0005-0000-0000-0000120B0000}"/>
    <cellStyle name="_FAX1_추풍령_골재원변경 실정보고(수정분최종)_신호등설치(관당-흑포)내역서-070612_관당-흑포)최종내역서(070713)" xfId="1382" xr:uid="{00000000-0005-0000-0000-0000130B0000}"/>
    <cellStyle name="_FAX1_추풍령_골재원변경 실정보고-050830" xfId="1383" xr:uid="{00000000-0005-0000-0000-0000140B0000}"/>
    <cellStyle name="_FAX1_추풍령_골재원변경 실정보고-050830_구보종합건설(관당-흑포)내역서(7.11)" xfId="1384" xr:uid="{00000000-0005-0000-0000-0000150B0000}"/>
    <cellStyle name="_FAX1_추풍령_골재원변경 실정보고-050830_구보종합건설(관당-흑포)내역서(7.11)_관당-흑포)최종내역서(070713)" xfId="1385" xr:uid="{00000000-0005-0000-0000-0000160B0000}"/>
    <cellStyle name="_FAX1_추풍령_골재원변경 실정보고-050830_신호등설치(관당-흑포)내역서-070612" xfId="1386" xr:uid="{00000000-0005-0000-0000-0000170B0000}"/>
    <cellStyle name="_FAX1_추풍령_골재원변경 실정보고-050830_신호등설치(관당-흑포)내역서-070612_관당-흑포)최종내역서(070713)" xfId="1387" xr:uid="{00000000-0005-0000-0000-0000180B0000}"/>
    <cellStyle name="_FAX1_추풍령_구보종합건설(관당-흑포)내역서(7.11)" xfId="1388" xr:uid="{00000000-0005-0000-0000-0000190B0000}"/>
    <cellStyle name="_FAX1_추풍령_구보종합건설(관당-흑포)내역서(7.11)_관당-흑포)최종내역서(070713)" xfId="1389" xr:uid="{00000000-0005-0000-0000-00001A0B0000}"/>
    <cellStyle name="_FAX1_추풍령_신호등설치(관당-흑포)내역서-070612" xfId="1390" xr:uid="{00000000-0005-0000-0000-00001B0B0000}"/>
    <cellStyle name="_FAX1_추풍령_신호등설치(관당-흑포)내역서-070612_관당-흑포)최종내역서(070713)" xfId="1391" xr:uid="{00000000-0005-0000-0000-00001C0B0000}"/>
    <cellStyle name="_FAX1_추풍령-1" xfId="1392" xr:uid="{00000000-0005-0000-0000-00001D0B0000}"/>
    <cellStyle name="_FAX1_추풍령-1_골재원변경 실정보고(수정분)" xfId="1393" xr:uid="{00000000-0005-0000-0000-00001E0B0000}"/>
    <cellStyle name="_FAX1_추풍령-1_골재원변경 실정보고(수정분)_구보종합건설(관당-흑포)내역서(7.11)" xfId="1394" xr:uid="{00000000-0005-0000-0000-00001F0B0000}"/>
    <cellStyle name="_FAX1_추풍령-1_골재원변경 실정보고(수정분)_구보종합건설(관당-흑포)내역서(7.11)_관당-흑포)최종내역서(070713)" xfId="1395" xr:uid="{00000000-0005-0000-0000-0000200B0000}"/>
    <cellStyle name="_FAX1_추풍령-1_골재원변경 실정보고(수정분)_신호등설치(관당-흑포)내역서-070612" xfId="1396" xr:uid="{00000000-0005-0000-0000-0000210B0000}"/>
    <cellStyle name="_FAX1_추풍령-1_골재원변경 실정보고(수정분)_신호등설치(관당-흑포)내역서-070612_관당-흑포)최종내역서(070713)" xfId="1397" xr:uid="{00000000-0005-0000-0000-0000220B0000}"/>
    <cellStyle name="_FAX1_추풍령-1_골재원변경 실정보고(수정분최종)" xfId="1398" xr:uid="{00000000-0005-0000-0000-0000230B0000}"/>
    <cellStyle name="_FAX1_추풍령-1_골재원변경 실정보고(수정분최종)_구보종합건설(관당-흑포)내역서(7.11)" xfId="1399" xr:uid="{00000000-0005-0000-0000-0000240B0000}"/>
    <cellStyle name="_FAX1_추풍령-1_골재원변경 실정보고(수정분최종)_구보종합건설(관당-흑포)내역서(7.11)_관당-흑포)최종내역서(070713)" xfId="1400" xr:uid="{00000000-0005-0000-0000-0000250B0000}"/>
    <cellStyle name="_FAX1_추풍령-1_골재원변경 실정보고(수정분최종)_신호등설치(관당-흑포)내역서-070612" xfId="1401" xr:uid="{00000000-0005-0000-0000-0000260B0000}"/>
    <cellStyle name="_FAX1_추풍령-1_골재원변경 실정보고(수정분최종)_신호등설치(관당-흑포)내역서-070612_관당-흑포)최종내역서(070713)" xfId="1402" xr:uid="{00000000-0005-0000-0000-0000270B0000}"/>
    <cellStyle name="_FAX1_추풍령-1_골재원변경 실정보고-050830" xfId="1403" xr:uid="{00000000-0005-0000-0000-0000280B0000}"/>
    <cellStyle name="_FAX1_추풍령-1_골재원변경 실정보고-050830_구보종합건설(관당-흑포)내역서(7.11)" xfId="1404" xr:uid="{00000000-0005-0000-0000-0000290B0000}"/>
    <cellStyle name="_FAX1_추풍령-1_골재원변경 실정보고-050830_구보종합건설(관당-흑포)내역서(7.11)_관당-흑포)최종내역서(070713)" xfId="1405" xr:uid="{00000000-0005-0000-0000-00002A0B0000}"/>
    <cellStyle name="_FAX1_추풍령-1_골재원변경 실정보고-050830_신호등설치(관당-흑포)내역서-070612" xfId="1406" xr:uid="{00000000-0005-0000-0000-00002B0B0000}"/>
    <cellStyle name="_FAX1_추풍령-1_골재원변경 실정보고-050830_신호등설치(관당-흑포)내역서-070612_관당-흑포)최종내역서(070713)" xfId="1407" xr:uid="{00000000-0005-0000-0000-00002C0B0000}"/>
    <cellStyle name="_FAX1_추풍령-1_구보종합건설(관당-흑포)내역서(7.11)" xfId="1408" xr:uid="{00000000-0005-0000-0000-00002D0B0000}"/>
    <cellStyle name="_FAX1_추풍령-1_구보종합건설(관당-흑포)내역서(7.11)_관당-흑포)최종내역서(070713)" xfId="1409" xr:uid="{00000000-0005-0000-0000-00002E0B0000}"/>
    <cellStyle name="_FAX1_추풍령-1_신호등설치(관당-흑포)내역서-070612" xfId="1410" xr:uid="{00000000-0005-0000-0000-00002F0B0000}"/>
    <cellStyle name="_FAX1_추풍령-1_신호등설치(관당-흑포)내역서-070612_관당-흑포)최종내역서(070713)" xfId="1411" xr:uid="{00000000-0005-0000-0000-0000300B0000}"/>
    <cellStyle name="_FAX2" xfId="1412" xr:uid="{00000000-0005-0000-0000-0000310B0000}"/>
    <cellStyle name="_FAX2_골재원변경 실정보고(수정분)" xfId="1413" xr:uid="{00000000-0005-0000-0000-0000320B0000}"/>
    <cellStyle name="_FAX2_골재원변경 실정보고(수정분)_구보종합건설(관당-흑포)내역서(7.11)" xfId="1414" xr:uid="{00000000-0005-0000-0000-0000330B0000}"/>
    <cellStyle name="_FAX2_골재원변경 실정보고(수정분)_구보종합건설(관당-흑포)내역서(7.11)_관당-흑포)최종내역서(070713)" xfId="1415" xr:uid="{00000000-0005-0000-0000-0000340B0000}"/>
    <cellStyle name="_FAX2_골재원변경 실정보고(수정분)_신호등설치(관당-흑포)내역서-070612" xfId="1416" xr:uid="{00000000-0005-0000-0000-0000350B0000}"/>
    <cellStyle name="_FAX2_골재원변경 실정보고(수정분)_신호등설치(관당-흑포)내역서-070612_관당-흑포)최종내역서(070713)" xfId="1417" xr:uid="{00000000-0005-0000-0000-0000360B0000}"/>
    <cellStyle name="_FAX2_골재원변경 실정보고(수정분최종)" xfId="1418" xr:uid="{00000000-0005-0000-0000-0000370B0000}"/>
    <cellStyle name="_FAX2_골재원변경 실정보고(수정분최종)_구보종합건설(관당-흑포)내역서(7.11)" xfId="1419" xr:uid="{00000000-0005-0000-0000-0000380B0000}"/>
    <cellStyle name="_FAX2_골재원변경 실정보고(수정분최종)_구보종합건설(관당-흑포)내역서(7.11)_관당-흑포)최종내역서(070713)" xfId="1420" xr:uid="{00000000-0005-0000-0000-0000390B0000}"/>
    <cellStyle name="_FAX2_골재원변경 실정보고(수정분최종)_신호등설치(관당-흑포)내역서-070612" xfId="1421" xr:uid="{00000000-0005-0000-0000-00003A0B0000}"/>
    <cellStyle name="_FAX2_골재원변경 실정보고(수정분최종)_신호등설치(관당-흑포)내역서-070612_관당-흑포)최종내역서(070713)" xfId="1422" xr:uid="{00000000-0005-0000-0000-00003B0B0000}"/>
    <cellStyle name="_FAX2_골재원변경 실정보고-050830" xfId="1423" xr:uid="{00000000-0005-0000-0000-00003C0B0000}"/>
    <cellStyle name="_FAX2_골재원변경 실정보고-050830_구보종합건설(관당-흑포)내역서(7.11)" xfId="1424" xr:uid="{00000000-0005-0000-0000-00003D0B0000}"/>
    <cellStyle name="_FAX2_골재원변경 실정보고-050830_구보종합건설(관당-흑포)내역서(7.11)_관당-흑포)최종내역서(070713)" xfId="1425" xr:uid="{00000000-0005-0000-0000-00003E0B0000}"/>
    <cellStyle name="_FAX2_골재원변경 실정보고-050830_신호등설치(관당-흑포)내역서-070612" xfId="1426" xr:uid="{00000000-0005-0000-0000-00003F0B0000}"/>
    <cellStyle name="_FAX2_골재원변경 실정보고-050830_신호등설치(관당-흑포)내역서-070612_관당-흑포)최종내역서(070713)" xfId="1427" xr:uid="{00000000-0005-0000-0000-0000400B0000}"/>
    <cellStyle name="_FAX2_구보종합건설(관당-흑포)내역서(7.11)" xfId="1428" xr:uid="{00000000-0005-0000-0000-0000410B0000}"/>
    <cellStyle name="_FAX2_구보종합건설(관당-흑포)내역서(7.11)_관당-흑포)최종내역서(070713)" xfId="1429" xr:uid="{00000000-0005-0000-0000-0000420B0000}"/>
    <cellStyle name="_FAX2_선정안(삼산)" xfId="1430" xr:uid="{00000000-0005-0000-0000-0000430B0000}"/>
    <cellStyle name="_FAX2_선정안(삼산)_골재원변경 실정보고(수정분)" xfId="1431" xr:uid="{00000000-0005-0000-0000-0000440B0000}"/>
    <cellStyle name="_FAX2_선정안(삼산)_골재원변경 실정보고(수정분)_구보종합건설(관당-흑포)내역서(7.11)" xfId="1432" xr:uid="{00000000-0005-0000-0000-0000450B0000}"/>
    <cellStyle name="_FAX2_선정안(삼산)_골재원변경 실정보고(수정분)_구보종합건설(관당-흑포)내역서(7.11)_관당-흑포)최종내역서(070713)" xfId="1433" xr:uid="{00000000-0005-0000-0000-0000460B0000}"/>
    <cellStyle name="_FAX2_선정안(삼산)_골재원변경 실정보고(수정분)_신호등설치(관당-흑포)내역서-070612" xfId="1434" xr:uid="{00000000-0005-0000-0000-0000470B0000}"/>
    <cellStyle name="_FAX2_선정안(삼산)_골재원변경 실정보고(수정분)_신호등설치(관당-흑포)내역서-070612_관당-흑포)최종내역서(070713)" xfId="1435" xr:uid="{00000000-0005-0000-0000-0000480B0000}"/>
    <cellStyle name="_FAX2_선정안(삼산)_골재원변경 실정보고(수정분최종)" xfId="1436" xr:uid="{00000000-0005-0000-0000-0000490B0000}"/>
    <cellStyle name="_FAX2_선정안(삼산)_골재원변경 실정보고(수정분최종)_구보종합건설(관당-흑포)내역서(7.11)" xfId="1437" xr:uid="{00000000-0005-0000-0000-00004A0B0000}"/>
    <cellStyle name="_FAX2_선정안(삼산)_골재원변경 실정보고(수정분최종)_구보종합건설(관당-흑포)내역서(7.11)_관당-흑포)최종내역서(070713)" xfId="1438" xr:uid="{00000000-0005-0000-0000-00004B0B0000}"/>
    <cellStyle name="_FAX2_선정안(삼산)_골재원변경 실정보고(수정분최종)_신호등설치(관당-흑포)내역서-070612" xfId="1439" xr:uid="{00000000-0005-0000-0000-00004C0B0000}"/>
    <cellStyle name="_FAX2_선정안(삼산)_골재원변경 실정보고(수정분최종)_신호등설치(관당-흑포)내역서-070612_관당-흑포)최종내역서(070713)" xfId="1440" xr:uid="{00000000-0005-0000-0000-00004D0B0000}"/>
    <cellStyle name="_FAX2_선정안(삼산)_골재원변경 실정보고-050830" xfId="1441" xr:uid="{00000000-0005-0000-0000-00004E0B0000}"/>
    <cellStyle name="_FAX2_선정안(삼산)_골재원변경 실정보고-050830_구보종합건설(관당-흑포)내역서(7.11)" xfId="1442" xr:uid="{00000000-0005-0000-0000-00004F0B0000}"/>
    <cellStyle name="_FAX2_선정안(삼산)_골재원변경 실정보고-050830_구보종합건설(관당-흑포)내역서(7.11)_관당-흑포)최종내역서(070713)" xfId="1443" xr:uid="{00000000-0005-0000-0000-0000500B0000}"/>
    <cellStyle name="_FAX2_선정안(삼산)_골재원변경 실정보고-050830_신호등설치(관당-흑포)내역서-070612" xfId="1444" xr:uid="{00000000-0005-0000-0000-0000510B0000}"/>
    <cellStyle name="_FAX2_선정안(삼산)_골재원변경 실정보고-050830_신호등설치(관당-흑포)내역서-070612_관당-흑포)최종내역서(070713)" xfId="1445" xr:uid="{00000000-0005-0000-0000-0000520B0000}"/>
    <cellStyle name="_FAX2_선정안(삼산)_구보종합건설(관당-흑포)내역서(7.11)" xfId="1446" xr:uid="{00000000-0005-0000-0000-0000530B0000}"/>
    <cellStyle name="_FAX2_선정안(삼산)_구보종합건설(관당-흑포)내역서(7.11)_관당-흑포)최종내역서(070713)" xfId="1447" xr:uid="{00000000-0005-0000-0000-0000540B0000}"/>
    <cellStyle name="_FAX2_선정안(삼산)_신호등설치(관당-흑포)내역서-070612" xfId="1448" xr:uid="{00000000-0005-0000-0000-0000550B0000}"/>
    <cellStyle name="_FAX2_선정안(삼산)_신호등설치(관당-흑포)내역서-070612_관당-흑포)최종내역서(070713)" xfId="1449" xr:uid="{00000000-0005-0000-0000-0000560B0000}"/>
    <cellStyle name="_FAX2_신호등설치(관당-흑포)내역서-070612" xfId="1450" xr:uid="{00000000-0005-0000-0000-0000570B0000}"/>
    <cellStyle name="_FAX2_신호등설치(관당-흑포)내역서-070612_관당-흑포)최종내역서(070713)" xfId="1451" xr:uid="{00000000-0005-0000-0000-0000580B0000}"/>
    <cellStyle name="_FAX2_추풍령" xfId="1452" xr:uid="{00000000-0005-0000-0000-0000590B0000}"/>
    <cellStyle name="_FAX2_추풍령_골재원변경 실정보고(수정분)" xfId="1453" xr:uid="{00000000-0005-0000-0000-00005A0B0000}"/>
    <cellStyle name="_FAX2_추풍령_골재원변경 실정보고(수정분)_구보종합건설(관당-흑포)내역서(7.11)" xfId="1454" xr:uid="{00000000-0005-0000-0000-00005B0B0000}"/>
    <cellStyle name="_FAX2_추풍령_골재원변경 실정보고(수정분)_구보종합건설(관당-흑포)내역서(7.11)_관당-흑포)최종내역서(070713)" xfId="1455" xr:uid="{00000000-0005-0000-0000-00005C0B0000}"/>
    <cellStyle name="_FAX2_추풍령_골재원변경 실정보고(수정분)_신호등설치(관당-흑포)내역서-070612" xfId="1456" xr:uid="{00000000-0005-0000-0000-00005D0B0000}"/>
    <cellStyle name="_FAX2_추풍령_골재원변경 실정보고(수정분)_신호등설치(관당-흑포)내역서-070612_관당-흑포)최종내역서(070713)" xfId="1457" xr:uid="{00000000-0005-0000-0000-00005E0B0000}"/>
    <cellStyle name="_FAX2_추풍령_골재원변경 실정보고(수정분최종)" xfId="1458" xr:uid="{00000000-0005-0000-0000-00005F0B0000}"/>
    <cellStyle name="_FAX2_추풍령_골재원변경 실정보고(수정분최종)_구보종합건설(관당-흑포)내역서(7.11)" xfId="1459" xr:uid="{00000000-0005-0000-0000-0000600B0000}"/>
    <cellStyle name="_FAX2_추풍령_골재원변경 실정보고(수정분최종)_구보종합건설(관당-흑포)내역서(7.11)_관당-흑포)최종내역서(070713)" xfId="1460" xr:uid="{00000000-0005-0000-0000-0000610B0000}"/>
    <cellStyle name="_FAX2_추풍령_골재원변경 실정보고(수정분최종)_신호등설치(관당-흑포)내역서-070612" xfId="1461" xr:uid="{00000000-0005-0000-0000-0000620B0000}"/>
    <cellStyle name="_FAX2_추풍령_골재원변경 실정보고(수정분최종)_신호등설치(관당-흑포)내역서-070612_관당-흑포)최종내역서(070713)" xfId="1462" xr:uid="{00000000-0005-0000-0000-0000630B0000}"/>
    <cellStyle name="_FAX2_추풍령_골재원변경 실정보고-050830" xfId="1463" xr:uid="{00000000-0005-0000-0000-0000640B0000}"/>
    <cellStyle name="_FAX2_추풍령_골재원변경 실정보고-050830_구보종합건설(관당-흑포)내역서(7.11)" xfId="1464" xr:uid="{00000000-0005-0000-0000-0000650B0000}"/>
    <cellStyle name="_FAX2_추풍령_골재원변경 실정보고-050830_구보종합건설(관당-흑포)내역서(7.11)_관당-흑포)최종내역서(070713)" xfId="1465" xr:uid="{00000000-0005-0000-0000-0000660B0000}"/>
    <cellStyle name="_FAX2_추풍령_골재원변경 실정보고-050830_신호등설치(관당-흑포)내역서-070612" xfId="1466" xr:uid="{00000000-0005-0000-0000-0000670B0000}"/>
    <cellStyle name="_FAX2_추풍령_골재원변경 실정보고-050830_신호등설치(관당-흑포)내역서-070612_관당-흑포)최종내역서(070713)" xfId="1467" xr:uid="{00000000-0005-0000-0000-0000680B0000}"/>
    <cellStyle name="_FAX2_추풍령_구보종합건설(관당-흑포)내역서(7.11)" xfId="1468" xr:uid="{00000000-0005-0000-0000-0000690B0000}"/>
    <cellStyle name="_FAX2_추풍령_구보종합건설(관당-흑포)내역서(7.11)_관당-흑포)최종내역서(070713)" xfId="1469" xr:uid="{00000000-0005-0000-0000-00006A0B0000}"/>
    <cellStyle name="_FAX2_추풍령_신호등설치(관당-흑포)내역서-070612" xfId="1470" xr:uid="{00000000-0005-0000-0000-00006B0B0000}"/>
    <cellStyle name="_FAX2_추풍령_신호등설치(관당-흑포)내역서-070612_관당-흑포)최종내역서(070713)" xfId="1471" xr:uid="{00000000-0005-0000-0000-00006C0B0000}"/>
    <cellStyle name="_FAX2_추풍령-1" xfId="1472" xr:uid="{00000000-0005-0000-0000-00006D0B0000}"/>
    <cellStyle name="_FAX2_추풍령-1_골재원변경 실정보고(수정분)" xfId="1473" xr:uid="{00000000-0005-0000-0000-00006E0B0000}"/>
    <cellStyle name="_FAX2_추풍령-1_골재원변경 실정보고(수정분)_구보종합건설(관당-흑포)내역서(7.11)" xfId="1474" xr:uid="{00000000-0005-0000-0000-00006F0B0000}"/>
    <cellStyle name="_FAX2_추풍령-1_골재원변경 실정보고(수정분)_구보종합건설(관당-흑포)내역서(7.11)_관당-흑포)최종내역서(070713)" xfId="1475" xr:uid="{00000000-0005-0000-0000-0000700B0000}"/>
    <cellStyle name="_FAX2_추풍령-1_골재원변경 실정보고(수정분)_신호등설치(관당-흑포)내역서-070612" xfId="1476" xr:uid="{00000000-0005-0000-0000-0000710B0000}"/>
    <cellStyle name="_FAX2_추풍령-1_골재원변경 실정보고(수정분)_신호등설치(관당-흑포)내역서-070612_관당-흑포)최종내역서(070713)" xfId="1477" xr:uid="{00000000-0005-0000-0000-0000720B0000}"/>
    <cellStyle name="_FAX2_추풍령-1_골재원변경 실정보고(수정분최종)" xfId="1478" xr:uid="{00000000-0005-0000-0000-0000730B0000}"/>
    <cellStyle name="_FAX2_추풍령-1_골재원변경 실정보고(수정분최종)_구보종합건설(관당-흑포)내역서(7.11)" xfId="1479" xr:uid="{00000000-0005-0000-0000-0000740B0000}"/>
    <cellStyle name="_FAX2_추풍령-1_골재원변경 실정보고(수정분최종)_구보종합건설(관당-흑포)내역서(7.11)_관당-흑포)최종내역서(070713)" xfId="1480" xr:uid="{00000000-0005-0000-0000-0000750B0000}"/>
    <cellStyle name="_FAX2_추풍령-1_골재원변경 실정보고(수정분최종)_신호등설치(관당-흑포)내역서-070612" xfId="1481" xr:uid="{00000000-0005-0000-0000-0000760B0000}"/>
    <cellStyle name="_FAX2_추풍령-1_골재원변경 실정보고(수정분최종)_신호등설치(관당-흑포)내역서-070612_관당-흑포)최종내역서(070713)" xfId="1482" xr:uid="{00000000-0005-0000-0000-0000770B0000}"/>
    <cellStyle name="_FAX2_추풍령-1_골재원변경 실정보고-050830" xfId="1483" xr:uid="{00000000-0005-0000-0000-0000780B0000}"/>
    <cellStyle name="_FAX2_추풍령-1_골재원변경 실정보고-050830_구보종합건설(관당-흑포)내역서(7.11)" xfId="1484" xr:uid="{00000000-0005-0000-0000-0000790B0000}"/>
    <cellStyle name="_FAX2_추풍령-1_골재원변경 실정보고-050830_구보종합건설(관당-흑포)내역서(7.11)_관당-흑포)최종내역서(070713)" xfId="1485" xr:uid="{00000000-0005-0000-0000-00007A0B0000}"/>
    <cellStyle name="_FAX2_추풍령-1_골재원변경 실정보고-050830_신호등설치(관당-흑포)내역서-070612" xfId="1486" xr:uid="{00000000-0005-0000-0000-00007B0B0000}"/>
    <cellStyle name="_FAX2_추풍령-1_골재원변경 실정보고-050830_신호등설치(관당-흑포)내역서-070612_관당-흑포)최종내역서(070713)" xfId="1487" xr:uid="{00000000-0005-0000-0000-00007C0B0000}"/>
    <cellStyle name="_FAX2_추풍령-1_구보종합건설(관당-흑포)내역서(7.11)" xfId="1488" xr:uid="{00000000-0005-0000-0000-00007D0B0000}"/>
    <cellStyle name="_FAX2_추풍령-1_구보종합건설(관당-흑포)내역서(7.11)_관당-흑포)최종내역서(070713)" xfId="1489" xr:uid="{00000000-0005-0000-0000-00007E0B0000}"/>
    <cellStyle name="_FAX2_추풍령-1_신호등설치(관당-흑포)내역서-070612" xfId="1490" xr:uid="{00000000-0005-0000-0000-00007F0B0000}"/>
    <cellStyle name="_FAX2_추풍령-1_신호등설치(관당-흑포)내역서-070612_관당-흑포)최종내역서(070713)" xfId="1491" xr:uid="{00000000-0005-0000-0000-0000800B0000}"/>
    <cellStyle name="_hmc전주공장견적조건1" xfId="3828" xr:uid="{00000000-0005-0000-0000-0000810B0000}"/>
    <cellStyle name="_I'PARK 3단지 입구 교통신호기 설치공사_기계경비만들기 " xfId="1492" xr:uid="{00000000-0005-0000-0000-0000820B0000}"/>
    <cellStyle name="_L2측구단가" xfId="1493" xr:uid="{00000000-0005-0000-0000-0000830B0000}"/>
    <cellStyle name="_L3측구단가" xfId="1494" xr:uid="{00000000-0005-0000-0000-0000840B0000}"/>
    <cellStyle name="_laroux" xfId="1495" xr:uid="{00000000-0005-0000-0000-0000850B0000}"/>
    <cellStyle name="_laroux_1" xfId="1496" xr:uid="{00000000-0005-0000-0000-0000860B0000}"/>
    <cellStyle name="_laroux_응급센~1" xfId="1497" xr:uid="{00000000-0005-0000-0000-0000870B0000}"/>
    <cellStyle name="_laroux_응급센~1_ (3차)계약내역" xfId="1498" xr:uid="{00000000-0005-0000-0000-0000880B0000}"/>
    <cellStyle name="_laroux_응급센~1_ 3차계약내역" xfId="1499" xr:uid="{00000000-0005-0000-0000-0000890B0000}"/>
    <cellStyle name="_laroux_응급센~1_(2차)계약내역" xfId="1500" xr:uid="{00000000-0005-0000-0000-00008A0B0000}"/>
    <cellStyle name="_LG전자 가산종합연구단지 시스템통합산출내역서-도면 변경에 따른 내역 변경에 의함(2005.10.31)" xfId="3829" xr:uid="{00000000-0005-0000-0000-00008B0B0000}"/>
    <cellStyle name="_LG전자 가산종합연구단지 통합SI 견적_실행" xfId="3830" xr:uid="{00000000-0005-0000-0000-00008C0B0000}"/>
    <cellStyle name="_LG전자서초빌딩내역서(06(1).08.26)(1)" xfId="3831" xr:uid="{00000000-0005-0000-0000-00008D0B0000}"/>
    <cellStyle name="_PC방호벽 활용측구" xfId="1501" xr:uid="{00000000-0005-0000-0000-00008E0B0000}"/>
    <cellStyle name="_pc방호벽운반거리" xfId="1502" xr:uid="{00000000-0005-0000-0000-00008F0B0000}"/>
    <cellStyle name="_pc방호벽운반거리 (2)" xfId="1503" xr:uid="{00000000-0005-0000-0000-0000900B0000}"/>
    <cellStyle name="_PC방호벽유용운반" xfId="1504" xr:uid="{00000000-0005-0000-0000-0000910B0000}"/>
    <cellStyle name="_PC방호벽유용운반 (2)" xfId="1505" xr:uid="{00000000-0005-0000-0000-0000920B0000}"/>
    <cellStyle name="_RE" xfId="1506" xr:uid="{00000000-0005-0000-0000-0000930B0000}"/>
    <cellStyle name="_rp5430(0725)" xfId="3832" xr:uid="{00000000-0005-0000-0000-0000940B0000}"/>
    <cellStyle name="_Sheet1" xfId="3833" xr:uid="{00000000-0005-0000-0000-0000950B0000}"/>
    <cellStyle name="_Sheet1_1" xfId="3834" xr:uid="{00000000-0005-0000-0000-0000960B0000}"/>
    <cellStyle name="_Sheet2" xfId="3835" xr:uid="{00000000-0005-0000-0000-0000970B0000}"/>
    <cellStyle name="_Sheet2_1" xfId="3836" xr:uid="{00000000-0005-0000-0000-0000980B0000}"/>
    <cellStyle name="_Sheet3" xfId="3837" xr:uid="{00000000-0005-0000-0000-0000990B0000}"/>
    <cellStyle name="_Sheet3_1" xfId="3838" xr:uid="{00000000-0005-0000-0000-00009A0B0000}"/>
    <cellStyle name="_SKT전수망시설정산" xfId="3839" xr:uid="{00000000-0005-0000-0000-00009B0B0000}"/>
    <cellStyle name="_ss" xfId="3840" xr:uid="{00000000-0005-0000-0000-00009C0B0000}"/>
    <cellStyle name="_TCS분전반 설계변경(9월14일)" xfId="3841" xr:uid="{00000000-0005-0000-0000-00009D0B0000}"/>
    <cellStyle name="_VDS 수량 및 단가산출서" xfId="7035" xr:uid="{00000000-0005-0000-0000-00009E0B0000}"/>
    <cellStyle name="_Virus" xfId="3842" xr:uid="{00000000-0005-0000-0000-00009F0B0000}"/>
    <cellStyle name="_VMS내역서" xfId="1507" xr:uid="{00000000-0005-0000-0000-0000A00B0000}"/>
    <cellStyle name="_가로등 단가비교표(04)_기계경비만들기 " xfId="314" xr:uid="{00000000-0005-0000-0000-0000A10B0000}"/>
    <cellStyle name="_가로등 일위대가2004-영모수정_기계경비만들기 " xfId="315" xr:uid="{00000000-0005-0000-0000-0000A20B0000}"/>
    <cellStyle name="_가로등 일위대가2006-후반기_기계경비만들기 " xfId="316" xr:uid="{00000000-0005-0000-0000-0000A30B0000}"/>
    <cellStyle name="_가로등3차공사전체분" xfId="317" xr:uid="{00000000-0005-0000-0000-0000A40B0000}"/>
    <cellStyle name="_가로등3차공사전체분_가로등3차공사  ((2차분))  2회변경20031018" xfId="318" xr:uid="{00000000-0005-0000-0000-0000A50B0000}"/>
    <cellStyle name="_가로등3차공사전체분_전체분설계변경(3회)" xfId="319" xr:uid="{00000000-0005-0000-0000-0000A60B0000}"/>
    <cellStyle name="_가로등3차공사전체분_전체분설계변경(3회)_03-09 가로등시설3차공사(2차분)1회설계변경작성" xfId="320" xr:uid="{00000000-0005-0000-0000-0000A70B0000}"/>
    <cellStyle name="_가로등3차공사전체분_전체분설계변경(3회)_03-09 가로등시설3차공사(2차분)1회설계변경작성_가로등3차공사  ((2차분))  2회변경20031018" xfId="321" xr:uid="{00000000-0005-0000-0000-0000A80B0000}"/>
    <cellStyle name="_가로등3차공사전체분_전체분설계변경(3회)_2003-06 가로등시설3차공사(2차분)1회변경" xfId="322" xr:uid="{00000000-0005-0000-0000-0000A90B0000}"/>
    <cellStyle name="_가로등3차공사전체분_전체분설계변경(3회)_2003-06 가로등시설3차공사(2차분)1회변경_가로등3차공사  ((2차분))  2회변경20031018" xfId="323" xr:uid="{00000000-0005-0000-0000-0000AA0B0000}"/>
    <cellStyle name="_가로등내역서 (팔각램프구간)" xfId="324" xr:uid="{00000000-0005-0000-0000-0000AB0B0000}"/>
    <cellStyle name="_가로등내역서 (팔각램프구간)-070303" xfId="325" xr:uid="{00000000-0005-0000-0000-0000AC0B0000}"/>
    <cellStyle name="_간지,목차,페이지,표지" xfId="326" xr:uid="{00000000-0005-0000-0000-0000AD0B0000}"/>
    <cellStyle name="_감가상각(01년도) (2)" xfId="327" xr:uid="{00000000-0005-0000-0000-0000AE0B0000}"/>
    <cellStyle name="_감가상각(01년도) (3)" xfId="328" xr:uid="{00000000-0005-0000-0000-0000AF0B0000}"/>
    <cellStyle name="_갑지" xfId="3843" xr:uid="{00000000-0005-0000-0000-0000B00B0000}"/>
    <cellStyle name="_갑지(1221)" xfId="329" xr:uid="{00000000-0005-0000-0000-0000B10B0000}"/>
    <cellStyle name="_갑지(총)" xfId="330" xr:uid="{00000000-0005-0000-0000-0000B20B0000}"/>
    <cellStyle name="_강과장(Fronnix,설계가1126)" xfId="331" xr:uid="{00000000-0005-0000-0000-0000B30B0000}"/>
    <cellStyle name="_강산FRP" xfId="332" xr:uid="{00000000-0005-0000-0000-0000B40B0000}"/>
    <cellStyle name="_개요" xfId="333" xr:uid="{00000000-0005-0000-0000-0000B50B0000}"/>
    <cellStyle name="_개요(봉림)-참고용" xfId="334" xr:uid="{00000000-0005-0000-0000-0000B60B0000}"/>
    <cellStyle name="_개요(봉림)-최종" xfId="335" xr:uid="{00000000-0005-0000-0000-0000B70B0000}"/>
    <cellStyle name="_개요(주안-인천)" xfId="336" xr:uid="{00000000-0005-0000-0000-0000B80B0000}"/>
    <cellStyle name="_검지기일위대가 (version 2)" xfId="337" xr:uid="{00000000-0005-0000-0000-0000B90B0000}"/>
    <cellStyle name="_견적(LAN_양동)_060302T" xfId="3844" xr:uid="{00000000-0005-0000-0000-0000BA0B0000}"/>
    <cellStyle name="_견적(LAN-Cisco외_LGE서초R&amp;D)_060913T" xfId="3845" xr:uid="{00000000-0005-0000-0000-0000BB0B0000}"/>
    <cellStyle name="_견적_대전시ITS_제2차(9월13일)" xfId="338" xr:uid="{00000000-0005-0000-0000-0000BC0B0000}"/>
    <cellStyle name="_견적_요청서" xfId="3846" xr:uid="{00000000-0005-0000-0000-0000BD0B0000}"/>
    <cellStyle name="_견적결과" xfId="339" xr:uid="{00000000-0005-0000-0000-0000BE0B0000}"/>
    <cellStyle name="_견적결과_골재원변경 실정보고(수정분)" xfId="340" xr:uid="{00000000-0005-0000-0000-0000BF0B0000}"/>
    <cellStyle name="_견적결과_골재원변경 실정보고(수정분)_구보종합건설(관당-흑포)내역서(7.11)" xfId="341" xr:uid="{00000000-0005-0000-0000-0000C00B0000}"/>
    <cellStyle name="_견적결과_골재원변경 실정보고(수정분)_구보종합건설(관당-흑포)내역서(7.11)_관당-흑포)최종내역서(070713)" xfId="342" xr:uid="{00000000-0005-0000-0000-0000C10B0000}"/>
    <cellStyle name="_견적결과_골재원변경 실정보고(수정분)_신호등설치(관당-흑포)내역서-070612" xfId="343" xr:uid="{00000000-0005-0000-0000-0000C20B0000}"/>
    <cellStyle name="_견적결과_골재원변경 실정보고(수정분)_신호등설치(관당-흑포)내역서-070612_관당-흑포)최종내역서(070713)" xfId="344" xr:uid="{00000000-0005-0000-0000-0000C30B0000}"/>
    <cellStyle name="_견적결과_골재원변경 실정보고(수정분최종)" xfId="345" xr:uid="{00000000-0005-0000-0000-0000C40B0000}"/>
    <cellStyle name="_견적결과_골재원변경 실정보고(수정분최종)_구보종합건설(관당-흑포)내역서(7.11)" xfId="346" xr:uid="{00000000-0005-0000-0000-0000C50B0000}"/>
    <cellStyle name="_견적결과_골재원변경 실정보고(수정분최종)_구보종합건설(관당-흑포)내역서(7.11)_관당-흑포)최종내역서(070713)" xfId="347" xr:uid="{00000000-0005-0000-0000-0000C60B0000}"/>
    <cellStyle name="_견적결과_골재원변경 실정보고(수정분최종)_신호등설치(관당-흑포)내역서-070612" xfId="348" xr:uid="{00000000-0005-0000-0000-0000C70B0000}"/>
    <cellStyle name="_견적결과_골재원변경 실정보고(수정분최종)_신호등설치(관당-흑포)내역서-070612_관당-흑포)최종내역서(070713)" xfId="349" xr:uid="{00000000-0005-0000-0000-0000C80B0000}"/>
    <cellStyle name="_견적결과_골재원변경 실정보고-050830" xfId="350" xr:uid="{00000000-0005-0000-0000-0000C90B0000}"/>
    <cellStyle name="_견적결과_골재원변경 실정보고-050830_구보종합건설(관당-흑포)내역서(7.11)" xfId="351" xr:uid="{00000000-0005-0000-0000-0000CA0B0000}"/>
    <cellStyle name="_견적결과_골재원변경 실정보고-050830_구보종합건설(관당-흑포)내역서(7.11)_관당-흑포)최종내역서(070713)" xfId="352" xr:uid="{00000000-0005-0000-0000-0000CB0B0000}"/>
    <cellStyle name="_견적결과_골재원변경 실정보고-050830_신호등설치(관당-흑포)내역서-070612" xfId="353" xr:uid="{00000000-0005-0000-0000-0000CC0B0000}"/>
    <cellStyle name="_견적결과_골재원변경 실정보고-050830_신호등설치(관당-흑포)내역서-070612_관당-흑포)최종내역서(070713)" xfId="354" xr:uid="{00000000-0005-0000-0000-0000CD0B0000}"/>
    <cellStyle name="_견적결과_구보종합건설(관당-흑포)내역서(7.11)" xfId="355" xr:uid="{00000000-0005-0000-0000-0000CE0B0000}"/>
    <cellStyle name="_견적결과_구보종합건설(관당-흑포)내역서(7.11)_관당-흑포)최종내역서(070713)" xfId="356" xr:uid="{00000000-0005-0000-0000-0000CF0B0000}"/>
    <cellStyle name="_견적결과_선정안(삼산)" xfId="357" xr:uid="{00000000-0005-0000-0000-0000D00B0000}"/>
    <cellStyle name="_견적결과_선정안(삼산)_골재원변경 실정보고(수정분)" xfId="358" xr:uid="{00000000-0005-0000-0000-0000D10B0000}"/>
    <cellStyle name="_견적결과_선정안(삼산)_골재원변경 실정보고(수정분)_구보종합건설(관당-흑포)내역서(7.11)" xfId="359" xr:uid="{00000000-0005-0000-0000-0000D20B0000}"/>
    <cellStyle name="_견적결과_선정안(삼산)_골재원변경 실정보고(수정분)_구보종합건설(관당-흑포)내역서(7.11)_관당-흑포)최종내역서(070713)" xfId="360" xr:uid="{00000000-0005-0000-0000-0000D30B0000}"/>
    <cellStyle name="_견적결과_선정안(삼산)_골재원변경 실정보고(수정분)_신호등설치(관당-흑포)내역서-070612" xfId="361" xr:uid="{00000000-0005-0000-0000-0000D40B0000}"/>
    <cellStyle name="_견적결과_선정안(삼산)_골재원변경 실정보고(수정분)_신호등설치(관당-흑포)내역서-070612_관당-흑포)최종내역서(070713)" xfId="362" xr:uid="{00000000-0005-0000-0000-0000D50B0000}"/>
    <cellStyle name="_견적결과_선정안(삼산)_골재원변경 실정보고(수정분최종)" xfId="363" xr:uid="{00000000-0005-0000-0000-0000D60B0000}"/>
    <cellStyle name="_견적결과_선정안(삼산)_골재원변경 실정보고(수정분최종)_구보종합건설(관당-흑포)내역서(7.11)" xfId="364" xr:uid="{00000000-0005-0000-0000-0000D70B0000}"/>
    <cellStyle name="_견적결과_선정안(삼산)_골재원변경 실정보고(수정분최종)_구보종합건설(관당-흑포)내역서(7.11)_관당-흑포)최종내역서(070713)" xfId="365" xr:uid="{00000000-0005-0000-0000-0000D80B0000}"/>
    <cellStyle name="_견적결과_선정안(삼산)_골재원변경 실정보고(수정분최종)_신호등설치(관당-흑포)내역서-070612" xfId="366" xr:uid="{00000000-0005-0000-0000-0000D90B0000}"/>
    <cellStyle name="_견적결과_선정안(삼산)_골재원변경 실정보고(수정분최종)_신호등설치(관당-흑포)내역서-070612_관당-흑포)최종내역서(070713)" xfId="367" xr:uid="{00000000-0005-0000-0000-0000DA0B0000}"/>
    <cellStyle name="_견적결과_선정안(삼산)_골재원변경 실정보고-050830" xfId="368" xr:uid="{00000000-0005-0000-0000-0000DB0B0000}"/>
    <cellStyle name="_견적결과_선정안(삼산)_골재원변경 실정보고-050830_구보종합건설(관당-흑포)내역서(7.11)" xfId="369" xr:uid="{00000000-0005-0000-0000-0000DC0B0000}"/>
    <cellStyle name="_견적결과_선정안(삼산)_골재원변경 실정보고-050830_구보종합건설(관당-흑포)내역서(7.11)_관당-흑포)최종내역서(070713)" xfId="370" xr:uid="{00000000-0005-0000-0000-0000DD0B0000}"/>
    <cellStyle name="_견적결과_선정안(삼산)_골재원변경 실정보고-050830_신호등설치(관당-흑포)내역서-070612" xfId="371" xr:uid="{00000000-0005-0000-0000-0000DE0B0000}"/>
    <cellStyle name="_견적결과_선정안(삼산)_골재원변경 실정보고-050830_신호등설치(관당-흑포)내역서-070612_관당-흑포)최종내역서(070713)" xfId="372" xr:uid="{00000000-0005-0000-0000-0000DF0B0000}"/>
    <cellStyle name="_견적결과_선정안(삼산)_구보종합건설(관당-흑포)내역서(7.11)" xfId="373" xr:uid="{00000000-0005-0000-0000-0000E00B0000}"/>
    <cellStyle name="_견적결과_선정안(삼산)_구보종합건설(관당-흑포)내역서(7.11)_관당-흑포)최종내역서(070713)" xfId="374" xr:uid="{00000000-0005-0000-0000-0000E10B0000}"/>
    <cellStyle name="_견적결과_선정안(삼산)_신호등설치(관당-흑포)내역서-070612" xfId="375" xr:uid="{00000000-0005-0000-0000-0000E20B0000}"/>
    <cellStyle name="_견적결과_선정안(삼산)_신호등설치(관당-흑포)내역서-070612_관당-흑포)최종내역서(070713)" xfId="376" xr:uid="{00000000-0005-0000-0000-0000E30B0000}"/>
    <cellStyle name="_견적결과_신호등설치(관당-흑포)내역서-070612" xfId="377" xr:uid="{00000000-0005-0000-0000-0000E40B0000}"/>
    <cellStyle name="_견적결과_신호등설치(관당-흑포)내역서-070612_관당-흑포)최종내역서(070713)" xfId="378" xr:uid="{00000000-0005-0000-0000-0000E50B0000}"/>
    <cellStyle name="_견적결과_추풍령" xfId="379" xr:uid="{00000000-0005-0000-0000-0000E60B0000}"/>
    <cellStyle name="_견적결과_추풍령_골재원변경 실정보고(수정분)" xfId="380" xr:uid="{00000000-0005-0000-0000-0000E70B0000}"/>
    <cellStyle name="_견적결과_추풍령_골재원변경 실정보고(수정분)_구보종합건설(관당-흑포)내역서(7.11)" xfId="381" xr:uid="{00000000-0005-0000-0000-0000E80B0000}"/>
    <cellStyle name="_견적결과_추풍령_골재원변경 실정보고(수정분)_구보종합건설(관당-흑포)내역서(7.11)_관당-흑포)최종내역서(070713)" xfId="382" xr:uid="{00000000-0005-0000-0000-0000E90B0000}"/>
    <cellStyle name="_견적결과_추풍령_골재원변경 실정보고(수정분)_신호등설치(관당-흑포)내역서-070612" xfId="383" xr:uid="{00000000-0005-0000-0000-0000EA0B0000}"/>
    <cellStyle name="_견적결과_추풍령_골재원변경 실정보고(수정분)_신호등설치(관당-흑포)내역서-070612_관당-흑포)최종내역서(070713)" xfId="384" xr:uid="{00000000-0005-0000-0000-0000EB0B0000}"/>
    <cellStyle name="_견적결과_추풍령_골재원변경 실정보고(수정분최종)" xfId="385" xr:uid="{00000000-0005-0000-0000-0000EC0B0000}"/>
    <cellStyle name="_견적결과_추풍령_골재원변경 실정보고(수정분최종)_구보종합건설(관당-흑포)내역서(7.11)" xfId="386" xr:uid="{00000000-0005-0000-0000-0000ED0B0000}"/>
    <cellStyle name="_견적결과_추풍령_골재원변경 실정보고(수정분최종)_구보종합건설(관당-흑포)내역서(7.11)_관당-흑포)최종내역서(070713)" xfId="387" xr:uid="{00000000-0005-0000-0000-0000EE0B0000}"/>
    <cellStyle name="_견적결과_추풍령_골재원변경 실정보고(수정분최종)_신호등설치(관당-흑포)내역서-070612" xfId="388" xr:uid="{00000000-0005-0000-0000-0000EF0B0000}"/>
    <cellStyle name="_견적결과_추풍령_골재원변경 실정보고(수정분최종)_신호등설치(관당-흑포)내역서-070612_관당-흑포)최종내역서(070713)" xfId="389" xr:uid="{00000000-0005-0000-0000-0000F00B0000}"/>
    <cellStyle name="_견적결과_추풍령_골재원변경 실정보고-050830" xfId="390" xr:uid="{00000000-0005-0000-0000-0000F10B0000}"/>
    <cellStyle name="_견적결과_추풍령_골재원변경 실정보고-050830_구보종합건설(관당-흑포)내역서(7.11)" xfId="391" xr:uid="{00000000-0005-0000-0000-0000F20B0000}"/>
    <cellStyle name="_견적결과_추풍령_골재원변경 실정보고-050830_구보종합건설(관당-흑포)내역서(7.11)_관당-흑포)최종내역서(070713)" xfId="392" xr:uid="{00000000-0005-0000-0000-0000F30B0000}"/>
    <cellStyle name="_견적결과_추풍령_골재원변경 실정보고-050830_신호등설치(관당-흑포)내역서-070612" xfId="393" xr:uid="{00000000-0005-0000-0000-0000F40B0000}"/>
    <cellStyle name="_견적결과_추풍령_골재원변경 실정보고-050830_신호등설치(관당-흑포)내역서-070612_관당-흑포)최종내역서(070713)" xfId="394" xr:uid="{00000000-0005-0000-0000-0000F50B0000}"/>
    <cellStyle name="_견적결과_추풍령_구보종합건설(관당-흑포)내역서(7.11)" xfId="395" xr:uid="{00000000-0005-0000-0000-0000F60B0000}"/>
    <cellStyle name="_견적결과_추풍령_구보종합건설(관당-흑포)내역서(7.11)_관당-흑포)최종내역서(070713)" xfId="396" xr:uid="{00000000-0005-0000-0000-0000F70B0000}"/>
    <cellStyle name="_견적결과_추풍령_신호등설치(관당-흑포)내역서-070612" xfId="397" xr:uid="{00000000-0005-0000-0000-0000F80B0000}"/>
    <cellStyle name="_견적결과_추풍령_신호등설치(관당-흑포)내역서-070612_관당-흑포)최종내역서(070713)" xfId="398" xr:uid="{00000000-0005-0000-0000-0000F90B0000}"/>
    <cellStyle name="_견적결과_추풍령-1" xfId="399" xr:uid="{00000000-0005-0000-0000-0000FA0B0000}"/>
    <cellStyle name="_견적결과_추풍령-1_골재원변경 실정보고(수정분)" xfId="400" xr:uid="{00000000-0005-0000-0000-0000FB0B0000}"/>
    <cellStyle name="_견적결과_추풍령-1_골재원변경 실정보고(수정분)_구보종합건설(관당-흑포)내역서(7.11)" xfId="401" xr:uid="{00000000-0005-0000-0000-0000FC0B0000}"/>
    <cellStyle name="_견적결과_추풍령-1_골재원변경 실정보고(수정분)_구보종합건설(관당-흑포)내역서(7.11)_관당-흑포)최종내역서(070713)" xfId="402" xr:uid="{00000000-0005-0000-0000-0000FD0B0000}"/>
    <cellStyle name="_견적결과_추풍령-1_골재원변경 실정보고(수정분)_신호등설치(관당-흑포)내역서-070612" xfId="403" xr:uid="{00000000-0005-0000-0000-0000FE0B0000}"/>
    <cellStyle name="_견적결과_추풍령-1_골재원변경 실정보고(수정분)_신호등설치(관당-흑포)내역서-070612_관당-흑포)최종내역서(070713)" xfId="404" xr:uid="{00000000-0005-0000-0000-0000FF0B0000}"/>
    <cellStyle name="_견적결과_추풍령-1_골재원변경 실정보고(수정분최종)" xfId="405" xr:uid="{00000000-0005-0000-0000-0000000C0000}"/>
    <cellStyle name="_견적결과_추풍령-1_골재원변경 실정보고(수정분최종)_구보종합건설(관당-흑포)내역서(7.11)" xfId="406" xr:uid="{00000000-0005-0000-0000-0000010C0000}"/>
    <cellStyle name="_견적결과_추풍령-1_골재원변경 실정보고(수정분최종)_구보종합건설(관당-흑포)내역서(7.11)_관당-흑포)최종내역서(070713)" xfId="407" xr:uid="{00000000-0005-0000-0000-0000020C0000}"/>
    <cellStyle name="_견적결과_추풍령-1_골재원변경 실정보고(수정분최종)_신호등설치(관당-흑포)내역서-070612" xfId="408" xr:uid="{00000000-0005-0000-0000-0000030C0000}"/>
    <cellStyle name="_견적결과_추풍령-1_골재원변경 실정보고(수정분최종)_신호등설치(관당-흑포)내역서-070612_관당-흑포)최종내역서(070713)" xfId="409" xr:uid="{00000000-0005-0000-0000-0000040C0000}"/>
    <cellStyle name="_견적결과_추풍령-1_골재원변경 실정보고-050830" xfId="410" xr:uid="{00000000-0005-0000-0000-0000050C0000}"/>
    <cellStyle name="_견적결과_추풍령-1_골재원변경 실정보고-050830_구보종합건설(관당-흑포)내역서(7.11)" xfId="411" xr:uid="{00000000-0005-0000-0000-0000060C0000}"/>
    <cellStyle name="_견적결과_추풍령-1_골재원변경 실정보고-050830_구보종합건설(관당-흑포)내역서(7.11)_관당-흑포)최종내역서(070713)" xfId="412" xr:uid="{00000000-0005-0000-0000-0000070C0000}"/>
    <cellStyle name="_견적결과_추풍령-1_골재원변경 실정보고-050830_신호등설치(관당-흑포)내역서-070612" xfId="413" xr:uid="{00000000-0005-0000-0000-0000080C0000}"/>
    <cellStyle name="_견적결과_추풍령-1_골재원변경 실정보고-050830_신호등설치(관당-흑포)내역서-070612_관당-흑포)최종내역서(070713)" xfId="414" xr:uid="{00000000-0005-0000-0000-0000090C0000}"/>
    <cellStyle name="_견적결과_추풍령-1_구보종합건설(관당-흑포)내역서(7.11)" xfId="415" xr:uid="{00000000-0005-0000-0000-00000A0C0000}"/>
    <cellStyle name="_견적결과_추풍령-1_구보종합건설(관당-흑포)내역서(7.11)_관당-흑포)최종내역서(070713)" xfId="416" xr:uid="{00000000-0005-0000-0000-00000B0C0000}"/>
    <cellStyle name="_견적결과_추풍령-1_신호등설치(관당-흑포)내역서-070612" xfId="417" xr:uid="{00000000-0005-0000-0000-00000C0C0000}"/>
    <cellStyle name="_견적결과_추풍령-1_신호등설치(관당-흑포)내역서-070612_관당-흑포)최종내역서(070713)" xfId="418" xr:uid="{00000000-0005-0000-0000-00000D0C0000}"/>
    <cellStyle name="_견적서 Cable(울산대병원_한국네트워크)" xfId="3847" xr:uid="{00000000-0005-0000-0000-00000E0C0000}"/>
    <cellStyle name="_견적서 Cable(울산대병원_한국네트워크)2" xfId="3848" xr:uid="{00000000-0005-0000-0000-00000F0C0000}"/>
    <cellStyle name="_견적서 갑지" xfId="3849" xr:uid="{00000000-0005-0000-0000-0000100C0000}"/>
    <cellStyle name="_견적서 양식" xfId="3850" xr:uid="{00000000-0005-0000-0000-0000110C0000}"/>
    <cellStyle name="_견적서 케이블공사(서울대병원_포어링크)" xfId="3851" xr:uid="{00000000-0005-0000-0000-0000120C0000}"/>
    <cellStyle name="_견적서 케이블공사(서울대병원2_포어링크_517Node)" xfId="3852" xr:uid="{00000000-0005-0000-0000-0000130C0000}"/>
    <cellStyle name="_견적서(1014)" xfId="419" xr:uid="{00000000-0005-0000-0000-0000140C0000}"/>
    <cellStyle name="_견적서(둔산)" xfId="7036" xr:uid="{00000000-0005-0000-0000-0000150C0000}"/>
    <cellStyle name="_견적서(총괄)" xfId="7037" xr:uid="{00000000-0005-0000-0000-0000160C0000}"/>
    <cellStyle name="_견적서-0213-CACC" xfId="420" xr:uid="{00000000-0005-0000-0000-0000170C0000}"/>
    <cellStyle name="_견적서-제출용0325-서울시" xfId="421" xr:uid="{00000000-0005-0000-0000-0000180C0000}"/>
    <cellStyle name="_견적의뢰서(추가분)" xfId="7038" xr:uid="{00000000-0005-0000-0000-0000190C0000}"/>
    <cellStyle name="_견적조건" xfId="422" xr:uid="{00000000-0005-0000-0000-00001A0C0000}"/>
    <cellStyle name="_견적조건_골재원변경 실정보고(수정분)" xfId="423" xr:uid="{00000000-0005-0000-0000-00001B0C0000}"/>
    <cellStyle name="_견적조건_골재원변경 실정보고(수정분)_구보종합건설(관당-흑포)내역서(7.11)" xfId="424" xr:uid="{00000000-0005-0000-0000-00001C0C0000}"/>
    <cellStyle name="_견적조건_골재원변경 실정보고(수정분)_구보종합건설(관당-흑포)내역서(7.11)_관당-흑포)최종내역서(070713)" xfId="425" xr:uid="{00000000-0005-0000-0000-00001D0C0000}"/>
    <cellStyle name="_견적조건_골재원변경 실정보고(수정분)_신호등설치(관당-흑포)내역서-070612" xfId="426" xr:uid="{00000000-0005-0000-0000-00001E0C0000}"/>
    <cellStyle name="_견적조건_골재원변경 실정보고(수정분)_신호등설치(관당-흑포)내역서-070612_관당-흑포)최종내역서(070713)" xfId="427" xr:uid="{00000000-0005-0000-0000-00001F0C0000}"/>
    <cellStyle name="_견적조건_골재원변경 실정보고(수정분최종)" xfId="428" xr:uid="{00000000-0005-0000-0000-0000200C0000}"/>
    <cellStyle name="_견적조건_골재원변경 실정보고(수정분최종)_구보종합건설(관당-흑포)내역서(7.11)" xfId="429" xr:uid="{00000000-0005-0000-0000-0000210C0000}"/>
    <cellStyle name="_견적조건_골재원변경 실정보고(수정분최종)_구보종합건설(관당-흑포)내역서(7.11)_관당-흑포)최종내역서(070713)" xfId="430" xr:uid="{00000000-0005-0000-0000-0000220C0000}"/>
    <cellStyle name="_견적조건_골재원변경 실정보고(수정분최종)_신호등설치(관당-흑포)내역서-070612" xfId="431" xr:uid="{00000000-0005-0000-0000-0000230C0000}"/>
    <cellStyle name="_견적조건_골재원변경 실정보고(수정분최종)_신호등설치(관당-흑포)내역서-070612_관당-흑포)최종내역서(070713)" xfId="432" xr:uid="{00000000-0005-0000-0000-0000240C0000}"/>
    <cellStyle name="_견적조건_골재원변경 실정보고-050830" xfId="433" xr:uid="{00000000-0005-0000-0000-0000250C0000}"/>
    <cellStyle name="_견적조건_골재원변경 실정보고-050830_구보종합건설(관당-흑포)내역서(7.11)" xfId="434" xr:uid="{00000000-0005-0000-0000-0000260C0000}"/>
    <cellStyle name="_견적조건_골재원변경 실정보고-050830_구보종합건설(관당-흑포)내역서(7.11)_관당-흑포)최종내역서(070713)" xfId="435" xr:uid="{00000000-0005-0000-0000-0000270C0000}"/>
    <cellStyle name="_견적조건_골재원변경 실정보고-050830_신호등설치(관당-흑포)내역서-070612" xfId="436" xr:uid="{00000000-0005-0000-0000-0000280C0000}"/>
    <cellStyle name="_견적조건_골재원변경 실정보고-050830_신호등설치(관당-흑포)내역서-070612_관당-흑포)최종내역서(070713)" xfId="437" xr:uid="{00000000-0005-0000-0000-0000290C0000}"/>
    <cellStyle name="_견적조건_구보종합건설(관당-흑포)내역서(7.11)" xfId="438" xr:uid="{00000000-0005-0000-0000-00002A0C0000}"/>
    <cellStyle name="_견적조건_구보종합건설(관당-흑포)내역서(7.11)_관당-흑포)최종내역서(070713)" xfId="439" xr:uid="{00000000-0005-0000-0000-00002B0C0000}"/>
    <cellStyle name="_견적조건_선정안(삼산)" xfId="440" xr:uid="{00000000-0005-0000-0000-00002C0C0000}"/>
    <cellStyle name="_견적조건_선정안(삼산)_골재원변경 실정보고(수정분)" xfId="441" xr:uid="{00000000-0005-0000-0000-00002D0C0000}"/>
    <cellStyle name="_견적조건_선정안(삼산)_골재원변경 실정보고(수정분)_구보종합건설(관당-흑포)내역서(7.11)" xfId="442" xr:uid="{00000000-0005-0000-0000-00002E0C0000}"/>
    <cellStyle name="_견적조건_선정안(삼산)_골재원변경 실정보고(수정분)_구보종합건설(관당-흑포)내역서(7.11)_관당-흑포)최종내역서(070713)" xfId="443" xr:uid="{00000000-0005-0000-0000-00002F0C0000}"/>
    <cellStyle name="_견적조건_선정안(삼산)_골재원변경 실정보고(수정분)_신호등설치(관당-흑포)내역서-070612" xfId="444" xr:uid="{00000000-0005-0000-0000-0000300C0000}"/>
    <cellStyle name="_견적조건_선정안(삼산)_골재원변경 실정보고(수정분)_신호등설치(관당-흑포)내역서-070612_관당-흑포)최종내역서(070713)" xfId="445" xr:uid="{00000000-0005-0000-0000-0000310C0000}"/>
    <cellStyle name="_견적조건_선정안(삼산)_골재원변경 실정보고(수정분최종)" xfId="446" xr:uid="{00000000-0005-0000-0000-0000320C0000}"/>
    <cellStyle name="_견적조건_선정안(삼산)_골재원변경 실정보고(수정분최종)_구보종합건설(관당-흑포)내역서(7.11)" xfId="447" xr:uid="{00000000-0005-0000-0000-0000330C0000}"/>
    <cellStyle name="_견적조건_선정안(삼산)_골재원변경 실정보고(수정분최종)_구보종합건설(관당-흑포)내역서(7.11)_관당-흑포)최종내역서(070713)" xfId="448" xr:uid="{00000000-0005-0000-0000-0000340C0000}"/>
    <cellStyle name="_견적조건_선정안(삼산)_골재원변경 실정보고(수정분최종)_신호등설치(관당-흑포)내역서-070612" xfId="449" xr:uid="{00000000-0005-0000-0000-0000350C0000}"/>
    <cellStyle name="_견적조건_선정안(삼산)_골재원변경 실정보고(수정분최종)_신호등설치(관당-흑포)내역서-070612_관당-흑포)최종내역서(070713)" xfId="450" xr:uid="{00000000-0005-0000-0000-0000360C0000}"/>
    <cellStyle name="_견적조건_선정안(삼산)_골재원변경 실정보고-050830" xfId="451" xr:uid="{00000000-0005-0000-0000-0000370C0000}"/>
    <cellStyle name="_견적조건_선정안(삼산)_골재원변경 실정보고-050830_구보종합건설(관당-흑포)내역서(7.11)" xfId="452" xr:uid="{00000000-0005-0000-0000-0000380C0000}"/>
    <cellStyle name="_견적조건_선정안(삼산)_골재원변경 실정보고-050830_구보종합건설(관당-흑포)내역서(7.11)_관당-흑포)최종내역서(070713)" xfId="453" xr:uid="{00000000-0005-0000-0000-0000390C0000}"/>
    <cellStyle name="_견적조건_선정안(삼산)_골재원변경 실정보고-050830_신호등설치(관당-흑포)내역서-070612" xfId="454" xr:uid="{00000000-0005-0000-0000-00003A0C0000}"/>
    <cellStyle name="_견적조건_선정안(삼산)_골재원변경 실정보고-050830_신호등설치(관당-흑포)내역서-070612_관당-흑포)최종내역서(070713)" xfId="455" xr:uid="{00000000-0005-0000-0000-00003B0C0000}"/>
    <cellStyle name="_견적조건_선정안(삼산)_구보종합건설(관당-흑포)내역서(7.11)" xfId="456" xr:uid="{00000000-0005-0000-0000-00003C0C0000}"/>
    <cellStyle name="_견적조건_선정안(삼산)_구보종합건설(관당-흑포)내역서(7.11)_관당-흑포)최종내역서(070713)" xfId="457" xr:uid="{00000000-0005-0000-0000-00003D0C0000}"/>
    <cellStyle name="_견적조건_선정안(삼산)_신호등설치(관당-흑포)내역서-070612" xfId="458" xr:uid="{00000000-0005-0000-0000-00003E0C0000}"/>
    <cellStyle name="_견적조건_선정안(삼산)_신호등설치(관당-흑포)내역서-070612_관당-흑포)최종내역서(070713)" xfId="459" xr:uid="{00000000-0005-0000-0000-00003F0C0000}"/>
    <cellStyle name="_견적조건_신호등설치(관당-흑포)내역서-070612" xfId="460" xr:uid="{00000000-0005-0000-0000-0000400C0000}"/>
    <cellStyle name="_견적조건_신호등설치(관당-흑포)내역서-070612_관당-흑포)최종내역서(070713)" xfId="461" xr:uid="{00000000-0005-0000-0000-0000410C0000}"/>
    <cellStyle name="_견적조건_추풍령" xfId="462" xr:uid="{00000000-0005-0000-0000-0000420C0000}"/>
    <cellStyle name="_견적조건_추풍령_골재원변경 실정보고(수정분)" xfId="463" xr:uid="{00000000-0005-0000-0000-0000430C0000}"/>
    <cellStyle name="_견적조건_추풍령_골재원변경 실정보고(수정분)_구보종합건설(관당-흑포)내역서(7.11)" xfId="464" xr:uid="{00000000-0005-0000-0000-0000440C0000}"/>
    <cellStyle name="_견적조건_추풍령_골재원변경 실정보고(수정분)_구보종합건설(관당-흑포)내역서(7.11)_관당-흑포)최종내역서(070713)" xfId="465" xr:uid="{00000000-0005-0000-0000-0000450C0000}"/>
    <cellStyle name="_견적조건_추풍령_골재원변경 실정보고(수정분)_신호등설치(관당-흑포)내역서-070612" xfId="466" xr:uid="{00000000-0005-0000-0000-0000460C0000}"/>
    <cellStyle name="_견적조건_추풍령_골재원변경 실정보고(수정분)_신호등설치(관당-흑포)내역서-070612_관당-흑포)최종내역서(070713)" xfId="467" xr:uid="{00000000-0005-0000-0000-0000470C0000}"/>
    <cellStyle name="_견적조건_추풍령_골재원변경 실정보고(수정분최종)" xfId="468" xr:uid="{00000000-0005-0000-0000-0000480C0000}"/>
    <cellStyle name="_견적조건_추풍령_골재원변경 실정보고(수정분최종)_구보종합건설(관당-흑포)내역서(7.11)" xfId="469" xr:uid="{00000000-0005-0000-0000-0000490C0000}"/>
    <cellStyle name="_견적조건_추풍령_골재원변경 실정보고(수정분최종)_구보종합건설(관당-흑포)내역서(7.11)_관당-흑포)최종내역서(070713)" xfId="470" xr:uid="{00000000-0005-0000-0000-00004A0C0000}"/>
    <cellStyle name="_견적조건_추풍령_골재원변경 실정보고(수정분최종)_신호등설치(관당-흑포)내역서-070612" xfId="471" xr:uid="{00000000-0005-0000-0000-00004B0C0000}"/>
    <cellStyle name="_견적조건_추풍령_골재원변경 실정보고(수정분최종)_신호등설치(관당-흑포)내역서-070612_관당-흑포)최종내역서(070713)" xfId="472" xr:uid="{00000000-0005-0000-0000-00004C0C0000}"/>
    <cellStyle name="_견적조건_추풍령_골재원변경 실정보고-050830" xfId="473" xr:uid="{00000000-0005-0000-0000-00004D0C0000}"/>
    <cellStyle name="_견적조건_추풍령_골재원변경 실정보고-050830_구보종합건설(관당-흑포)내역서(7.11)" xfId="474" xr:uid="{00000000-0005-0000-0000-00004E0C0000}"/>
    <cellStyle name="_견적조건_추풍령_골재원변경 실정보고-050830_구보종합건설(관당-흑포)내역서(7.11)_관당-흑포)최종내역서(070713)" xfId="475" xr:uid="{00000000-0005-0000-0000-00004F0C0000}"/>
    <cellStyle name="_견적조건_추풍령_골재원변경 실정보고-050830_신호등설치(관당-흑포)내역서-070612" xfId="476" xr:uid="{00000000-0005-0000-0000-0000500C0000}"/>
    <cellStyle name="_견적조건_추풍령_골재원변경 실정보고-050830_신호등설치(관당-흑포)내역서-070612_관당-흑포)최종내역서(070713)" xfId="477" xr:uid="{00000000-0005-0000-0000-0000510C0000}"/>
    <cellStyle name="_견적조건_추풍령_구보종합건설(관당-흑포)내역서(7.11)" xfId="478" xr:uid="{00000000-0005-0000-0000-0000520C0000}"/>
    <cellStyle name="_견적조건_추풍령_구보종합건설(관당-흑포)내역서(7.11)_관당-흑포)최종내역서(070713)" xfId="479" xr:uid="{00000000-0005-0000-0000-0000530C0000}"/>
    <cellStyle name="_견적조건_추풍령_신호등설치(관당-흑포)내역서-070612" xfId="480" xr:uid="{00000000-0005-0000-0000-0000540C0000}"/>
    <cellStyle name="_견적조건_추풍령_신호등설치(관당-흑포)내역서-070612_관당-흑포)최종내역서(070713)" xfId="481" xr:uid="{00000000-0005-0000-0000-0000550C0000}"/>
    <cellStyle name="_견적조건_추풍령-1" xfId="482" xr:uid="{00000000-0005-0000-0000-0000560C0000}"/>
    <cellStyle name="_견적조건_추풍령-1_골재원변경 실정보고(수정분)" xfId="483" xr:uid="{00000000-0005-0000-0000-0000570C0000}"/>
    <cellStyle name="_견적조건_추풍령-1_골재원변경 실정보고(수정분)_구보종합건설(관당-흑포)내역서(7.11)" xfId="484" xr:uid="{00000000-0005-0000-0000-0000580C0000}"/>
    <cellStyle name="_견적조건_추풍령-1_골재원변경 실정보고(수정분)_구보종합건설(관당-흑포)내역서(7.11)_관당-흑포)최종내역서(070713)" xfId="485" xr:uid="{00000000-0005-0000-0000-0000590C0000}"/>
    <cellStyle name="_견적조건_추풍령-1_골재원변경 실정보고(수정분)_신호등설치(관당-흑포)내역서-070612" xfId="486" xr:uid="{00000000-0005-0000-0000-00005A0C0000}"/>
    <cellStyle name="_견적조건_추풍령-1_골재원변경 실정보고(수정분)_신호등설치(관당-흑포)내역서-070612_관당-흑포)최종내역서(070713)" xfId="487" xr:uid="{00000000-0005-0000-0000-00005B0C0000}"/>
    <cellStyle name="_견적조건_추풍령-1_골재원변경 실정보고(수정분최종)" xfId="488" xr:uid="{00000000-0005-0000-0000-00005C0C0000}"/>
    <cellStyle name="_견적조건_추풍령-1_골재원변경 실정보고(수정분최종)_구보종합건설(관당-흑포)내역서(7.11)" xfId="489" xr:uid="{00000000-0005-0000-0000-00005D0C0000}"/>
    <cellStyle name="_견적조건_추풍령-1_골재원변경 실정보고(수정분최종)_구보종합건설(관당-흑포)내역서(7.11)_관당-흑포)최종내역서(070713)" xfId="490" xr:uid="{00000000-0005-0000-0000-00005E0C0000}"/>
    <cellStyle name="_견적조건_추풍령-1_골재원변경 실정보고(수정분최종)_신호등설치(관당-흑포)내역서-070612" xfId="491" xr:uid="{00000000-0005-0000-0000-00005F0C0000}"/>
    <cellStyle name="_견적조건_추풍령-1_골재원변경 실정보고(수정분최종)_신호등설치(관당-흑포)내역서-070612_관당-흑포)최종내역서(070713)" xfId="492" xr:uid="{00000000-0005-0000-0000-0000600C0000}"/>
    <cellStyle name="_견적조건_추풍령-1_골재원변경 실정보고-050830" xfId="493" xr:uid="{00000000-0005-0000-0000-0000610C0000}"/>
    <cellStyle name="_견적조건_추풍령-1_골재원변경 실정보고-050830_구보종합건설(관당-흑포)내역서(7.11)" xfId="494" xr:uid="{00000000-0005-0000-0000-0000620C0000}"/>
    <cellStyle name="_견적조건_추풍령-1_골재원변경 실정보고-050830_구보종합건설(관당-흑포)내역서(7.11)_관당-흑포)최종내역서(070713)" xfId="495" xr:uid="{00000000-0005-0000-0000-0000630C0000}"/>
    <cellStyle name="_견적조건_추풍령-1_골재원변경 실정보고-050830_신호등설치(관당-흑포)내역서-070612" xfId="496" xr:uid="{00000000-0005-0000-0000-0000640C0000}"/>
    <cellStyle name="_견적조건_추풍령-1_골재원변경 실정보고-050830_신호등설치(관당-흑포)내역서-070612_관당-흑포)최종내역서(070713)" xfId="497" xr:uid="{00000000-0005-0000-0000-0000650C0000}"/>
    <cellStyle name="_견적조건_추풍령-1_구보종합건설(관당-흑포)내역서(7.11)" xfId="498" xr:uid="{00000000-0005-0000-0000-0000660C0000}"/>
    <cellStyle name="_견적조건_추풍령-1_구보종합건설(관당-흑포)내역서(7.11)_관당-흑포)최종내역서(070713)" xfId="499" xr:uid="{00000000-0005-0000-0000-0000670C0000}"/>
    <cellStyle name="_견적조건_추풍령-1_신호등설치(관당-흑포)내역서-070612" xfId="500" xr:uid="{00000000-0005-0000-0000-0000680C0000}"/>
    <cellStyle name="_견적조건_추풍령-1_신호등설치(관당-흑포)내역서-070612_관당-흑포)최종내역서(070713)" xfId="501" xr:uid="{00000000-0005-0000-0000-0000690C0000}"/>
    <cellStyle name="_견적집계표 (KT이윤)" xfId="7039" xr:uid="{00000000-0005-0000-0000-00006A0C0000}"/>
    <cellStyle name="_경북031002" xfId="502" xr:uid="{00000000-0005-0000-0000-00006B0C0000}"/>
    <cellStyle name="_경춘선 전송망 단가산출서(050513,유일선)" xfId="7040" xr:uid="{00000000-0005-0000-0000-00006C0C0000}"/>
    <cellStyle name="_고창담양2공구-투찰97" xfId="7041" xr:uid="{00000000-0005-0000-0000-00006D0C0000}"/>
    <cellStyle name="_고창담양2공구-투찰97_(무안)가실행" xfId="7042" xr:uid="{00000000-0005-0000-0000-00006E0C0000}"/>
    <cellStyle name="_고창담양2공구-투찰97_(무안)가실행_2003발주설계서2" xfId="7043" xr:uid="{00000000-0005-0000-0000-00006F0C0000}"/>
    <cellStyle name="_고창담양2공구-투찰97_~att2B5A" xfId="7044" xr:uid="{00000000-0005-0000-0000-0000700C0000}"/>
    <cellStyle name="_고창담양2공구-투찰97_~att2B5A_2003발주설계서2" xfId="7045" xr:uid="{00000000-0005-0000-0000-0000710C0000}"/>
    <cellStyle name="_고창담양2공구-투찰97_2003발주설계서2" xfId="7046" xr:uid="{00000000-0005-0000-0000-0000720C0000}"/>
    <cellStyle name="_고창담양2공구-투찰97_3.0무안광주3공구(입찰가실행-최종)" xfId="7047" xr:uid="{00000000-0005-0000-0000-0000730C0000}"/>
    <cellStyle name="_고창담양2공구-투찰97_3.0무안광주3공구(입찰가실행-최종)_(무안)가실행" xfId="7048" xr:uid="{00000000-0005-0000-0000-0000740C0000}"/>
    <cellStyle name="_고창담양2공구-투찰97_3.0무안광주3공구(입찰가실행-최종)_(무안)가실행_2003발주설계서2" xfId="7049" xr:uid="{00000000-0005-0000-0000-0000750C0000}"/>
    <cellStyle name="_고창담양2공구-투찰97_3.0무안광주3공구(입찰가실행-최종)_2003발주설계서2" xfId="7050" xr:uid="{00000000-0005-0000-0000-0000760C0000}"/>
    <cellStyle name="_고창담양2공구-투찰97_고창장성1공구(가실행-최종)" xfId="7051" xr:uid="{00000000-0005-0000-0000-0000770C0000}"/>
    <cellStyle name="_고창담양2공구-투찰97_고창장성1공구(가실행-최종)_2003발주설계서2" xfId="7052" xr:uid="{00000000-0005-0000-0000-0000780C0000}"/>
    <cellStyle name="_고창담양2공구-투찰97_고창장성1공구일위대가" xfId="7053" xr:uid="{00000000-0005-0000-0000-0000790C0000}"/>
    <cellStyle name="_고창담양2공구-투찰97_고창장성1공구일위대가_2003발주설계서2" xfId="7054" xr:uid="{00000000-0005-0000-0000-00007A0C0000}"/>
    <cellStyle name="_고한시가지가로등정비사업 (1)" xfId="503" xr:uid="{00000000-0005-0000-0000-00007B0C0000}"/>
    <cellStyle name="_고한시가지가로등정비사업 (2)" xfId="504" xr:uid="{00000000-0005-0000-0000-00007C0C0000}"/>
    <cellStyle name="_골프장NW장비(커머스네트웍스)_동화정보통신" xfId="7055" xr:uid="{00000000-0005-0000-0000-00007D0C0000}"/>
    <cellStyle name="_공량산출양식_2003.11" xfId="3853" xr:uid="{00000000-0005-0000-0000-00007E0C0000}"/>
    <cellStyle name="_공문 " xfId="505" xr:uid="{00000000-0005-0000-0000-00007F0C0000}"/>
    <cellStyle name="_관급내역서" xfId="3854" xr:uid="{00000000-0005-0000-0000-0000800C0000}"/>
    <cellStyle name="_관급자재내역-울산11.03" xfId="506" xr:uid="{00000000-0005-0000-0000-0000810C0000}"/>
    <cellStyle name="_관당-흑포)최종내역서(070726)" xfId="507" xr:uid="{00000000-0005-0000-0000-0000820C0000}"/>
    <cellStyle name="_광가입자전송장비(FLC)삼성" xfId="508" xr:uid="{00000000-0005-0000-0000-0000830C0000}"/>
    <cellStyle name="_광명첨단신호 2차분 설계내역서-070427-016" xfId="3855" xr:uid="{00000000-0005-0000-0000-0000840C0000}"/>
    <cellStyle name="_광안리내역서(구도)" xfId="509" xr:uid="{00000000-0005-0000-0000-0000850C0000}"/>
    <cellStyle name="_광주증설교체" xfId="510" xr:uid="{00000000-0005-0000-0000-0000860C0000}"/>
    <cellStyle name="_교통신호기 설치공사(원삼면사무소 앞)-내역_기계경비만들기 " xfId="511" xr:uid="{00000000-0005-0000-0000-0000870C0000}"/>
    <cellStyle name="_교통신호기(일위대가)-06.09_기계경비만들기 " xfId="512" xr:uid="{00000000-0005-0000-0000-0000880C0000}"/>
    <cellStyle name="_교통신호기(일위대가)-F(06.7)_기계경비만들기 " xfId="513" xr:uid="{00000000-0005-0000-0000-0000890C0000}"/>
    <cellStyle name="_교통신호기내역_기계경비만들기 " xfId="514" xr:uid="{00000000-0005-0000-0000-00008A0C0000}"/>
    <cellStyle name="_교통신호기내역-0_기계경비만들기 " xfId="515" xr:uid="{00000000-0005-0000-0000-00008B0C0000}"/>
    <cellStyle name="_교통신호기내역-F_기계경비만들기 " xfId="518" xr:uid="{00000000-0005-0000-0000-00008C0C0000}"/>
    <cellStyle name="_교통신호기내역-SF_기계경비만들기 " xfId="519" xr:uid="{00000000-0005-0000-0000-00008D0C0000}"/>
    <cellStyle name="_교통신호기내역-나곡외2개소_기계경비만들기 " xfId="516" xr:uid="{00000000-0005-0000-0000-00008E0C0000}"/>
    <cellStyle name="_교통신호기내역-나곡초교_기계경비만들기 " xfId="517" xr:uid="{00000000-0005-0000-0000-00008F0C0000}"/>
    <cellStyle name="_구보종합건설(관당-흑포)내역서" xfId="520" xr:uid="{00000000-0005-0000-0000-0000900C0000}"/>
    <cellStyle name="_구청지4R23건" xfId="3856" xr:uid="{00000000-0005-0000-0000-0000910C0000}"/>
    <cellStyle name="_군산시교통센터(전기)" xfId="521" xr:uid="{00000000-0005-0000-0000-0000920C0000}"/>
    <cellStyle name="_급식소 소방내역서" xfId="3857" xr:uid="{00000000-0005-0000-0000-0000930C0000}"/>
    <cellStyle name="_기본설계1" xfId="3858" xr:uid="{00000000-0005-0000-0000-0000940C0000}"/>
    <cellStyle name="_기성내역서" xfId="522" xr:uid="{00000000-0005-0000-0000-0000950C0000}"/>
    <cellStyle name="_기안용지앞면" xfId="3859" xr:uid="{00000000-0005-0000-0000-0000960C0000}"/>
    <cellStyle name="_기지국집계" xfId="3860" xr:uid="{00000000-0005-0000-0000-0000970C0000}"/>
    <cellStyle name="_기초공사" xfId="523" xr:uid="{00000000-0005-0000-0000-0000980C0000}"/>
    <cellStyle name="_기흥구 보안등 설치공사_기계경비만들기 " xfId="524" xr:uid="{00000000-0005-0000-0000-0000990C0000}"/>
    <cellStyle name="_길드PC방" xfId="3861" xr:uid="{00000000-0005-0000-0000-00009A0C0000}"/>
    <cellStyle name="_김포ER(세종)" xfId="525" xr:uid="{00000000-0005-0000-0000-00009B0C0000}"/>
    <cellStyle name="_나노엔텍(임금)" xfId="526" xr:uid="{00000000-0005-0000-0000-00009C0C0000}"/>
    <cellStyle name="_남양팔탄간도로확포장전기공사(변경)_I'PARK 3단지 입구 교통신호기 설치공사_기계경비만들기 " xfId="529" xr:uid="{00000000-0005-0000-0000-00009D0C0000}"/>
    <cellStyle name="_남양팔탄간도로확포장전기공사(변경)_기계경비만들기 " xfId="527" xr:uid="{00000000-0005-0000-0000-00009E0C0000}"/>
    <cellStyle name="_남양팔탄간도로확포장전기공사(변경)_천안(가로등 및 신호등 설치공사)_기계경비만들기 " xfId="528" xr:uid="{00000000-0005-0000-0000-00009F0C0000}"/>
    <cellStyle name="_내역(991895-7)" xfId="530" xr:uid="{00000000-0005-0000-0000-0000A00C0000}"/>
    <cellStyle name="_내역(991895-7)-01" xfId="531" xr:uid="{00000000-0005-0000-0000-0000A10C0000}"/>
    <cellStyle name="_내역(991895-7)-12-3일작업" xfId="532" xr:uid="{00000000-0005-0000-0000-0000A20C0000}"/>
    <cellStyle name="_내역3(통신)" xfId="7056" xr:uid="{00000000-0005-0000-0000-0000A30C0000}"/>
    <cellStyle name="_내역서" xfId="533" xr:uid="{00000000-0005-0000-0000-0000A40C0000}"/>
    <cellStyle name="_내역서(HFC,하나로)" xfId="3862" xr:uid="{00000000-0005-0000-0000-0000A50C0000}"/>
    <cellStyle name="_내역서(LAN_LGE서초R&amp;D)_060913T" xfId="3863" xr:uid="{00000000-0005-0000-0000-0000A60C0000}"/>
    <cellStyle name="_내역서(변경)" xfId="534" xr:uid="{00000000-0005-0000-0000-0000A70C0000}"/>
    <cellStyle name="_내역서(부산청)" xfId="3864" xr:uid="{00000000-0005-0000-0000-0000A80C0000}"/>
    <cellStyle name="_내역서(센터_하드웨어_v1)" xfId="536" xr:uid="{00000000-0005-0000-0000-0000A90C0000}"/>
    <cellStyle name="_내역서(센터_하드웨어_통합_V2)" xfId="535" xr:uid="{00000000-0005-0000-0000-0000AA0C0000}"/>
    <cellStyle name="_내역서(익산청)" xfId="3865" xr:uid="{00000000-0005-0000-0000-0000AB0C0000}"/>
    <cellStyle name="_내역서,공량(기계관)" xfId="3866" xr:uid="{00000000-0005-0000-0000-0000AC0C0000}"/>
    <cellStyle name="_내역서_0525" xfId="3867" xr:uid="{00000000-0005-0000-0000-0000AD0C0000}"/>
    <cellStyle name="_내역서_0714" xfId="3868" xr:uid="{00000000-0005-0000-0000-0000AE0C0000}"/>
    <cellStyle name="_내역서_1" xfId="3869" xr:uid="{00000000-0005-0000-0000-0000AF0C0000}"/>
    <cellStyle name="_내역서_22093743760001-2" xfId="7057" xr:uid="{00000000-0005-0000-0000-0000B00C0000}"/>
    <cellStyle name="_내역서_VDS(최신11-07)" xfId="558" xr:uid="{00000000-0005-0000-0000-0000B10C0000}"/>
    <cellStyle name="_내역서_곤지암(43호선 관로)" xfId="3870" xr:uid="{00000000-0005-0000-0000-0000B20C0000}"/>
    <cellStyle name="_내역서_골재원변경 실정보고(수정분)" xfId="537" xr:uid="{00000000-0005-0000-0000-0000B30C0000}"/>
    <cellStyle name="_내역서_골재원변경 실정보고(수정분)_구보종합건설(관당-흑포)내역서(7.11)" xfId="538" xr:uid="{00000000-0005-0000-0000-0000B40C0000}"/>
    <cellStyle name="_내역서_골재원변경 실정보고(수정분)_구보종합건설(관당-흑포)내역서(7.11)_관당-흑포)최종내역서(070713)" xfId="539" xr:uid="{00000000-0005-0000-0000-0000B50C0000}"/>
    <cellStyle name="_내역서_골재원변경 실정보고(수정분)_신호등설치(관당-흑포)내역서-070612" xfId="540" xr:uid="{00000000-0005-0000-0000-0000B60C0000}"/>
    <cellStyle name="_내역서_골재원변경 실정보고(수정분)_신호등설치(관당-흑포)내역서-070612_관당-흑포)최종내역서(070713)" xfId="541" xr:uid="{00000000-0005-0000-0000-0000B70C0000}"/>
    <cellStyle name="_내역서_골재원변경 실정보고(수정분최종)" xfId="542" xr:uid="{00000000-0005-0000-0000-0000B80C0000}"/>
    <cellStyle name="_내역서_골재원변경 실정보고(수정분최종)_구보종합건설(관당-흑포)내역서(7.11)" xfId="543" xr:uid="{00000000-0005-0000-0000-0000B90C0000}"/>
    <cellStyle name="_내역서_골재원변경 실정보고(수정분최종)_구보종합건설(관당-흑포)내역서(7.11)_관당-흑포)최종내역서(070713)" xfId="544" xr:uid="{00000000-0005-0000-0000-0000BA0C0000}"/>
    <cellStyle name="_내역서_골재원변경 실정보고(수정분최종)_신호등설치(관당-흑포)내역서-070612" xfId="545" xr:uid="{00000000-0005-0000-0000-0000BB0C0000}"/>
    <cellStyle name="_내역서_골재원변경 실정보고(수정분최종)_신호등설치(관당-흑포)내역서-070612_관당-흑포)최종내역서(070713)" xfId="546" xr:uid="{00000000-0005-0000-0000-0000BC0C0000}"/>
    <cellStyle name="_내역서_골재원변경 실정보고-050830" xfId="547" xr:uid="{00000000-0005-0000-0000-0000BD0C0000}"/>
    <cellStyle name="_내역서_골재원변경 실정보고-050830_구보종합건설(관당-흑포)내역서(7.11)" xfId="548" xr:uid="{00000000-0005-0000-0000-0000BE0C0000}"/>
    <cellStyle name="_내역서_골재원변경 실정보고-050830_구보종합건설(관당-흑포)내역서(7.11)_관당-흑포)최종내역서(070713)" xfId="549" xr:uid="{00000000-0005-0000-0000-0000BF0C0000}"/>
    <cellStyle name="_내역서_골재원변경 실정보고-050830_신호등설치(관당-흑포)내역서-070612" xfId="550" xr:uid="{00000000-0005-0000-0000-0000C00C0000}"/>
    <cellStyle name="_내역서_골재원변경 실정보고-050830_신호등설치(관당-흑포)내역서-070612_관당-흑포)최종내역서(070713)" xfId="551" xr:uid="{00000000-0005-0000-0000-0000C10C0000}"/>
    <cellStyle name="_내역서_공정산출" xfId="3871" xr:uid="{00000000-0005-0000-0000-0000C20C0000}"/>
    <cellStyle name="_내역서_교통신호견적서-삼일공영(주)" xfId="552" xr:uid="{00000000-0005-0000-0000-0000C30C0000}"/>
    <cellStyle name="_내역서_교통신호견적서-삼일공영(주)_구보종합건설(관당-흑포)내역서(7.11)" xfId="553" xr:uid="{00000000-0005-0000-0000-0000C40C0000}"/>
    <cellStyle name="_내역서_교통신호견적서-삼일공영(주)_구보종합건설(관당-흑포)내역서(7.11)_관당-흑포)최종내역서(070713)" xfId="554" xr:uid="{00000000-0005-0000-0000-0000C50C0000}"/>
    <cellStyle name="_내역서_교통신호견적서-삼일공영(주)_신호등설치(관당-흑포)내역서-070612" xfId="555" xr:uid="{00000000-0005-0000-0000-0000C60C0000}"/>
    <cellStyle name="_내역서_교통신호견적서-삼일공영(주)_신호등설치(관당-흑포)내역서-070612_관당-흑포)최종내역서(070713)" xfId="556" xr:uid="{00000000-0005-0000-0000-0000C70C0000}"/>
    <cellStyle name="_내역서_내역서(2007 일산로 교통신호기설치공사)계약(최종)" xfId="557" xr:uid="{00000000-0005-0000-0000-0000C80C0000}"/>
    <cellStyle name="_내역서_마석(신46호선 관로)" xfId="3872" xr:uid="{00000000-0005-0000-0000-0000C90C0000}"/>
    <cellStyle name="_내역서_산출기초" xfId="3873" xr:uid="{00000000-0005-0000-0000-0000CA0C0000}"/>
    <cellStyle name="_내역서_설계내역" xfId="3874" xr:uid="{00000000-0005-0000-0000-0000CB0C0000}"/>
    <cellStyle name="_내역서_수량산출" xfId="3875" xr:uid="{00000000-0005-0000-0000-0000CC0C0000}"/>
    <cellStyle name="_내역서_수원(43호선 관로)" xfId="3876" xr:uid="{00000000-0005-0000-0000-0000CD0C0000}"/>
    <cellStyle name="_내역서_육군 - 수량산출" xfId="3877" xr:uid="{00000000-0005-0000-0000-0000CE0C0000}"/>
    <cellStyle name="_내역서_육군관로" xfId="3878" xr:uid="{00000000-0005-0000-0000-0000CF0C0000}"/>
    <cellStyle name="_내역서_토토토" xfId="3879" xr:uid="{00000000-0005-0000-0000-0000D00C0000}"/>
    <cellStyle name="_내역서+개요(월배통신)" xfId="559" xr:uid="{00000000-0005-0000-0000-0000D10C0000}"/>
    <cellStyle name="_내역서+개요(전기)-6.7(최종)" xfId="560" xr:uid="{00000000-0005-0000-0000-0000D20C0000}"/>
    <cellStyle name="_내역서+개요(통신)" xfId="561" xr:uid="{00000000-0005-0000-0000-0000D30C0000}"/>
    <cellStyle name="_내역서및설계서" xfId="562" xr:uid="{00000000-0005-0000-0000-0000D40C0000}"/>
    <cellStyle name="_내역서피뢰및접지" xfId="563" xr:uid="{00000000-0005-0000-0000-0000D50C0000}"/>
    <cellStyle name="_내판" xfId="7058" xr:uid="{00000000-0005-0000-0000-0000D60C0000}"/>
    <cellStyle name="_노은2지구 내역서(수정)" xfId="564" xr:uid="{00000000-0005-0000-0000-0000D70C0000}"/>
    <cellStyle name="_노임단가" xfId="7059" xr:uid="{00000000-0005-0000-0000-0000D80C0000}"/>
    <cellStyle name="_농수로3종외-최종" xfId="565" xr:uid="{00000000-0005-0000-0000-0000D90C0000}"/>
    <cellStyle name="_단가산출서(합)" xfId="566" xr:uid="{00000000-0005-0000-0000-0000DA0C0000}"/>
    <cellStyle name="_단순연장설계기별(공주지역8,9월)" xfId="3880" xr:uid="{00000000-0005-0000-0000-0000DB0C0000}"/>
    <cellStyle name="_단순연장정산기별(공주지역8,9월)" xfId="3881" xr:uid="{00000000-0005-0000-0000-0000DC0C0000}"/>
    <cellStyle name="_단양내역서" xfId="3882" xr:uid="{00000000-0005-0000-0000-0000DD0C0000}"/>
    <cellStyle name="_달성군 청소녕 수련관 신축공사(일상감사후전체분)" xfId="3883" xr:uid="{00000000-0005-0000-0000-0000DE0C0000}"/>
    <cellStyle name="_대갑견적" xfId="7060" xr:uid="{00000000-0005-0000-0000-0000DF0C0000}"/>
    <cellStyle name="_대갑견적1" xfId="7061" xr:uid="{00000000-0005-0000-0000-0000E00C0000}"/>
    <cellStyle name="_대관업무비" xfId="3884" xr:uid="{00000000-0005-0000-0000-0000E10C0000}"/>
    <cellStyle name="_대관협의비용" xfId="3885" xr:uid="{00000000-0005-0000-0000-0000E20C0000}"/>
    <cellStyle name="_대림아파트외6개소전송망구성루트도" xfId="3886" xr:uid="{00000000-0005-0000-0000-0000E30C0000}"/>
    <cellStyle name="_대방APT(동두천3차)내역서" xfId="567" xr:uid="{00000000-0005-0000-0000-0000E40C0000}"/>
    <cellStyle name="_대야늘푸른벽산 보강설계" xfId="3887" xr:uid="{00000000-0005-0000-0000-0000E50C0000}"/>
    <cellStyle name="_대전권 자가광망 설계서(케이블)" xfId="3888" xr:uid="{00000000-0005-0000-0000-0000E60C0000}"/>
    <cellStyle name="_대전망운용국 대수선 전기공사+개요" xfId="568" xr:uid="{00000000-0005-0000-0000-0000E70C0000}"/>
    <cellStyle name="_대체시설설계서(통신)" xfId="7062" xr:uid="{00000000-0005-0000-0000-0000E80C0000}"/>
    <cellStyle name="_도로공사신고서(수서)031020" xfId="3889" xr:uid="{00000000-0005-0000-0000-0000E90C0000}"/>
    <cellStyle name="_도로공사신고서(수서경찰서)" xfId="3890" xr:uid="{00000000-0005-0000-0000-0000EA0C0000}"/>
    <cellStyle name="_독바위역앞" xfId="3891" xr:uid="{00000000-0005-0000-0000-0000EB0C0000}"/>
    <cellStyle name="_동목포전화국제4회기성청구서" xfId="569" xr:uid="{00000000-0005-0000-0000-0000EC0C0000}"/>
    <cellStyle name="_동백8블럭 신호등 설치공사_기계경비만들기 " xfId="570" xr:uid="{00000000-0005-0000-0000-0000ED0C0000}"/>
    <cellStyle name="_등촌동 어린이집" xfId="3892" xr:uid="{00000000-0005-0000-0000-0000EE0C0000}"/>
    <cellStyle name="_롯데백화점미아점신호정산물량-가공(1월)" xfId="571" xr:uid="{00000000-0005-0000-0000-0000EF0C0000}"/>
    <cellStyle name="_마산~청호간_신호기설치공사" xfId="572" xr:uid="{00000000-0005-0000-0000-0000F00C0000}"/>
    <cellStyle name="_몽골 견적서" xfId="3893" xr:uid="{00000000-0005-0000-0000-0000F10C0000}"/>
    <cellStyle name="_문곡테니스장" xfId="573" xr:uid="{00000000-0005-0000-0000-0000F20C0000}"/>
    <cellStyle name="_문곡테니스장 (2)" xfId="574" xr:uid="{00000000-0005-0000-0000-0000F30C0000}"/>
    <cellStyle name="_발산지구내역서" xfId="575" xr:uid="{00000000-0005-0000-0000-0000F40C0000}"/>
    <cellStyle name="_배관배선산출(60826)" xfId="3894" xr:uid="{00000000-0005-0000-0000-0000F50C0000}"/>
    <cellStyle name="_백전정수장" xfId="576" xr:uid="{00000000-0005-0000-0000-0000F60C0000}"/>
    <cellStyle name="_보행자보호등설계서" xfId="3895" xr:uid="{00000000-0005-0000-0000-0000F70C0000}"/>
    <cellStyle name="_본관전원이설및전기개보수내역서" xfId="3896" xr:uid="{00000000-0005-0000-0000-0000F80C0000}"/>
    <cellStyle name="_봅시다장비내역서" xfId="3897" xr:uid="{00000000-0005-0000-0000-0000F90C0000}"/>
    <cellStyle name="_봅시다장비내역서_04년도서울지역굴착계획" xfId="3898" xr:uid="{00000000-0005-0000-0000-0000FA0C0000}"/>
    <cellStyle name="_봅시다장비내역서_04년도서울지역굴착계획_09_덕-H02통신공사_설계서_v4" xfId="7063" xr:uid="{00000000-0005-0000-0000-0000FB0C0000}"/>
    <cellStyle name="_봅시다장비내역서_04년도서울지역굴착계획_설계서_CCTV-V1" xfId="7064" xr:uid="{00000000-0005-0000-0000-0000FC0C0000}"/>
    <cellStyle name="_봅시다장비내역서_04년도서울지역굴착계획_수신-VDS내역서_20061103" xfId="3899" xr:uid="{00000000-0005-0000-0000-0000FD0C0000}"/>
    <cellStyle name="_봅시다장비내역서_09_덕-H02통신공사_설계서_v4" xfId="7065" xr:uid="{00000000-0005-0000-0000-0000FE0C0000}"/>
    <cellStyle name="_봅시다장비내역서_설계서_CCTV-V1" xfId="7066" xr:uid="{00000000-0005-0000-0000-0000FF0C0000}"/>
    <cellStyle name="_봅시다장비내역서_수신-VDS내역서_20061103" xfId="3900" xr:uid="{00000000-0005-0000-0000-0000000D0000}"/>
    <cellStyle name="_봅시다장비내역서_의정부" xfId="3901" xr:uid="{00000000-0005-0000-0000-0000010D0000}"/>
    <cellStyle name="_봅시다장비내역서_의정부_04년도서울지역굴착계획" xfId="3902" xr:uid="{00000000-0005-0000-0000-0000020D0000}"/>
    <cellStyle name="_봅시다장비내역서_의정부_04년도서울지역굴착계획_09_덕-H02통신공사_설계서_v4" xfId="7067" xr:uid="{00000000-0005-0000-0000-0000030D0000}"/>
    <cellStyle name="_봅시다장비내역서_의정부_04년도서울지역굴착계획_설계서_CCTV-V1" xfId="7068" xr:uid="{00000000-0005-0000-0000-0000040D0000}"/>
    <cellStyle name="_봅시다장비내역서_의정부_04년도서울지역굴착계획_수신-VDS내역서_20061103" xfId="3903" xr:uid="{00000000-0005-0000-0000-0000050D0000}"/>
    <cellStyle name="_봅시다장비내역서_의정부_09_덕-H02통신공사_설계서_v4" xfId="7069" xr:uid="{00000000-0005-0000-0000-0000060D0000}"/>
    <cellStyle name="_봅시다장비내역서_의정부_설계서_CCTV-V1" xfId="7070" xr:uid="{00000000-0005-0000-0000-0000070D0000}"/>
    <cellStyle name="_봅시다장비내역서_의정부_수신-VDS내역서_20061103" xfId="3904" xr:uid="{00000000-0005-0000-0000-0000080D0000}"/>
    <cellStyle name="_봉림고교 교사신축(최종)" xfId="577" xr:uid="{00000000-0005-0000-0000-0000090D0000}"/>
    <cellStyle name="_봉림고교 교사신축(최종)-참고용" xfId="578" xr:uid="{00000000-0005-0000-0000-00000A0D0000}"/>
    <cellStyle name="_봉원동증설" xfId="7071" xr:uid="{00000000-0005-0000-0000-00000B0D0000}"/>
    <cellStyle name="_부천범박동" xfId="3905" xr:uid="{00000000-0005-0000-0000-00000C0D0000}"/>
    <cellStyle name="_불광천인도교경관조명내역서(변경)-01.21" xfId="579" xr:uid="{00000000-0005-0000-0000-00000D0D0000}"/>
    <cellStyle name="_산출근거양식-전주식_기계경비만들기 " xfId="580" xr:uid="{00000000-0005-0000-0000-00000E0D0000}"/>
    <cellStyle name="_산출내역견적서(천안)" xfId="7072" xr:uid="{00000000-0005-0000-0000-00000F0D0000}"/>
    <cellStyle name="_산출내역서(동화정보통신)" xfId="7073" xr:uid="{00000000-0005-0000-0000-0000100D0000}"/>
    <cellStyle name="_산출내역서1" xfId="3906" xr:uid="{00000000-0005-0000-0000-0000110D0000}"/>
    <cellStyle name="_산출서" xfId="589" xr:uid="{00000000-0005-0000-0000-0000120D0000}"/>
    <cellStyle name="_상황판" xfId="3907" xr:uid="{00000000-0005-0000-0000-0000130D0000}"/>
    <cellStyle name="_상황판일위견적" xfId="3908" xr:uid="{00000000-0005-0000-0000-0000140D0000}"/>
    <cellStyle name="_서울" xfId="3909" xr:uid="{00000000-0005-0000-0000-0000150D0000}"/>
    <cellStyle name="_서울 지하철 7호선 연장 내역서" xfId="590" xr:uid="{00000000-0005-0000-0000-0000160D0000}"/>
    <cellStyle name="_서울과학관의장" xfId="591" xr:uid="{00000000-0005-0000-0000-0000170D0000}"/>
    <cellStyle name="_서울보훈병원견적_Alcatel" xfId="3910" xr:uid="{00000000-0005-0000-0000-0000180D0000}"/>
    <cellStyle name="_서울여대(20020516)" xfId="592" xr:uid="{00000000-0005-0000-0000-0000190D0000}"/>
    <cellStyle name="_서초4-1A.15CELL)" xfId="3911" xr:uid="{00000000-0005-0000-0000-00001A0D0000}"/>
    <cellStyle name="_서해아파트 진,출입로 신호등 설치공사_기계경비만들기 " xfId="593" xr:uid="{00000000-0005-0000-0000-00001B0D0000}"/>
    <cellStyle name="_선도전기(실적기준)" xfId="594" xr:uid="{00000000-0005-0000-0000-00001C0D0000}"/>
    <cellStyle name="_선정(1)" xfId="595" xr:uid="{00000000-0005-0000-0000-00001D0D0000}"/>
    <cellStyle name="_선정(1)_골재원변경 실정보고(수정분)" xfId="596" xr:uid="{00000000-0005-0000-0000-00001E0D0000}"/>
    <cellStyle name="_선정(1)_골재원변경 실정보고(수정분)_구보종합건설(관당-흑포)내역서(7.11)" xfId="597" xr:uid="{00000000-0005-0000-0000-00001F0D0000}"/>
    <cellStyle name="_선정(1)_골재원변경 실정보고(수정분)_구보종합건설(관당-흑포)내역서(7.11)_관당-흑포)최종내역서(070713)" xfId="598" xr:uid="{00000000-0005-0000-0000-0000200D0000}"/>
    <cellStyle name="_선정(1)_골재원변경 실정보고(수정분)_신호등설치(관당-흑포)내역서-070612" xfId="599" xr:uid="{00000000-0005-0000-0000-0000210D0000}"/>
    <cellStyle name="_선정(1)_골재원변경 실정보고(수정분)_신호등설치(관당-흑포)내역서-070612_관당-흑포)최종내역서(070713)" xfId="600" xr:uid="{00000000-0005-0000-0000-0000220D0000}"/>
    <cellStyle name="_선정(1)_골재원변경 실정보고(수정분최종)" xfId="601" xr:uid="{00000000-0005-0000-0000-0000230D0000}"/>
    <cellStyle name="_선정(1)_골재원변경 실정보고(수정분최종)_구보종합건설(관당-흑포)내역서(7.11)" xfId="602" xr:uid="{00000000-0005-0000-0000-0000240D0000}"/>
    <cellStyle name="_선정(1)_골재원변경 실정보고(수정분최종)_구보종합건설(관당-흑포)내역서(7.11)_관당-흑포)최종내역서(070713)" xfId="603" xr:uid="{00000000-0005-0000-0000-0000250D0000}"/>
    <cellStyle name="_선정(1)_골재원변경 실정보고(수정분최종)_신호등설치(관당-흑포)내역서-070612" xfId="604" xr:uid="{00000000-0005-0000-0000-0000260D0000}"/>
    <cellStyle name="_선정(1)_골재원변경 실정보고(수정분최종)_신호등설치(관당-흑포)내역서-070612_관당-흑포)최종내역서(070713)" xfId="605" xr:uid="{00000000-0005-0000-0000-0000270D0000}"/>
    <cellStyle name="_선정(1)_골재원변경 실정보고-050830" xfId="606" xr:uid="{00000000-0005-0000-0000-0000280D0000}"/>
    <cellStyle name="_선정(1)_골재원변경 실정보고-050830_구보종합건설(관당-흑포)내역서(7.11)" xfId="607" xr:uid="{00000000-0005-0000-0000-0000290D0000}"/>
    <cellStyle name="_선정(1)_골재원변경 실정보고-050830_구보종합건설(관당-흑포)내역서(7.11)_관당-흑포)최종내역서(070713)" xfId="608" xr:uid="{00000000-0005-0000-0000-00002A0D0000}"/>
    <cellStyle name="_선정(1)_골재원변경 실정보고-050830_신호등설치(관당-흑포)내역서-070612" xfId="609" xr:uid="{00000000-0005-0000-0000-00002B0D0000}"/>
    <cellStyle name="_선정(1)_골재원변경 실정보고-050830_신호등설치(관당-흑포)내역서-070612_관당-흑포)최종내역서(070713)" xfId="610" xr:uid="{00000000-0005-0000-0000-00002C0D0000}"/>
    <cellStyle name="_선정(1)_구보종합건설(관당-흑포)내역서(7.11)" xfId="611" xr:uid="{00000000-0005-0000-0000-00002D0D0000}"/>
    <cellStyle name="_선정(1)_구보종합건설(관당-흑포)내역서(7.11)_관당-흑포)최종내역서(070713)" xfId="612" xr:uid="{00000000-0005-0000-0000-00002E0D0000}"/>
    <cellStyle name="_선정(1)_선정안(삼산)" xfId="613" xr:uid="{00000000-0005-0000-0000-00002F0D0000}"/>
    <cellStyle name="_선정(1)_선정안(삼산)_골재원변경 실정보고(수정분)" xfId="614" xr:uid="{00000000-0005-0000-0000-0000300D0000}"/>
    <cellStyle name="_선정(1)_선정안(삼산)_골재원변경 실정보고(수정분)_구보종합건설(관당-흑포)내역서(7.11)" xfId="615" xr:uid="{00000000-0005-0000-0000-0000310D0000}"/>
    <cellStyle name="_선정(1)_선정안(삼산)_골재원변경 실정보고(수정분)_구보종합건설(관당-흑포)내역서(7.11)_관당-흑포)최종내역서(070713)" xfId="616" xr:uid="{00000000-0005-0000-0000-0000320D0000}"/>
    <cellStyle name="_선정(1)_선정안(삼산)_골재원변경 실정보고(수정분)_신호등설치(관당-흑포)내역서-070612" xfId="617" xr:uid="{00000000-0005-0000-0000-0000330D0000}"/>
    <cellStyle name="_선정(1)_선정안(삼산)_골재원변경 실정보고(수정분)_신호등설치(관당-흑포)내역서-070612_관당-흑포)최종내역서(070713)" xfId="618" xr:uid="{00000000-0005-0000-0000-0000340D0000}"/>
    <cellStyle name="_선정(1)_선정안(삼산)_골재원변경 실정보고(수정분최종)" xfId="619" xr:uid="{00000000-0005-0000-0000-0000350D0000}"/>
    <cellStyle name="_선정(1)_선정안(삼산)_골재원변경 실정보고(수정분최종)_구보종합건설(관당-흑포)내역서(7.11)" xfId="620" xr:uid="{00000000-0005-0000-0000-0000360D0000}"/>
    <cellStyle name="_선정(1)_선정안(삼산)_골재원변경 실정보고(수정분최종)_구보종합건설(관당-흑포)내역서(7.11)_관당-흑포)최종내역서(070713)" xfId="621" xr:uid="{00000000-0005-0000-0000-0000370D0000}"/>
    <cellStyle name="_선정(1)_선정안(삼산)_골재원변경 실정보고(수정분최종)_신호등설치(관당-흑포)내역서-070612" xfId="622" xr:uid="{00000000-0005-0000-0000-0000380D0000}"/>
    <cellStyle name="_선정(1)_선정안(삼산)_골재원변경 실정보고(수정분최종)_신호등설치(관당-흑포)내역서-070612_관당-흑포)최종내역서(070713)" xfId="623" xr:uid="{00000000-0005-0000-0000-0000390D0000}"/>
    <cellStyle name="_선정(1)_선정안(삼산)_골재원변경 실정보고-050830" xfId="624" xr:uid="{00000000-0005-0000-0000-00003A0D0000}"/>
    <cellStyle name="_선정(1)_선정안(삼산)_골재원변경 실정보고-050830_구보종합건설(관당-흑포)내역서(7.11)" xfId="625" xr:uid="{00000000-0005-0000-0000-00003B0D0000}"/>
    <cellStyle name="_선정(1)_선정안(삼산)_골재원변경 실정보고-050830_구보종합건설(관당-흑포)내역서(7.11)_관당-흑포)최종내역서(070713)" xfId="626" xr:uid="{00000000-0005-0000-0000-00003C0D0000}"/>
    <cellStyle name="_선정(1)_선정안(삼산)_골재원변경 실정보고-050830_신호등설치(관당-흑포)내역서-070612" xfId="627" xr:uid="{00000000-0005-0000-0000-00003D0D0000}"/>
    <cellStyle name="_선정(1)_선정안(삼산)_골재원변경 실정보고-050830_신호등설치(관당-흑포)내역서-070612_관당-흑포)최종내역서(070713)" xfId="628" xr:uid="{00000000-0005-0000-0000-00003E0D0000}"/>
    <cellStyle name="_선정(1)_선정안(삼산)_구보종합건설(관당-흑포)내역서(7.11)" xfId="629" xr:uid="{00000000-0005-0000-0000-00003F0D0000}"/>
    <cellStyle name="_선정(1)_선정안(삼산)_구보종합건설(관당-흑포)내역서(7.11)_관당-흑포)최종내역서(070713)" xfId="630" xr:uid="{00000000-0005-0000-0000-0000400D0000}"/>
    <cellStyle name="_선정(1)_선정안(삼산)_신호등설치(관당-흑포)내역서-070612" xfId="631" xr:uid="{00000000-0005-0000-0000-0000410D0000}"/>
    <cellStyle name="_선정(1)_선정안(삼산)_신호등설치(관당-흑포)내역서-070612_관당-흑포)최종내역서(070713)" xfId="632" xr:uid="{00000000-0005-0000-0000-0000420D0000}"/>
    <cellStyle name="_선정(1)_신호등설치(관당-흑포)내역서-070612" xfId="633" xr:uid="{00000000-0005-0000-0000-0000430D0000}"/>
    <cellStyle name="_선정(1)_신호등설치(관당-흑포)내역서-070612_관당-흑포)최종내역서(070713)" xfId="634" xr:uid="{00000000-0005-0000-0000-0000440D0000}"/>
    <cellStyle name="_선정(1)_추풍령" xfId="635" xr:uid="{00000000-0005-0000-0000-0000450D0000}"/>
    <cellStyle name="_선정(1)_추풍령_골재원변경 실정보고(수정분)" xfId="636" xr:uid="{00000000-0005-0000-0000-0000460D0000}"/>
    <cellStyle name="_선정(1)_추풍령_골재원변경 실정보고(수정분)_구보종합건설(관당-흑포)내역서(7.11)" xfId="637" xr:uid="{00000000-0005-0000-0000-0000470D0000}"/>
    <cellStyle name="_선정(1)_추풍령_골재원변경 실정보고(수정분)_구보종합건설(관당-흑포)내역서(7.11)_관당-흑포)최종내역서(070713)" xfId="638" xr:uid="{00000000-0005-0000-0000-0000480D0000}"/>
    <cellStyle name="_선정(1)_추풍령_골재원변경 실정보고(수정분)_신호등설치(관당-흑포)내역서-070612" xfId="639" xr:uid="{00000000-0005-0000-0000-0000490D0000}"/>
    <cellStyle name="_선정(1)_추풍령_골재원변경 실정보고(수정분)_신호등설치(관당-흑포)내역서-070612_관당-흑포)최종내역서(070713)" xfId="640" xr:uid="{00000000-0005-0000-0000-00004A0D0000}"/>
    <cellStyle name="_선정(1)_추풍령_골재원변경 실정보고(수정분최종)" xfId="641" xr:uid="{00000000-0005-0000-0000-00004B0D0000}"/>
    <cellStyle name="_선정(1)_추풍령_골재원변경 실정보고(수정분최종)_구보종합건설(관당-흑포)내역서(7.11)" xfId="642" xr:uid="{00000000-0005-0000-0000-00004C0D0000}"/>
    <cellStyle name="_선정(1)_추풍령_골재원변경 실정보고(수정분최종)_구보종합건설(관당-흑포)내역서(7.11)_관당-흑포)최종내역서(070713)" xfId="643" xr:uid="{00000000-0005-0000-0000-00004D0D0000}"/>
    <cellStyle name="_선정(1)_추풍령_골재원변경 실정보고(수정분최종)_신호등설치(관당-흑포)내역서-070612" xfId="644" xr:uid="{00000000-0005-0000-0000-00004E0D0000}"/>
    <cellStyle name="_선정(1)_추풍령_골재원변경 실정보고(수정분최종)_신호등설치(관당-흑포)내역서-070612_관당-흑포)최종내역서(070713)" xfId="645" xr:uid="{00000000-0005-0000-0000-00004F0D0000}"/>
    <cellStyle name="_선정(1)_추풍령_골재원변경 실정보고-050830" xfId="646" xr:uid="{00000000-0005-0000-0000-0000500D0000}"/>
    <cellStyle name="_선정(1)_추풍령_골재원변경 실정보고-050830_구보종합건설(관당-흑포)내역서(7.11)" xfId="647" xr:uid="{00000000-0005-0000-0000-0000510D0000}"/>
    <cellStyle name="_선정(1)_추풍령_골재원변경 실정보고-050830_구보종합건설(관당-흑포)내역서(7.11)_관당-흑포)최종내역서(070713)" xfId="648" xr:uid="{00000000-0005-0000-0000-0000520D0000}"/>
    <cellStyle name="_선정(1)_추풍령_골재원변경 실정보고-050830_신호등설치(관당-흑포)내역서-070612" xfId="649" xr:uid="{00000000-0005-0000-0000-0000530D0000}"/>
    <cellStyle name="_선정(1)_추풍령_골재원변경 실정보고-050830_신호등설치(관당-흑포)내역서-070612_관당-흑포)최종내역서(070713)" xfId="650" xr:uid="{00000000-0005-0000-0000-0000540D0000}"/>
    <cellStyle name="_선정(1)_추풍령_구보종합건설(관당-흑포)내역서(7.11)" xfId="651" xr:uid="{00000000-0005-0000-0000-0000550D0000}"/>
    <cellStyle name="_선정(1)_추풍령_구보종합건설(관당-흑포)내역서(7.11)_관당-흑포)최종내역서(070713)" xfId="652" xr:uid="{00000000-0005-0000-0000-0000560D0000}"/>
    <cellStyle name="_선정(1)_추풍령_신호등설치(관당-흑포)내역서-070612" xfId="653" xr:uid="{00000000-0005-0000-0000-0000570D0000}"/>
    <cellStyle name="_선정(1)_추풍령_신호등설치(관당-흑포)내역서-070612_관당-흑포)최종내역서(070713)" xfId="654" xr:uid="{00000000-0005-0000-0000-0000580D0000}"/>
    <cellStyle name="_선정(1)_추풍령-1" xfId="655" xr:uid="{00000000-0005-0000-0000-0000590D0000}"/>
    <cellStyle name="_선정(1)_추풍령-1_골재원변경 실정보고(수정분)" xfId="656" xr:uid="{00000000-0005-0000-0000-00005A0D0000}"/>
    <cellStyle name="_선정(1)_추풍령-1_골재원변경 실정보고(수정분)_구보종합건설(관당-흑포)내역서(7.11)" xfId="657" xr:uid="{00000000-0005-0000-0000-00005B0D0000}"/>
    <cellStyle name="_선정(1)_추풍령-1_골재원변경 실정보고(수정분)_구보종합건설(관당-흑포)내역서(7.11)_관당-흑포)최종내역서(070713)" xfId="658" xr:uid="{00000000-0005-0000-0000-00005C0D0000}"/>
    <cellStyle name="_선정(1)_추풍령-1_골재원변경 실정보고(수정분)_신호등설치(관당-흑포)내역서-070612" xfId="659" xr:uid="{00000000-0005-0000-0000-00005D0D0000}"/>
    <cellStyle name="_선정(1)_추풍령-1_골재원변경 실정보고(수정분)_신호등설치(관당-흑포)내역서-070612_관당-흑포)최종내역서(070713)" xfId="660" xr:uid="{00000000-0005-0000-0000-00005E0D0000}"/>
    <cellStyle name="_선정(1)_추풍령-1_골재원변경 실정보고(수정분최종)" xfId="661" xr:uid="{00000000-0005-0000-0000-00005F0D0000}"/>
    <cellStyle name="_선정(1)_추풍령-1_골재원변경 실정보고(수정분최종)_구보종합건설(관당-흑포)내역서(7.11)" xfId="662" xr:uid="{00000000-0005-0000-0000-0000600D0000}"/>
    <cellStyle name="_선정(1)_추풍령-1_골재원변경 실정보고(수정분최종)_구보종합건설(관당-흑포)내역서(7.11)_관당-흑포)최종내역서(070713)" xfId="663" xr:uid="{00000000-0005-0000-0000-0000610D0000}"/>
    <cellStyle name="_선정(1)_추풍령-1_골재원변경 실정보고(수정분최종)_신호등설치(관당-흑포)내역서-070612" xfId="664" xr:uid="{00000000-0005-0000-0000-0000620D0000}"/>
    <cellStyle name="_선정(1)_추풍령-1_골재원변경 실정보고(수정분최종)_신호등설치(관당-흑포)내역서-070612_관당-흑포)최종내역서(070713)" xfId="665" xr:uid="{00000000-0005-0000-0000-0000630D0000}"/>
    <cellStyle name="_선정(1)_추풍령-1_골재원변경 실정보고-050830" xfId="666" xr:uid="{00000000-0005-0000-0000-0000640D0000}"/>
    <cellStyle name="_선정(1)_추풍령-1_골재원변경 실정보고-050830_구보종합건설(관당-흑포)내역서(7.11)" xfId="667" xr:uid="{00000000-0005-0000-0000-0000650D0000}"/>
    <cellStyle name="_선정(1)_추풍령-1_골재원변경 실정보고-050830_구보종합건설(관당-흑포)내역서(7.11)_관당-흑포)최종내역서(070713)" xfId="668" xr:uid="{00000000-0005-0000-0000-0000660D0000}"/>
    <cellStyle name="_선정(1)_추풍령-1_골재원변경 실정보고-050830_신호등설치(관당-흑포)내역서-070612" xfId="669" xr:uid="{00000000-0005-0000-0000-0000670D0000}"/>
    <cellStyle name="_선정(1)_추풍령-1_골재원변경 실정보고-050830_신호등설치(관당-흑포)내역서-070612_관당-흑포)최종내역서(070713)" xfId="670" xr:uid="{00000000-0005-0000-0000-0000680D0000}"/>
    <cellStyle name="_선정(1)_추풍령-1_구보종합건설(관당-흑포)내역서(7.11)" xfId="671" xr:uid="{00000000-0005-0000-0000-0000690D0000}"/>
    <cellStyle name="_선정(1)_추풍령-1_구보종합건설(관당-흑포)내역서(7.11)_관당-흑포)최종내역서(070713)" xfId="672" xr:uid="{00000000-0005-0000-0000-00006A0D0000}"/>
    <cellStyle name="_선정(1)_추풍령-1_신호등설치(관당-흑포)내역서-070612" xfId="673" xr:uid="{00000000-0005-0000-0000-00006B0D0000}"/>
    <cellStyle name="_선정(1)_추풍령-1_신호등설치(관당-흑포)내역서-070612_관당-흑포)최종내역서(070713)" xfId="674" xr:uid="{00000000-0005-0000-0000-00006C0D0000}"/>
    <cellStyle name="_선정(2)" xfId="675" xr:uid="{00000000-0005-0000-0000-00006D0D0000}"/>
    <cellStyle name="_선정(2)_골재원변경 실정보고(수정분)" xfId="676" xr:uid="{00000000-0005-0000-0000-00006E0D0000}"/>
    <cellStyle name="_선정(2)_골재원변경 실정보고(수정분)_구보종합건설(관당-흑포)내역서(7.11)" xfId="677" xr:uid="{00000000-0005-0000-0000-00006F0D0000}"/>
    <cellStyle name="_선정(2)_골재원변경 실정보고(수정분)_구보종합건설(관당-흑포)내역서(7.11)_관당-흑포)최종내역서(070713)" xfId="678" xr:uid="{00000000-0005-0000-0000-0000700D0000}"/>
    <cellStyle name="_선정(2)_골재원변경 실정보고(수정분)_신호등설치(관당-흑포)내역서-070612" xfId="679" xr:uid="{00000000-0005-0000-0000-0000710D0000}"/>
    <cellStyle name="_선정(2)_골재원변경 실정보고(수정분)_신호등설치(관당-흑포)내역서-070612_관당-흑포)최종내역서(070713)" xfId="680" xr:uid="{00000000-0005-0000-0000-0000720D0000}"/>
    <cellStyle name="_선정(2)_골재원변경 실정보고(수정분최종)" xfId="681" xr:uid="{00000000-0005-0000-0000-0000730D0000}"/>
    <cellStyle name="_선정(2)_골재원변경 실정보고(수정분최종)_구보종합건설(관당-흑포)내역서(7.11)" xfId="682" xr:uid="{00000000-0005-0000-0000-0000740D0000}"/>
    <cellStyle name="_선정(2)_골재원변경 실정보고(수정분최종)_구보종합건설(관당-흑포)내역서(7.11)_관당-흑포)최종내역서(070713)" xfId="683" xr:uid="{00000000-0005-0000-0000-0000750D0000}"/>
    <cellStyle name="_선정(2)_골재원변경 실정보고(수정분최종)_신호등설치(관당-흑포)내역서-070612" xfId="684" xr:uid="{00000000-0005-0000-0000-0000760D0000}"/>
    <cellStyle name="_선정(2)_골재원변경 실정보고(수정분최종)_신호등설치(관당-흑포)내역서-070612_관당-흑포)최종내역서(070713)" xfId="685" xr:uid="{00000000-0005-0000-0000-0000770D0000}"/>
    <cellStyle name="_선정(2)_골재원변경 실정보고-050830" xfId="686" xr:uid="{00000000-0005-0000-0000-0000780D0000}"/>
    <cellStyle name="_선정(2)_골재원변경 실정보고-050830_구보종합건설(관당-흑포)내역서(7.11)" xfId="687" xr:uid="{00000000-0005-0000-0000-0000790D0000}"/>
    <cellStyle name="_선정(2)_골재원변경 실정보고-050830_구보종합건설(관당-흑포)내역서(7.11)_관당-흑포)최종내역서(070713)" xfId="688" xr:uid="{00000000-0005-0000-0000-00007A0D0000}"/>
    <cellStyle name="_선정(2)_골재원변경 실정보고-050830_신호등설치(관당-흑포)내역서-070612" xfId="689" xr:uid="{00000000-0005-0000-0000-00007B0D0000}"/>
    <cellStyle name="_선정(2)_골재원변경 실정보고-050830_신호등설치(관당-흑포)내역서-070612_관당-흑포)최종내역서(070713)" xfId="690" xr:uid="{00000000-0005-0000-0000-00007C0D0000}"/>
    <cellStyle name="_선정(2)_구보종합건설(관당-흑포)내역서(7.11)" xfId="691" xr:uid="{00000000-0005-0000-0000-00007D0D0000}"/>
    <cellStyle name="_선정(2)_구보종합건설(관당-흑포)내역서(7.11)_관당-흑포)최종내역서(070713)" xfId="692" xr:uid="{00000000-0005-0000-0000-00007E0D0000}"/>
    <cellStyle name="_선정(2)_선정안(삼산)" xfId="693" xr:uid="{00000000-0005-0000-0000-00007F0D0000}"/>
    <cellStyle name="_선정(2)_선정안(삼산)_골재원변경 실정보고(수정분)" xfId="694" xr:uid="{00000000-0005-0000-0000-0000800D0000}"/>
    <cellStyle name="_선정(2)_선정안(삼산)_골재원변경 실정보고(수정분)_구보종합건설(관당-흑포)내역서(7.11)" xfId="695" xr:uid="{00000000-0005-0000-0000-0000810D0000}"/>
    <cellStyle name="_선정(2)_선정안(삼산)_골재원변경 실정보고(수정분)_구보종합건설(관당-흑포)내역서(7.11)_관당-흑포)최종내역서(070713)" xfId="696" xr:uid="{00000000-0005-0000-0000-0000820D0000}"/>
    <cellStyle name="_선정(2)_선정안(삼산)_골재원변경 실정보고(수정분)_신호등설치(관당-흑포)내역서-070612" xfId="697" xr:uid="{00000000-0005-0000-0000-0000830D0000}"/>
    <cellStyle name="_선정(2)_선정안(삼산)_골재원변경 실정보고(수정분)_신호등설치(관당-흑포)내역서-070612_관당-흑포)최종내역서(070713)" xfId="698" xr:uid="{00000000-0005-0000-0000-0000840D0000}"/>
    <cellStyle name="_선정(2)_선정안(삼산)_골재원변경 실정보고(수정분최종)" xfId="699" xr:uid="{00000000-0005-0000-0000-0000850D0000}"/>
    <cellStyle name="_선정(2)_선정안(삼산)_골재원변경 실정보고(수정분최종)_구보종합건설(관당-흑포)내역서(7.11)" xfId="700" xr:uid="{00000000-0005-0000-0000-0000860D0000}"/>
    <cellStyle name="_선정(2)_선정안(삼산)_골재원변경 실정보고(수정분최종)_구보종합건설(관당-흑포)내역서(7.11)_관당-흑포)최종내역서(070713)" xfId="701" xr:uid="{00000000-0005-0000-0000-0000870D0000}"/>
    <cellStyle name="_선정(2)_선정안(삼산)_골재원변경 실정보고(수정분최종)_신호등설치(관당-흑포)내역서-070612" xfId="702" xr:uid="{00000000-0005-0000-0000-0000880D0000}"/>
    <cellStyle name="_선정(2)_선정안(삼산)_골재원변경 실정보고(수정분최종)_신호등설치(관당-흑포)내역서-070612_관당-흑포)최종내역서(070713)" xfId="703" xr:uid="{00000000-0005-0000-0000-0000890D0000}"/>
    <cellStyle name="_선정(2)_선정안(삼산)_골재원변경 실정보고-050830" xfId="704" xr:uid="{00000000-0005-0000-0000-00008A0D0000}"/>
    <cellStyle name="_선정(2)_선정안(삼산)_골재원변경 실정보고-050830_구보종합건설(관당-흑포)내역서(7.11)" xfId="705" xr:uid="{00000000-0005-0000-0000-00008B0D0000}"/>
    <cellStyle name="_선정(2)_선정안(삼산)_골재원변경 실정보고-050830_구보종합건설(관당-흑포)내역서(7.11)_관당-흑포)최종내역서(070713)" xfId="706" xr:uid="{00000000-0005-0000-0000-00008C0D0000}"/>
    <cellStyle name="_선정(2)_선정안(삼산)_골재원변경 실정보고-050830_신호등설치(관당-흑포)내역서-070612" xfId="707" xr:uid="{00000000-0005-0000-0000-00008D0D0000}"/>
    <cellStyle name="_선정(2)_선정안(삼산)_골재원변경 실정보고-050830_신호등설치(관당-흑포)내역서-070612_관당-흑포)최종내역서(070713)" xfId="708" xr:uid="{00000000-0005-0000-0000-00008E0D0000}"/>
    <cellStyle name="_선정(2)_선정안(삼산)_구보종합건설(관당-흑포)내역서(7.11)" xfId="709" xr:uid="{00000000-0005-0000-0000-00008F0D0000}"/>
    <cellStyle name="_선정(2)_선정안(삼산)_구보종합건설(관당-흑포)내역서(7.11)_관당-흑포)최종내역서(070713)" xfId="710" xr:uid="{00000000-0005-0000-0000-0000900D0000}"/>
    <cellStyle name="_선정(2)_선정안(삼산)_신호등설치(관당-흑포)내역서-070612" xfId="711" xr:uid="{00000000-0005-0000-0000-0000910D0000}"/>
    <cellStyle name="_선정(2)_선정안(삼산)_신호등설치(관당-흑포)내역서-070612_관당-흑포)최종내역서(070713)" xfId="712" xr:uid="{00000000-0005-0000-0000-0000920D0000}"/>
    <cellStyle name="_선정(2)_신호등설치(관당-흑포)내역서-070612" xfId="713" xr:uid="{00000000-0005-0000-0000-0000930D0000}"/>
    <cellStyle name="_선정(2)_신호등설치(관당-흑포)내역서-070612_관당-흑포)최종내역서(070713)" xfId="714" xr:uid="{00000000-0005-0000-0000-0000940D0000}"/>
    <cellStyle name="_선정(2)_추풍령" xfId="715" xr:uid="{00000000-0005-0000-0000-0000950D0000}"/>
    <cellStyle name="_선정(2)_추풍령_골재원변경 실정보고(수정분)" xfId="716" xr:uid="{00000000-0005-0000-0000-0000960D0000}"/>
    <cellStyle name="_선정(2)_추풍령_골재원변경 실정보고(수정분)_구보종합건설(관당-흑포)내역서(7.11)" xfId="717" xr:uid="{00000000-0005-0000-0000-0000970D0000}"/>
    <cellStyle name="_선정(2)_추풍령_골재원변경 실정보고(수정분)_구보종합건설(관당-흑포)내역서(7.11)_관당-흑포)최종내역서(070713)" xfId="718" xr:uid="{00000000-0005-0000-0000-0000980D0000}"/>
    <cellStyle name="_선정(2)_추풍령_골재원변경 실정보고(수정분)_신호등설치(관당-흑포)내역서-070612" xfId="719" xr:uid="{00000000-0005-0000-0000-0000990D0000}"/>
    <cellStyle name="_선정(2)_추풍령_골재원변경 실정보고(수정분)_신호등설치(관당-흑포)내역서-070612_관당-흑포)최종내역서(070713)" xfId="720" xr:uid="{00000000-0005-0000-0000-00009A0D0000}"/>
    <cellStyle name="_선정(2)_추풍령_골재원변경 실정보고(수정분최종)" xfId="721" xr:uid="{00000000-0005-0000-0000-00009B0D0000}"/>
    <cellStyle name="_선정(2)_추풍령_골재원변경 실정보고(수정분최종)_구보종합건설(관당-흑포)내역서(7.11)" xfId="722" xr:uid="{00000000-0005-0000-0000-00009C0D0000}"/>
    <cellStyle name="_선정(2)_추풍령_골재원변경 실정보고(수정분최종)_구보종합건설(관당-흑포)내역서(7.11)_관당-흑포)최종내역서(070713)" xfId="723" xr:uid="{00000000-0005-0000-0000-00009D0D0000}"/>
    <cellStyle name="_선정(2)_추풍령_골재원변경 실정보고(수정분최종)_신호등설치(관당-흑포)내역서-070612" xfId="724" xr:uid="{00000000-0005-0000-0000-00009E0D0000}"/>
    <cellStyle name="_선정(2)_추풍령_골재원변경 실정보고(수정분최종)_신호등설치(관당-흑포)내역서-070612_관당-흑포)최종내역서(070713)" xfId="725" xr:uid="{00000000-0005-0000-0000-00009F0D0000}"/>
    <cellStyle name="_선정(2)_추풍령_골재원변경 실정보고-050830" xfId="726" xr:uid="{00000000-0005-0000-0000-0000A00D0000}"/>
    <cellStyle name="_선정(2)_추풍령_골재원변경 실정보고-050830_구보종합건설(관당-흑포)내역서(7.11)" xfId="727" xr:uid="{00000000-0005-0000-0000-0000A10D0000}"/>
    <cellStyle name="_선정(2)_추풍령_골재원변경 실정보고-050830_구보종합건설(관당-흑포)내역서(7.11)_관당-흑포)최종내역서(070713)" xfId="728" xr:uid="{00000000-0005-0000-0000-0000A20D0000}"/>
    <cellStyle name="_선정(2)_추풍령_골재원변경 실정보고-050830_신호등설치(관당-흑포)내역서-070612" xfId="729" xr:uid="{00000000-0005-0000-0000-0000A30D0000}"/>
    <cellStyle name="_선정(2)_추풍령_골재원변경 실정보고-050830_신호등설치(관당-흑포)내역서-070612_관당-흑포)최종내역서(070713)" xfId="730" xr:uid="{00000000-0005-0000-0000-0000A40D0000}"/>
    <cellStyle name="_선정(2)_추풍령_구보종합건설(관당-흑포)내역서(7.11)" xfId="731" xr:uid="{00000000-0005-0000-0000-0000A50D0000}"/>
    <cellStyle name="_선정(2)_추풍령_구보종합건설(관당-흑포)내역서(7.11)_관당-흑포)최종내역서(070713)" xfId="732" xr:uid="{00000000-0005-0000-0000-0000A60D0000}"/>
    <cellStyle name="_선정(2)_추풍령_신호등설치(관당-흑포)내역서-070612" xfId="733" xr:uid="{00000000-0005-0000-0000-0000A70D0000}"/>
    <cellStyle name="_선정(2)_추풍령_신호등설치(관당-흑포)내역서-070612_관당-흑포)최종내역서(070713)" xfId="734" xr:uid="{00000000-0005-0000-0000-0000A80D0000}"/>
    <cellStyle name="_선정(2)_추풍령-1" xfId="735" xr:uid="{00000000-0005-0000-0000-0000A90D0000}"/>
    <cellStyle name="_선정(2)_추풍령-1_골재원변경 실정보고(수정분)" xfId="736" xr:uid="{00000000-0005-0000-0000-0000AA0D0000}"/>
    <cellStyle name="_선정(2)_추풍령-1_골재원변경 실정보고(수정분)_구보종합건설(관당-흑포)내역서(7.11)" xfId="737" xr:uid="{00000000-0005-0000-0000-0000AB0D0000}"/>
    <cellStyle name="_선정(2)_추풍령-1_골재원변경 실정보고(수정분)_구보종합건설(관당-흑포)내역서(7.11)_관당-흑포)최종내역서(070713)" xfId="738" xr:uid="{00000000-0005-0000-0000-0000AC0D0000}"/>
    <cellStyle name="_선정(2)_추풍령-1_골재원변경 실정보고(수정분)_신호등설치(관당-흑포)내역서-070612" xfId="739" xr:uid="{00000000-0005-0000-0000-0000AD0D0000}"/>
    <cellStyle name="_선정(2)_추풍령-1_골재원변경 실정보고(수정분)_신호등설치(관당-흑포)내역서-070612_관당-흑포)최종내역서(070713)" xfId="740" xr:uid="{00000000-0005-0000-0000-0000AE0D0000}"/>
    <cellStyle name="_선정(2)_추풍령-1_골재원변경 실정보고(수정분최종)" xfId="741" xr:uid="{00000000-0005-0000-0000-0000AF0D0000}"/>
    <cellStyle name="_선정(2)_추풍령-1_골재원변경 실정보고(수정분최종)_구보종합건설(관당-흑포)내역서(7.11)" xfId="742" xr:uid="{00000000-0005-0000-0000-0000B00D0000}"/>
    <cellStyle name="_선정(2)_추풍령-1_골재원변경 실정보고(수정분최종)_구보종합건설(관당-흑포)내역서(7.11)_관당-흑포)최종내역서(070713)" xfId="743" xr:uid="{00000000-0005-0000-0000-0000B10D0000}"/>
    <cellStyle name="_선정(2)_추풍령-1_골재원변경 실정보고(수정분최종)_신호등설치(관당-흑포)내역서-070612" xfId="744" xr:uid="{00000000-0005-0000-0000-0000B20D0000}"/>
    <cellStyle name="_선정(2)_추풍령-1_골재원변경 실정보고(수정분최종)_신호등설치(관당-흑포)내역서-070612_관당-흑포)최종내역서(070713)" xfId="745" xr:uid="{00000000-0005-0000-0000-0000B30D0000}"/>
    <cellStyle name="_선정(2)_추풍령-1_골재원변경 실정보고-050830" xfId="746" xr:uid="{00000000-0005-0000-0000-0000B40D0000}"/>
    <cellStyle name="_선정(2)_추풍령-1_골재원변경 실정보고-050830_구보종합건설(관당-흑포)내역서(7.11)" xfId="747" xr:uid="{00000000-0005-0000-0000-0000B50D0000}"/>
    <cellStyle name="_선정(2)_추풍령-1_골재원변경 실정보고-050830_구보종합건설(관당-흑포)내역서(7.11)_관당-흑포)최종내역서(070713)" xfId="748" xr:uid="{00000000-0005-0000-0000-0000B60D0000}"/>
    <cellStyle name="_선정(2)_추풍령-1_골재원변경 실정보고-050830_신호등설치(관당-흑포)내역서-070612" xfId="749" xr:uid="{00000000-0005-0000-0000-0000B70D0000}"/>
    <cellStyle name="_선정(2)_추풍령-1_골재원변경 실정보고-050830_신호등설치(관당-흑포)내역서-070612_관당-흑포)최종내역서(070713)" xfId="750" xr:uid="{00000000-0005-0000-0000-0000B80D0000}"/>
    <cellStyle name="_선정(2)_추풍령-1_구보종합건설(관당-흑포)내역서(7.11)" xfId="751" xr:uid="{00000000-0005-0000-0000-0000B90D0000}"/>
    <cellStyle name="_선정(2)_추풍령-1_구보종합건설(관당-흑포)내역서(7.11)_관당-흑포)최종내역서(070713)" xfId="752" xr:uid="{00000000-0005-0000-0000-0000BA0D0000}"/>
    <cellStyle name="_선정(2)_추풍령-1_신호등설치(관당-흑포)내역서-070612" xfId="753" xr:uid="{00000000-0005-0000-0000-0000BB0D0000}"/>
    <cellStyle name="_선정(2)_추풍령-1_신호등설치(관당-흑포)내역서-070612_관당-흑포)최종내역서(070713)" xfId="754" xr:uid="{00000000-0005-0000-0000-0000BC0D0000}"/>
    <cellStyle name="_선정(3)" xfId="755" xr:uid="{00000000-0005-0000-0000-0000BD0D0000}"/>
    <cellStyle name="_선정(3)_골재원변경 실정보고(수정분)" xfId="756" xr:uid="{00000000-0005-0000-0000-0000BE0D0000}"/>
    <cellStyle name="_선정(3)_골재원변경 실정보고(수정분)_구보종합건설(관당-흑포)내역서(7.11)" xfId="757" xr:uid="{00000000-0005-0000-0000-0000BF0D0000}"/>
    <cellStyle name="_선정(3)_골재원변경 실정보고(수정분)_구보종합건설(관당-흑포)내역서(7.11)_관당-흑포)최종내역서(070713)" xfId="758" xr:uid="{00000000-0005-0000-0000-0000C00D0000}"/>
    <cellStyle name="_선정(3)_골재원변경 실정보고(수정분)_신호등설치(관당-흑포)내역서-070612" xfId="759" xr:uid="{00000000-0005-0000-0000-0000C10D0000}"/>
    <cellStyle name="_선정(3)_골재원변경 실정보고(수정분)_신호등설치(관당-흑포)내역서-070612_관당-흑포)최종내역서(070713)" xfId="760" xr:uid="{00000000-0005-0000-0000-0000C20D0000}"/>
    <cellStyle name="_선정(3)_골재원변경 실정보고(수정분최종)" xfId="761" xr:uid="{00000000-0005-0000-0000-0000C30D0000}"/>
    <cellStyle name="_선정(3)_골재원변경 실정보고(수정분최종)_구보종합건설(관당-흑포)내역서(7.11)" xfId="762" xr:uid="{00000000-0005-0000-0000-0000C40D0000}"/>
    <cellStyle name="_선정(3)_골재원변경 실정보고(수정분최종)_구보종합건설(관당-흑포)내역서(7.11)_관당-흑포)최종내역서(070713)" xfId="763" xr:uid="{00000000-0005-0000-0000-0000C50D0000}"/>
    <cellStyle name="_선정(3)_골재원변경 실정보고(수정분최종)_신호등설치(관당-흑포)내역서-070612" xfId="764" xr:uid="{00000000-0005-0000-0000-0000C60D0000}"/>
    <cellStyle name="_선정(3)_골재원변경 실정보고(수정분최종)_신호등설치(관당-흑포)내역서-070612_관당-흑포)최종내역서(070713)" xfId="765" xr:uid="{00000000-0005-0000-0000-0000C70D0000}"/>
    <cellStyle name="_선정(3)_골재원변경 실정보고-050830" xfId="766" xr:uid="{00000000-0005-0000-0000-0000C80D0000}"/>
    <cellStyle name="_선정(3)_골재원변경 실정보고-050830_구보종합건설(관당-흑포)내역서(7.11)" xfId="767" xr:uid="{00000000-0005-0000-0000-0000C90D0000}"/>
    <cellStyle name="_선정(3)_골재원변경 실정보고-050830_구보종합건설(관당-흑포)내역서(7.11)_관당-흑포)최종내역서(070713)" xfId="768" xr:uid="{00000000-0005-0000-0000-0000CA0D0000}"/>
    <cellStyle name="_선정(3)_골재원변경 실정보고-050830_신호등설치(관당-흑포)내역서-070612" xfId="769" xr:uid="{00000000-0005-0000-0000-0000CB0D0000}"/>
    <cellStyle name="_선정(3)_골재원변경 실정보고-050830_신호등설치(관당-흑포)내역서-070612_관당-흑포)최종내역서(070713)" xfId="770" xr:uid="{00000000-0005-0000-0000-0000CC0D0000}"/>
    <cellStyle name="_선정(3)_구보종합건설(관당-흑포)내역서(7.11)" xfId="771" xr:uid="{00000000-0005-0000-0000-0000CD0D0000}"/>
    <cellStyle name="_선정(3)_구보종합건설(관당-흑포)내역서(7.11)_관당-흑포)최종내역서(070713)" xfId="772" xr:uid="{00000000-0005-0000-0000-0000CE0D0000}"/>
    <cellStyle name="_선정(3)_선정안(삼산)" xfId="773" xr:uid="{00000000-0005-0000-0000-0000CF0D0000}"/>
    <cellStyle name="_선정(3)_선정안(삼산)_골재원변경 실정보고(수정분)" xfId="774" xr:uid="{00000000-0005-0000-0000-0000D00D0000}"/>
    <cellStyle name="_선정(3)_선정안(삼산)_골재원변경 실정보고(수정분)_구보종합건설(관당-흑포)내역서(7.11)" xfId="775" xr:uid="{00000000-0005-0000-0000-0000D10D0000}"/>
    <cellStyle name="_선정(3)_선정안(삼산)_골재원변경 실정보고(수정분)_구보종합건설(관당-흑포)내역서(7.11)_관당-흑포)최종내역서(070713)" xfId="776" xr:uid="{00000000-0005-0000-0000-0000D20D0000}"/>
    <cellStyle name="_선정(3)_선정안(삼산)_골재원변경 실정보고(수정분)_신호등설치(관당-흑포)내역서-070612" xfId="777" xr:uid="{00000000-0005-0000-0000-0000D30D0000}"/>
    <cellStyle name="_선정(3)_선정안(삼산)_골재원변경 실정보고(수정분)_신호등설치(관당-흑포)내역서-070612_관당-흑포)최종내역서(070713)" xfId="778" xr:uid="{00000000-0005-0000-0000-0000D40D0000}"/>
    <cellStyle name="_선정(3)_선정안(삼산)_골재원변경 실정보고(수정분최종)" xfId="779" xr:uid="{00000000-0005-0000-0000-0000D50D0000}"/>
    <cellStyle name="_선정(3)_선정안(삼산)_골재원변경 실정보고(수정분최종)_구보종합건설(관당-흑포)내역서(7.11)" xfId="780" xr:uid="{00000000-0005-0000-0000-0000D60D0000}"/>
    <cellStyle name="_선정(3)_선정안(삼산)_골재원변경 실정보고(수정분최종)_구보종합건설(관당-흑포)내역서(7.11)_관당-흑포)최종내역서(070713)" xfId="781" xr:uid="{00000000-0005-0000-0000-0000D70D0000}"/>
    <cellStyle name="_선정(3)_선정안(삼산)_골재원변경 실정보고(수정분최종)_신호등설치(관당-흑포)내역서-070612" xfId="782" xr:uid="{00000000-0005-0000-0000-0000D80D0000}"/>
    <cellStyle name="_선정(3)_선정안(삼산)_골재원변경 실정보고(수정분최종)_신호등설치(관당-흑포)내역서-070612_관당-흑포)최종내역서(070713)" xfId="783" xr:uid="{00000000-0005-0000-0000-0000D90D0000}"/>
    <cellStyle name="_선정(3)_선정안(삼산)_골재원변경 실정보고-050830" xfId="784" xr:uid="{00000000-0005-0000-0000-0000DA0D0000}"/>
    <cellStyle name="_선정(3)_선정안(삼산)_골재원변경 실정보고-050830_구보종합건설(관당-흑포)내역서(7.11)" xfId="785" xr:uid="{00000000-0005-0000-0000-0000DB0D0000}"/>
    <cellStyle name="_선정(3)_선정안(삼산)_골재원변경 실정보고-050830_구보종합건설(관당-흑포)내역서(7.11)_관당-흑포)최종내역서(070713)" xfId="786" xr:uid="{00000000-0005-0000-0000-0000DC0D0000}"/>
    <cellStyle name="_선정(3)_선정안(삼산)_골재원변경 실정보고-050830_신호등설치(관당-흑포)내역서-070612" xfId="787" xr:uid="{00000000-0005-0000-0000-0000DD0D0000}"/>
    <cellStyle name="_선정(3)_선정안(삼산)_골재원변경 실정보고-050830_신호등설치(관당-흑포)내역서-070612_관당-흑포)최종내역서(070713)" xfId="788" xr:uid="{00000000-0005-0000-0000-0000DE0D0000}"/>
    <cellStyle name="_선정(3)_선정안(삼산)_구보종합건설(관당-흑포)내역서(7.11)" xfId="789" xr:uid="{00000000-0005-0000-0000-0000DF0D0000}"/>
    <cellStyle name="_선정(3)_선정안(삼산)_구보종합건설(관당-흑포)내역서(7.11)_관당-흑포)최종내역서(070713)" xfId="790" xr:uid="{00000000-0005-0000-0000-0000E00D0000}"/>
    <cellStyle name="_선정(3)_선정안(삼산)_신호등설치(관당-흑포)내역서-070612" xfId="791" xr:uid="{00000000-0005-0000-0000-0000E10D0000}"/>
    <cellStyle name="_선정(3)_선정안(삼산)_신호등설치(관당-흑포)내역서-070612_관당-흑포)최종내역서(070713)" xfId="792" xr:uid="{00000000-0005-0000-0000-0000E20D0000}"/>
    <cellStyle name="_선정(3)_신호등설치(관당-흑포)내역서-070612" xfId="793" xr:uid="{00000000-0005-0000-0000-0000E30D0000}"/>
    <cellStyle name="_선정(3)_신호등설치(관당-흑포)내역서-070612_관당-흑포)최종내역서(070713)" xfId="794" xr:uid="{00000000-0005-0000-0000-0000E40D0000}"/>
    <cellStyle name="_선정(3)_추풍령" xfId="795" xr:uid="{00000000-0005-0000-0000-0000E50D0000}"/>
    <cellStyle name="_선정(3)_추풍령_골재원변경 실정보고(수정분)" xfId="796" xr:uid="{00000000-0005-0000-0000-0000E60D0000}"/>
    <cellStyle name="_선정(3)_추풍령_골재원변경 실정보고(수정분)_구보종합건설(관당-흑포)내역서(7.11)" xfId="797" xr:uid="{00000000-0005-0000-0000-0000E70D0000}"/>
    <cellStyle name="_선정(3)_추풍령_골재원변경 실정보고(수정분)_구보종합건설(관당-흑포)내역서(7.11)_관당-흑포)최종내역서(070713)" xfId="798" xr:uid="{00000000-0005-0000-0000-0000E80D0000}"/>
    <cellStyle name="_선정(3)_추풍령_골재원변경 실정보고(수정분)_신호등설치(관당-흑포)내역서-070612" xfId="799" xr:uid="{00000000-0005-0000-0000-0000E90D0000}"/>
    <cellStyle name="_선정(3)_추풍령_골재원변경 실정보고(수정분)_신호등설치(관당-흑포)내역서-070612_관당-흑포)최종내역서(070713)" xfId="800" xr:uid="{00000000-0005-0000-0000-0000EA0D0000}"/>
    <cellStyle name="_선정(3)_추풍령_골재원변경 실정보고(수정분최종)" xfId="801" xr:uid="{00000000-0005-0000-0000-0000EB0D0000}"/>
    <cellStyle name="_선정(3)_추풍령_골재원변경 실정보고(수정분최종)_구보종합건설(관당-흑포)내역서(7.11)" xfId="802" xr:uid="{00000000-0005-0000-0000-0000EC0D0000}"/>
    <cellStyle name="_선정(3)_추풍령_골재원변경 실정보고(수정분최종)_구보종합건설(관당-흑포)내역서(7.11)_관당-흑포)최종내역서(070713)" xfId="803" xr:uid="{00000000-0005-0000-0000-0000ED0D0000}"/>
    <cellStyle name="_선정(3)_추풍령_골재원변경 실정보고(수정분최종)_신호등설치(관당-흑포)내역서-070612" xfId="804" xr:uid="{00000000-0005-0000-0000-0000EE0D0000}"/>
    <cellStyle name="_선정(3)_추풍령_골재원변경 실정보고(수정분최종)_신호등설치(관당-흑포)내역서-070612_관당-흑포)최종내역서(070713)" xfId="805" xr:uid="{00000000-0005-0000-0000-0000EF0D0000}"/>
    <cellStyle name="_선정(3)_추풍령_골재원변경 실정보고-050830" xfId="806" xr:uid="{00000000-0005-0000-0000-0000F00D0000}"/>
    <cellStyle name="_선정(3)_추풍령_골재원변경 실정보고-050830_구보종합건설(관당-흑포)내역서(7.11)" xfId="807" xr:uid="{00000000-0005-0000-0000-0000F10D0000}"/>
    <cellStyle name="_선정(3)_추풍령_골재원변경 실정보고-050830_구보종합건설(관당-흑포)내역서(7.11)_관당-흑포)최종내역서(070713)" xfId="808" xr:uid="{00000000-0005-0000-0000-0000F20D0000}"/>
    <cellStyle name="_선정(3)_추풍령_골재원변경 실정보고-050830_신호등설치(관당-흑포)내역서-070612" xfId="809" xr:uid="{00000000-0005-0000-0000-0000F30D0000}"/>
    <cellStyle name="_선정(3)_추풍령_골재원변경 실정보고-050830_신호등설치(관당-흑포)내역서-070612_관당-흑포)최종내역서(070713)" xfId="810" xr:uid="{00000000-0005-0000-0000-0000F40D0000}"/>
    <cellStyle name="_선정(3)_추풍령_구보종합건설(관당-흑포)내역서(7.11)" xfId="811" xr:uid="{00000000-0005-0000-0000-0000F50D0000}"/>
    <cellStyle name="_선정(3)_추풍령_구보종합건설(관당-흑포)내역서(7.11)_관당-흑포)최종내역서(070713)" xfId="812" xr:uid="{00000000-0005-0000-0000-0000F60D0000}"/>
    <cellStyle name="_선정(3)_추풍령_신호등설치(관당-흑포)내역서-070612" xfId="813" xr:uid="{00000000-0005-0000-0000-0000F70D0000}"/>
    <cellStyle name="_선정(3)_추풍령_신호등설치(관당-흑포)내역서-070612_관당-흑포)최종내역서(070713)" xfId="814" xr:uid="{00000000-0005-0000-0000-0000F80D0000}"/>
    <cellStyle name="_선정(3)_추풍령-1" xfId="815" xr:uid="{00000000-0005-0000-0000-0000F90D0000}"/>
    <cellStyle name="_선정(3)_추풍령-1_골재원변경 실정보고(수정분)" xfId="816" xr:uid="{00000000-0005-0000-0000-0000FA0D0000}"/>
    <cellStyle name="_선정(3)_추풍령-1_골재원변경 실정보고(수정분)_구보종합건설(관당-흑포)내역서(7.11)" xfId="817" xr:uid="{00000000-0005-0000-0000-0000FB0D0000}"/>
    <cellStyle name="_선정(3)_추풍령-1_골재원변경 실정보고(수정분)_구보종합건설(관당-흑포)내역서(7.11)_관당-흑포)최종내역서(070713)" xfId="818" xr:uid="{00000000-0005-0000-0000-0000FC0D0000}"/>
    <cellStyle name="_선정(3)_추풍령-1_골재원변경 실정보고(수정분)_신호등설치(관당-흑포)내역서-070612" xfId="819" xr:uid="{00000000-0005-0000-0000-0000FD0D0000}"/>
    <cellStyle name="_선정(3)_추풍령-1_골재원변경 실정보고(수정분)_신호등설치(관당-흑포)내역서-070612_관당-흑포)최종내역서(070713)" xfId="820" xr:uid="{00000000-0005-0000-0000-0000FE0D0000}"/>
    <cellStyle name="_선정(3)_추풍령-1_골재원변경 실정보고(수정분최종)" xfId="821" xr:uid="{00000000-0005-0000-0000-0000FF0D0000}"/>
    <cellStyle name="_선정(3)_추풍령-1_골재원변경 실정보고(수정분최종)_구보종합건설(관당-흑포)내역서(7.11)" xfId="822" xr:uid="{00000000-0005-0000-0000-0000000E0000}"/>
    <cellStyle name="_선정(3)_추풍령-1_골재원변경 실정보고(수정분최종)_구보종합건설(관당-흑포)내역서(7.11)_관당-흑포)최종내역서(070713)" xfId="823" xr:uid="{00000000-0005-0000-0000-0000010E0000}"/>
    <cellStyle name="_선정(3)_추풍령-1_골재원변경 실정보고(수정분최종)_신호등설치(관당-흑포)내역서-070612" xfId="824" xr:uid="{00000000-0005-0000-0000-0000020E0000}"/>
    <cellStyle name="_선정(3)_추풍령-1_골재원변경 실정보고(수정분최종)_신호등설치(관당-흑포)내역서-070612_관당-흑포)최종내역서(070713)" xfId="825" xr:uid="{00000000-0005-0000-0000-0000030E0000}"/>
    <cellStyle name="_선정(3)_추풍령-1_골재원변경 실정보고-050830" xfId="826" xr:uid="{00000000-0005-0000-0000-0000040E0000}"/>
    <cellStyle name="_선정(3)_추풍령-1_골재원변경 실정보고-050830_구보종합건설(관당-흑포)내역서(7.11)" xfId="827" xr:uid="{00000000-0005-0000-0000-0000050E0000}"/>
    <cellStyle name="_선정(3)_추풍령-1_골재원변경 실정보고-050830_구보종합건설(관당-흑포)내역서(7.11)_관당-흑포)최종내역서(070713)" xfId="828" xr:uid="{00000000-0005-0000-0000-0000060E0000}"/>
    <cellStyle name="_선정(3)_추풍령-1_골재원변경 실정보고-050830_신호등설치(관당-흑포)내역서-070612" xfId="829" xr:uid="{00000000-0005-0000-0000-0000070E0000}"/>
    <cellStyle name="_선정(3)_추풍령-1_골재원변경 실정보고-050830_신호등설치(관당-흑포)내역서-070612_관당-흑포)최종내역서(070713)" xfId="830" xr:uid="{00000000-0005-0000-0000-0000080E0000}"/>
    <cellStyle name="_선정(3)_추풍령-1_구보종합건설(관당-흑포)내역서(7.11)" xfId="831" xr:uid="{00000000-0005-0000-0000-0000090E0000}"/>
    <cellStyle name="_선정(3)_추풍령-1_구보종합건설(관당-흑포)내역서(7.11)_관당-흑포)최종내역서(070713)" xfId="832" xr:uid="{00000000-0005-0000-0000-00000A0E0000}"/>
    <cellStyle name="_선정(3)_추풍령-1_신호등설치(관당-흑포)내역서-070612" xfId="833" xr:uid="{00000000-0005-0000-0000-00000B0E0000}"/>
    <cellStyle name="_선정(3)_추풍령-1_신호등설치(관당-흑포)내역서-070612_관당-흑포)최종내역서(070713)" xfId="834" xr:uid="{00000000-0005-0000-0000-00000C0E0000}"/>
    <cellStyle name="_선정(4)" xfId="835" xr:uid="{00000000-0005-0000-0000-00000D0E0000}"/>
    <cellStyle name="_선정(4)_골재원변경 실정보고(수정분)" xfId="836" xr:uid="{00000000-0005-0000-0000-00000E0E0000}"/>
    <cellStyle name="_선정(4)_골재원변경 실정보고(수정분)_구보종합건설(관당-흑포)내역서(7.11)" xfId="837" xr:uid="{00000000-0005-0000-0000-00000F0E0000}"/>
    <cellStyle name="_선정(4)_골재원변경 실정보고(수정분)_구보종합건설(관당-흑포)내역서(7.11)_관당-흑포)최종내역서(070713)" xfId="838" xr:uid="{00000000-0005-0000-0000-0000100E0000}"/>
    <cellStyle name="_선정(4)_골재원변경 실정보고(수정분)_신호등설치(관당-흑포)내역서-070612" xfId="839" xr:uid="{00000000-0005-0000-0000-0000110E0000}"/>
    <cellStyle name="_선정(4)_골재원변경 실정보고(수정분)_신호등설치(관당-흑포)내역서-070612_관당-흑포)최종내역서(070713)" xfId="840" xr:uid="{00000000-0005-0000-0000-0000120E0000}"/>
    <cellStyle name="_선정(4)_골재원변경 실정보고(수정분최종)" xfId="841" xr:uid="{00000000-0005-0000-0000-0000130E0000}"/>
    <cellStyle name="_선정(4)_골재원변경 실정보고(수정분최종)_구보종합건설(관당-흑포)내역서(7.11)" xfId="842" xr:uid="{00000000-0005-0000-0000-0000140E0000}"/>
    <cellStyle name="_선정(4)_골재원변경 실정보고(수정분최종)_구보종합건설(관당-흑포)내역서(7.11)_관당-흑포)최종내역서(070713)" xfId="843" xr:uid="{00000000-0005-0000-0000-0000150E0000}"/>
    <cellStyle name="_선정(4)_골재원변경 실정보고(수정분최종)_신호등설치(관당-흑포)내역서-070612" xfId="844" xr:uid="{00000000-0005-0000-0000-0000160E0000}"/>
    <cellStyle name="_선정(4)_골재원변경 실정보고(수정분최종)_신호등설치(관당-흑포)내역서-070612_관당-흑포)최종내역서(070713)" xfId="845" xr:uid="{00000000-0005-0000-0000-0000170E0000}"/>
    <cellStyle name="_선정(4)_골재원변경 실정보고-050830" xfId="846" xr:uid="{00000000-0005-0000-0000-0000180E0000}"/>
    <cellStyle name="_선정(4)_골재원변경 실정보고-050830_구보종합건설(관당-흑포)내역서(7.11)" xfId="847" xr:uid="{00000000-0005-0000-0000-0000190E0000}"/>
    <cellStyle name="_선정(4)_골재원변경 실정보고-050830_구보종합건설(관당-흑포)내역서(7.11)_관당-흑포)최종내역서(070713)" xfId="848" xr:uid="{00000000-0005-0000-0000-00001A0E0000}"/>
    <cellStyle name="_선정(4)_골재원변경 실정보고-050830_신호등설치(관당-흑포)내역서-070612" xfId="849" xr:uid="{00000000-0005-0000-0000-00001B0E0000}"/>
    <cellStyle name="_선정(4)_골재원변경 실정보고-050830_신호등설치(관당-흑포)내역서-070612_관당-흑포)최종내역서(070713)" xfId="850" xr:uid="{00000000-0005-0000-0000-00001C0E0000}"/>
    <cellStyle name="_선정(4)_구보종합건설(관당-흑포)내역서(7.11)" xfId="851" xr:uid="{00000000-0005-0000-0000-00001D0E0000}"/>
    <cellStyle name="_선정(4)_구보종합건설(관당-흑포)내역서(7.11)_관당-흑포)최종내역서(070713)" xfId="852" xr:uid="{00000000-0005-0000-0000-00001E0E0000}"/>
    <cellStyle name="_선정(4)_선정안(삼산)" xfId="853" xr:uid="{00000000-0005-0000-0000-00001F0E0000}"/>
    <cellStyle name="_선정(4)_선정안(삼산)_골재원변경 실정보고(수정분)" xfId="854" xr:uid="{00000000-0005-0000-0000-0000200E0000}"/>
    <cellStyle name="_선정(4)_선정안(삼산)_골재원변경 실정보고(수정분)_구보종합건설(관당-흑포)내역서(7.11)" xfId="855" xr:uid="{00000000-0005-0000-0000-0000210E0000}"/>
    <cellStyle name="_선정(4)_선정안(삼산)_골재원변경 실정보고(수정분)_구보종합건설(관당-흑포)내역서(7.11)_관당-흑포)최종내역서(070713)" xfId="856" xr:uid="{00000000-0005-0000-0000-0000220E0000}"/>
    <cellStyle name="_선정(4)_선정안(삼산)_골재원변경 실정보고(수정분)_신호등설치(관당-흑포)내역서-070612" xfId="857" xr:uid="{00000000-0005-0000-0000-0000230E0000}"/>
    <cellStyle name="_선정(4)_선정안(삼산)_골재원변경 실정보고(수정분)_신호등설치(관당-흑포)내역서-070612_관당-흑포)최종내역서(070713)" xfId="858" xr:uid="{00000000-0005-0000-0000-0000240E0000}"/>
    <cellStyle name="_선정(4)_선정안(삼산)_골재원변경 실정보고(수정분최종)" xfId="859" xr:uid="{00000000-0005-0000-0000-0000250E0000}"/>
    <cellStyle name="_선정(4)_선정안(삼산)_골재원변경 실정보고(수정분최종)_구보종합건설(관당-흑포)내역서(7.11)" xfId="860" xr:uid="{00000000-0005-0000-0000-0000260E0000}"/>
    <cellStyle name="_선정(4)_선정안(삼산)_골재원변경 실정보고(수정분최종)_구보종합건설(관당-흑포)내역서(7.11)_관당-흑포)최종내역서(070713)" xfId="861" xr:uid="{00000000-0005-0000-0000-0000270E0000}"/>
    <cellStyle name="_선정(4)_선정안(삼산)_골재원변경 실정보고(수정분최종)_신호등설치(관당-흑포)내역서-070612" xfId="862" xr:uid="{00000000-0005-0000-0000-0000280E0000}"/>
    <cellStyle name="_선정(4)_선정안(삼산)_골재원변경 실정보고(수정분최종)_신호등설치(관당-흑포)내역서-070612_관당-흑포)최종내역서(070713)" xfId="863" xr:uid="{00000000-0005-0000-0000-0000290E0000}"/>
    <cellStyle name="_선정(4)_선정안(삼산)_골재원변경 실정보고-050830" xfId="864" xr:uid="{00000000-0005-0000-0000-00002A0E0000}"/>
    <cellStyle name="_선정(4)_선정안(삼산)_골재원변경 실정보고-050830_구보종합건설(관당-흑포)내역서(7.11)" xfId="865" xr:uid="{00000000-0005-0000-0000-00002B0E0000}"/>
    <cellStyle name="_선정(4)_선정안(삼산)_골재원변경 실정보고-050830_구보종합건설(관당-흑포)내역서(7.11)_관당-흑포)최종내역서(070713)" xfId="866" xr:uid="{00000000-0005-0000-0000-00002C0E0000}"/>
    <cellStyle name="_선정(4)_선정안(삼산)_골재원변경 실정보고-050830_신호등설치(관당-흑포)내역서-070612" xfId="867" xr:uid="{00000000-0005-0000-0000-00002D0E0000}"/>
    <cellStyle name="_선정(4)_선정안(삼산)_골재원변경 실정보고-050830_신호등설치(관당-흑포)내역서-070612_관당-흑포)최종내역서(070713)" xfId="868" xr:uid="{00000000-0005-0000-0000-00002E0E0000}"/>
    <cellStyle name="_선정(4)_선정안(삼산)_구보종합건설(관당-흑포)내역서(7.11)" xfId="869" xr:uid="{00000000-0005-0000-0000-00002F0E0000}"/>
    <cellStyle name="_선정(4)_선정안(삼산)_구보종합건설(관당-흑포)내역서(7.11)_관당-흑포)최종내역서(070713)" xfId="870" xr:uid="{00000000-0005-0000-0000-0000300E0000}"/>
    <cellStyle name="_선정(4)_선정안(삼산)_신호등설치(관당-흑포)내역서-070612" xfId="871" xr:uid="{00000000-0005-0000-0000-0000310E0000}"/>
    <cellStyle name="_선정(4)_선정안(삼산)_신호등설치(관당-흑포)내역서-070612_관당-흑포)최종내역서(070713)" xfId="872" xr:uid="{00000000-0005-0000-0000-0000320E0000}"/>
    <cellStyle name="_선정(4)_신호등설치(관당-흑포)내역서-070612" xfId="873" xr:uid="{00000000-0005-0000-0000-0000330E0000}"/>
    <cellStyle name="_선정(4)_신호등설치(관당-흑포)내역서-070612_관당-흑포)최종내역서(070713)" xfId="874" xr:uid="{00000000-0005-0000-0000-0000340E0000}"/>
    <cellStyle name="_선정(4)_추풍령" xfId="875" xr:uid="{00000000-0005-0000-0000-0000350E0000}"/>
    <cellStyle name="_선정(4)_추풍령_골재원변경 실정보고(수정분)" xfId="876" xr:uid="{00000000-0005-0000-0000-0000360E0000}"/>
    <cellStyle name="_선정(4)_추풍령_골재원변경 실정보고(수정분)_구보종합건설(관당-흑포)내역서(7.11)" xfId="877" xr:uid="{00000000-0005-0000-0000-0000370E0000}"/>
    <cellStyle name="_선정(4)_추풍령_골재원변경 실정보고(수정분)_구보종합건설(관당-흑포)내역서(7.11)_관당-흑포)최종내역서(070713)" xfId="878" xr:uid="{00000000-0005-0000-0000-0000380E0000}"/>
    <cellStyle name="_선정(4)_추풍령_골재원변경 실정보고(수정분)_신호등설치(관당-흑포)내역서-070612" xfId="879" xr:uid="{00000000-0005-0000-0000-0000390E0000}"/>
    <cellStyle name="_선정(4)_추풍령_골재원변경 실정보고(수정분)_신호등설치(관당-흑포)내역서-070612_관당-흑포)최종내역서(070713)" xfId="880" xr:uid="{00000000-0005-0000-0000-00003A0E0000}"/>
    <cellStyle name="_선정(4)_추풍령_골재원변경 실정보고(수정분최종)" xfId="881" xr:uid="{00000000-0005-0000-0000-00003B0E0000}"/>
    <cellStyle name="_선정(4)_추풍령_골재원변경 실정보고(수정분최종)_구보종합건설(관당-흑포)내역서(7.11)" xfId="882" xr:uid="{00000000-0005-0000-0000-00003C0E0000}"/>
    <cellStyle name="_선정(4)_추풍령_골재원변경 실정보고(수정분최종)_구보종합건설(관당-흑포)내역서(7.11)_관당-흑포)최종내역서(070713)" xfId="883" xr:uid="{00000000-0005-0000-0000-00003D0E0000}"/>
    <cellStyle name="_선정(4)_추풍령_골재원변경 실정보고(수정분최종)_신호등설치(관당-흑포)내역서-070612" xfId="884" xr:uid="{00000000-0005-0000-0000-00003E0E0000}"/>
    <cellStyle name="_선정(4)_추풍령_골재원변경 실정보고(수정분최종)_신호등설치(관당-흑포)내역서-070612_관당-흑포)최종내역서(070713)" xfId="885" xr:uid="{00000000-0005-0000-0000-00003F0E0000}"/>
    <cellStyle name="_선정(4)_추풍령_골재원변경 실정보고-050830" xfId="886" xr:uid="{00000000-0005-0000-0000-0000400E0000}"/>
    <cellStyle name="_선정(4)_추풍령_골재원변경 실정보고-050830_구보종합건설(관당-흑포)내역서(7.11)" xfId="887" xr:uid="{00000000-0005-0000-0000-0000410E0000}"/>
    <cellStyle name="_선정(4)_추풍령_골재원변경 실정보고-050830_구보종합건설(관당-흑포)내역서(7.11)_관당-흑포)최종내역서(070713)" xfId="888" xr:uid="{00000000-0005-0000-0000-0000420E0000}"/>
    <cellStyle name="_선정(4)_추풍령_골재원변경 실정보고-050830_신호등설치(관당-흑포)내역서-070612" xfId="889" xr:uid="{00000000-0005-0000-0000-0000430E0000}"/>
    <cellStyle name="_선정(4)_추풍령_골재원변경 실정보고-050830_신호등설치(관당-흑포)내역서-070612_관당-흑포)최종내역서(070713)" xfId="890" xr:uid="{00000000-0005-0000-0000-0000440E0000}"/>
    <cellStyle name="_선정(4)_추풍령_구보종합건설(관당-흑포)내역서(7.11)" xfId="891" xr:uid="{00000000-0005-0000-0000-0000450E0000}"/>
    <cellStyle name="_선정(4)_추풍령_구보종합건설(관당-흑포)내역서(7.11)_관당-흑포)최종내역서(070713)" xfId="892" xr:uid="{00000000-0005-0000-0000-0000460E0000}"/>
    <cellStyle name="_선정(4)_추풍령_신호등설치(관당-흑포)내역서-070612" xfId="893" xr:uid="{00000000-0005-0000-0000-0000470E0000}"/>
    <cellStyle name="_선정(4)_추풍령_신호등설치(관당-흑포)내역서-070612_관당-흑포)최종내역서(070713)" xfId="894" xr:uid="{00000000-0005-0000-0000-0000480E0000}"/>
    <cellStyle name="_선정(4)_추풍령-1" xfId="895" xr:uid="{00000000-0005-0000-0000-0000490E0000}"/>
    <cellStyle name="_선정(4)_추풍령-1_골재원변경 실정보고(수정분)" xfId="896" xr:uid="{00000000-0005-0000-0000-00004A0E0000}"/>
    <cellStyle name="_선정(4)_추풍령-1_골재원변경 실정보고(수정분)_구보종합건설(관당-흑포)내역서(7.11)" xfId="897" xr:uid="{00000000-0005-0000-0000-00004B0E0000}"/>
    <cellStyle name="_선정(4)_추풍령-1_골재원변경 실정보고(수정분)_구보종합건설(관당-흑포)내역서(7.11)_관당-흑포)최종내역서(070713)" xfId="898" xr:uid="{00000000-0005-0000-0000-00004C0E0000}"/>
    <cellStyle name="_선정(4)_추풍령-1_골재원변경 실정보고(수정분)_신호등설치(관당-흑포)내역서-070612" xfId="899" xr:uid="{00000000-0005-0000-0000-00004D0E0000}"/>
    <cellStyle name="_선정(4)_추풍령-1_골재원변경 실정보고(수정분)_신호등설치(관당-흑포)내역서-070612_관당-흑포)최종내역서(070713)" xfId="900" xr:uid="{00000000-0005-0000-0000-00004E0E0000}"/>
    <cellStyle name="_선정(4)_추풍령-1_골재원변경 실정보고(수정분최종)" xfId="901" xr:uid="{00000000-0005-0000-0000-00004F0E0000}"/>
    <cellStyle name="_선정(4)_추풍령-1_골재원변경 실정보고(수정분최종)_구보종합건설(관당-흑포)내역서(7.11)" xfId="902" xr:uid="{00000000-0005-0000-0000-0000500E0000}"/>
    <cellStyle name="_선정(4)_추풍령-1_골재원변경 실정보고(수정분최종)_구보종합건설(관당-흑포)내역서(7.11)_관당-흑포)최종내역서(070713)" xfId="903" xr:uid="{00000000-0005-0000-0000-0000510E0000}"/>
    <cellStyle name="_선정(4)_추풍령-1_골재원변경 실정보고(수정분최종)_신호등설치(관당-흑포)내역서-070612" xfId="904" xr:uid="{00000000-0005-0000-0000-0000520E0000}"/>
    <cellStyle name="_선정(4)_추풍령-1_골재원변경 실정보고(수정분최종)_신호등설치(관당-흑포)내역서-070612_관당-흑포)최종내역서(070713)" xfId="905" xr:uid="{00000000-0005-0000-0000-0000530E0000}"/>
    <cellStyle name="_선정(4)_추풍령-1_골재원변경 실정보고-050830" xfId="906" xr:uid="{00000000-0005-0000-0000-0000540E0000}"/>
    <cellStyle name="_선정(4)_추풍령-1_골재원변경 실정보고-050830_구보종합건설(관당-흑포)내역서(7.11)" xfId="907" xr:uid="{00000000-0005-0000-0000-0000550E0000}"/>
    <cellStyle name="_선정(4)_추풍령-1_골재원변경 실정보고-050830_구보종합건설(관당-흑포)내역서(7.11)_관당-흑포)최종내역서(070713)" xfId="908" xr:uid="{00000000-0005-0000-0000-0000560E0000}"/>
    <cellStyle name="_선정(4)_추풍령-1_골재원변경 실정보고-050830_신호등설치(관당-흑포)내역서-070612" xfId="909" xr:uid="{00000000-0005-0000-0000-0000570E0000}"/>
    <cellStyle name="_선정(4)_추풍령-1_골재원변경 실정보고-050830_신호등설치(관당-흑포)내역서-070612_관당-흑포)최종내역서(070713)" xfId="910" xr:uid="{00000000-0005-0000-0000-0000580E0000}"/>
    <cellStyle name="_선정(4)_추풍령-1_구보종합건설(관당-흑포)내역서(7.11)" xfId="911" xr:uid="{00000000-0005-0000-0000-0000590E0000}"/>
    <cellStyle name="_선정(4)_추풍령-1_구보종합건설(관당-흑포)내역서(7.11)_관당-흑포)최종내역서(070713)" xfId="912" xr:uid="{00000000-0005-0000-0000-00005A0E0000}"/>
    <cellStyle name="_선정(4)_추풍령-1_신호등설치(관당-흑포)내역서-070612" xfId="913" xr:uid="{00000000-0005-0000-0000-00005B0E0000}"/>
    <cellStyle name="_선정(4)_추풍령-1_신호등설치(관당-흑포)내역서-070612_관당-흑포)최종내역서(070713)" xfId="914" xr:uid="{00000000-0005-0000-0000-00005C0E0000}"/>
    <cellStyle name="_선정(5)" xfId="915" xr:uid="{00000000-0005-0000-0000-00005D0E0000}"/>
    <cellStyle name="_선정(5)_골재원변경 실정보고(수정분)" xfId="916" xr:uid="{00000000-0005-0000-0000-00005E0E0000}"/>
    <cellStyle name="_선정(5)_골재원변경 실정보고(수정분)_구보종합건설(관당-흑포)내역서(7.11)" xfId="917" xr:uid="{00000000-0005-0000-0000-00005F0E0000}"/>
    <cellStyle name="_선정(5)_골재원변경 실정보고(수정분)_구보종합건설(관당-흑포)내역서(7.11)_관당-흑포)최종내역서(070713)" xfId="918" xr:uid="{00000000-0005-0000-0000-0000600E0000}"/>
    <cellStyle name="_선정(5)_골재원변경 실정보고(수정분)_신호등설치(관당-흑포)내역서-070612" xfId="919" xr:uid="{00000000-0005-0000-0000-0000610E0000}"/>
    <cellStyle name="_선정(5)_골재원변경 실정보고(수정분)_신호등설치(관당-흑포)내역서-070612_관당-흑포)최종내역서(070713)" xfId="920" xr:uid="{00000000-0005-0000-0000-0000620E0000}"/>
    <cellStyle name="_선정(5)_골재원변경 실정보고(수정분최종)" xfId="921" xr:uid="{00000000-0005-0000-0000-0000630E0000}"/>
    <cellStyle name="_선정(5)_골재원변경 실정보고(수정분최종)_구보종합건설(관당-흑포)내역서(7.11)" xfId="922" xr:uid="{00000000-0005-0000-0000-0000640E0000}"/>
    <cellStyle name="_선정(5)_골재원변경 실정보고(수정분최종)_구보종합건설(관당-흑포)내역서(7.11)_관당-흑포)최종내역서(070713)" xfId="923" xr:uid="{00000000-0005-0000-0000-0000650E0000}"/>
    <cellStyle name="_선정(5)_골재원변경 실정보고(수정분최종)_신호등설치(관당-흑포)내역서-070612" xfId="924" xr:uid="{00000000-0005-0000-0000-0000660E0000}"/>
    <cellStyle name="_선정(5)_골재원변경 실정보고(수정분최종)_신호등설치(관당-흑포)내역서-070612_관당-흑포)최종내역서(070713)" xfId="925" xr:uid="{00000000-0005-0000-0000-0000670E0000}"/>
    <cellStyle name="_선정(5)_골재원변경 실정보고-050830" xfId="926" xr:uid="{00000000-0005-0000-0000-0000680E0000}"/>
    <cellStyle name="_선정(5)_골재원변경 실정보고-050830_구보종합건설(관당-흑포)내역서(7.11)" xfId="927" xr:uid="{00000000-0005-0000-0000-0000690E0000}"/>
    <cellStyle name="_선정(5)_골재원변경 실정보고-050830_구보종합건설(관당-흑포)내역서(7.11)_관당-흑포)최종내역서(070713)" xfId="928" xr:uid="{00000000-0005-0000-0000-00006A0E0000}"/>
    <cellStyle name="_선정(5)_골재원변경 실정보고-050830_신호등설치(관당-흑포)내역서-070612" xfId="929" xr:uid="{00000000-0005-0000-0000-00006B0E0000}"/>
    <cellStyle name="_선정(5)_골재원변경 실정보고-050830_신호등설치(관당-흑포)내역서-070612_관당-흑포)최종내역서(070713)" xfId="930" xr:uid="{00000000-0005-0000-0000-00006C0E0000}"/>
    <cellStyle name="_선정(5)_구보종합건설(관당-흑포)내역서(7.11)" xfId="931" xr:uid="{00000000-0005-0000-0000-00006D0E0000}"/>
    <cellStyle name="_선정(5)_구보종합건설(관당-흑포)내역서(7.11)_관당-흑포)최종내역서(070713)" xfId="932" xr:uid="{00000000-0005-0000-0000-00006E0E0000}"/>
    <cellStyle name="_선정(5)_선정안(삼산)" xfId="933" xr:uid="{00000000-0005-0000-0000-00006F0E0000}"/>
    <cellStyle name="_선정(5)_선정안(삼산)_골재원변경 실정보고(수정분)" xfId="934" xr:uid="{00000000-0005-0000-0000-0000700E0000}"/>
    <cellStyle name="_선정(5)_선정안(삼산)_골재원변경 실정보고(수정분)_구보종합건설(관당-흑포)내역서(7.11)" xfId="935" xr:uid="{00000000-0005-0000-0000-0000710E0000}"/>
    <cellStyle name="_선정(5)_선정안(삼산)_골재원변경 실정보고(수정분)_구보종합건설(관당-흑포)내역서(7.11)_관당-흑포)최종내역서(070713)" xfId="936" xr:uid="{00000000-0005-0000-0000-0000720E0000}"/>
    <cellStyle name="_선정(5)_선정안(삼산)_골재원변경 실정보고(수정분)_신호등설치(관당-흑포)내역서-070612" xfId="937" xr:uid="{00000000-0005-0000-0000-0000730E0000}"/>
    <cellStyle name="_선정(5)_선정안(삼산)_골재원변경 실정보고(수정분)_신호등설치(관당-흑포)내역서-070612_관당-흑포)최종내역서(070713)" xfId="938" xr:uid="{00000000-0005-0000-0000-0000740E0000}"/>
    <cellStyle name="_선정(5)_선정안(삼산)_골재원변경 실정보고(수정분최종)" xfId="939" xr:uid="{00000000-0005-0000-0000-0000750E0000}"/>
    <cellStyle name="_선정(5)_선정안(삼산)_골재원변경 실정보고(수정분최종)_구보종합건설(관당-흑포)내역서(7.11)" xfId="940" xr:uid="{00000000-0005-0000-0000-0000760E0000}"/>
    <cellStyle name="_선정(5)_선정안(삼산)_골재원변경 실정보고(수정분최종)_구보종합건설(관당-흑포)내역서(7.11)_관당-흑포)최종내역서(070713)" xfId="941" xr:uid="{00000000-0005-0000-0000-0000770E0000}"/>
    <cellStyle name="_선정(5)_선정안(삼산)_골재원변경 실정보고(수정분최종)_신호등설치(관당-흑포)내역서-070612" xfId="942" xr:uid="{00000000-0005-0000-0000-0000780E0000}"/>
    <cellStyle name="_선정(5)_선정안(삼산)_골재원변경 실정보고(수정분최종)_신호등설치(관당-흑포)내역서-070612_관당-흑포)최종내역서(070713)" xfId="943" xr:uid="{00000000-0005-0000-0000-0000790E0000}"/>
    <cellStyle name="_선정(5)_선정안(삼산)_골재원변경 실정보고-050830" xfId="944" xr:uid="{00000000-0005-0000-0000-00007A0E0000}"/>
    <cellStyle name="_선정(5)_선정안(삼산)_골재원변경 실정보고-050830_구보종합건설(관당-흑포)내역서(7.11)" xfId="945" xr:uid="{00000000-0005-0000-0000-00007B0E0000}"/>
    <cellStyle name="_선정(5)_선정안(삼산)_골재원변경 실정보고-050830_구보종합건설(관당-흑포)내역서(7.11)_관당-흑포)최종내역서(070713)" xfId="946" xr:uid="{00000000-0005-0000-0000-00007C0E0000}"/>
    <cellStyle name="_선정(5)_선정안(삼산)_골재원변경 실정보고-050830_신호등설치(관당-흑포)내역서-070612" xfId="947" xr:uid="{00000000-0005-0000-0000-00007D0E0000}"/>
    <cellStyle name="_선정(5)_선정안(삼산)_골재원변경 실정보고-050830_신호등설치(관당-흑포)내역서-070612_관당-흑포)최종내역서(070713)" xfId="948" xr:uid="{00000000-0005-0000-0000-00007E0E0000}"/>
    <cellStyle name="_선정(5)_선정안(삼산)_구보종합건설(관당-흑포)내역서(7.11)" xfId="949" xr:uid="{00000000-0005-0000-0000-00007F0E0000}"/>
    <cellStyle name="_선정(5)_선정안(삼산)_구보종합건설(관당-흑포)내역서(7.11)_관당-흑포)최종내역서(070713)" xfId="950" xr:uid="{00000000-0005-0000-0000-0000800E0000}"/>
    <cellStyle name="_선정(5)_선정안(삼산)_신호등설치(관당-흑포)내역서-070612" xfId="951" xr:uid="{00000000-0005-0000-0000-0000810E0000}"/>
    <cellStyle name="_선정(5)_선정안(삼산)_신호등설치(관당-흑포)내역서-070612_관당-흑포)최종내역서(070713)" xfId="952" xr:uid="{00000000-0005-0000-0000-0000820E0000}"/>
    <cellStyle name="_선정(5)_신호등설치(관당-흑포)내역서-070612" xfId="953" xr:uid="{00000000-0005-0000-0000-0000830E0000}"/>
    <cellStyle name="_선정(5)_신호등설치(관당-흑포)내역서-070612_관당-흑포)최종내역서(070713)" xfId="954" xr:uid="{00000000-0005-0000-0000-0000840E0000}"/>
    <cellStyle name="_선정(5)_추풍령" xfId="955" xr:uid="{00000000-0005-0000-0000-0000850E0000}"/>
    <cellStyle name="_선정(5)_추풍령_골재원변경 실정보고(수정분)" xfId="956" xr:uid="{00000000-0005-0000-0000-0000860E0000}"/>
    <cellStyle name="_선정(5)_추풍령_골재원변경 실정보고(수정분)_구보종합건설(관당-흑포)내역서(7.11)" xfId="957" xr:uid="{00000000-0005-0000-0000-0000870E0000}"/>
    <cellStyle name="_선정(5)_추풍령_골재원변경 실정보고(수정분)_구보종합건설(관당-흑포)내역서(7.11)_관당-흑포)최종내역서(070713)" xfId="958" xr:uid="{00000000-0005-0000-0000-0000880E0000}"/>
    <cellStyle name="_선정(5)_추풍령_골재원변경 실정보고(수정분)_신호등설치(관당-흑포)내역서-070612" xfId="959" xr:uid="{00000000-0005-0000-0000-0000890E0000}"/>
    <cellStyle name="_선정(5)_추풍령_골재원변경 실정보고(수정분)_신호등설치(관당-흑포)내역서-070612_관당-흑포)최종내역서(070713)" xfId="960" xr:uid="{00000000-0005-0000-0000-00008A0E0000}"/>
    <cellStyle name="_선정(5)_추풍령_골재원변경 실정보고(수정분최종)" xfId="961" xr:uid="{00000000-0005-0000-0000-00008B0E0000}"/>
    <cellStyle name="_선정(5)_추풍령_골재원변경 실정보고(수정분최종)_구보종합건설(관당-흑포)내역서(7.11)" xfId="962" xr:uid="{00000000-0005-0000-0000-00008C0E0000}"/>
    <cellStyle name="_선정(5)_추풍령_골재원변경 실정보고(수정분최종)_구보종합건설(관당-흑포)내역서(7.11)_관당-흑포)최종내역서(070713)" xfId="963" xr:uid="{00000000-0005-0000-0000-00008D0E0000}"/>
    <cellStyle name="_선정(5)_추풍령_골재원변경 실정보고(수정분최종)_신호등설치(관당-흑포)내역서-070612" xfId="964" xr:uid="{00000000-0005-0000-0000-00008E0E0000}"/>
    <cellStyle name="_선정(5)_추풍령_골재원변경 실정보고(수정분최종)_신호등설치(관당-흑포)내역서-070612_관당-흑포)최종내역서(070713)" xfId="965" xr:uid="{00000000-0005-0000-0000-00008F0E0000}"/>
    <cellStyle name="_선정(5)_추풍령_골재원변경 실정보고-050830" xfId="966" xr:uid="{00000000-0005-0000-0000-0000900E0000}"/>
    <cellStyle name="_선정(5)_추풍령_골재원변경 실정보고-050830_구보종합건설(관당-흑포)내역서(7.11)" xfId="967" xr:uid="{00000000-0005-0000-0000-0000910E0000}"/>
    <cellStyle name="_선정(5)_추풍령_골재원변경 실정보고-050830_구보종합건설(관당-흑포)내역서(7.11)_관당-흑포)최종내역서(070713)" xfId="968" xr:uid="{00000000-0005-0000-0000-0000920E0000}"/>
    <cellStyle name="_선정(5)_추풍령_골재원변경 실정보고-050830_신호등설치(관당-흑포)내역서-070612" xfId="969" xr:uid="{00000000-0005-0000-0000-0000930E0000}"/>
    <cellStyle name="_선정(5)_추풍령_골재원변경 실정보고-050830_신호등설치(관당-흑포)내역서-070612_관당-흑포)최종내역서(070713)" xfId="970" xr:uid="{00000000-0005-0000-0000-0000940E0000}"/>
    <cellStyle name="_선정(5)_추풍령_구보종합건설(관당-흑포)내역서(7.11)" xfId="971" xr:uid="{00000000-0005-0000-0000-0000950E0000}"/>
    <cellStyle name="_선정(5)_추풍령_구보종합건설(관당-흑포)내역서(7.11)_관당-흑포)최종내역서(070713)" xfId="972" xr:uid="{00000000-0005-0000-0000-0000960E0000}"/>
    <cellStyle name="_선정(5)_추풍령_신호등설치(관당-흑포)내역서-070612" xfId="973" xr:uid="{00000000-0005-0000-0000-0000970E0000}"/>
    <cellStyle name="_선정(5)_추풍령_신호등설치(관당-흑포)내역서-070612_관당-흑포)최종내역서(070713)" xfId="974" xr:uid="{00000000-0005-0000-0000-0000980E0000}"/>
    <cellStyle name="_선정(5)_추풍령-1" xfId="975" xr:uid="{00000000-0005-0000-0000-0000990E0000}"/>
    <cellStyle name="_선정(5)_추풍령-1_골재원변경 실정보고(수정분)" xfId="976" xr:uid="{00000000-0005-0000-0000-00009A0E0000}"/>
    <cellStyle name="_선정(5)_추풍령-1_골재원변경 실정보고(수정분)_구보종합건설(관당-흑포)내역서(7.11)" xfId="977" xr:uid="{00000000-0005-0000-0000-00009B0E0000}"/>
    <cellStyle name="_선정(5)_추풍령-1_골재원변경 실정보고(수정분)_구보종합건설(관당-흑포)내역서(7.11)_관당-흑포)최종내역서(070713)" xfId="978" xr:uid="{00000000-0005-0000-0000-00009C0E0000}"/>
    <cellStyle name="_선정(5)_추풍령-1_골재원변경 실정보고(수정분)_신호등설치(관당-흑포)내역서-070612" xfId="979" xr:uid="{00000000-0005-0000-0000-00009D0E0000}"/>
    <cellStyle name="_선정(5)_추풍령-1_골재원변경 실정보고(수정분)_신호등설치(관당-흑포)내역서-070612_관당-흑포)최종내역서(070713)" xfId="980" xr:uid="{00000000-0005-0000-0000-00009E0E0000}"/>
    <cellStyle name="_선정(5)_추풍령-1_골재원변경 실정보고(수정분최종)" xfId="981" xr:uid="{00000000-0005-0000-0000-00009F0E0000}"/>
    <cellStyle name="_선정(5)_추풍령-1_골재원변경 실정보고(수정분최종)_구보종합건설(관당-흑포)내역서(7.11)" xfId="982" xr:uid="{00000000-0005-0000-0000-0000A00E0000}"/>
    <cellStyle name="_선정(5)_추풍령-1_골재원변경 실정보고(수정분최종)_구보종합건설(관당-흑포)내역서(7.11)_관당-흑포)최종내역서(070713)" xfId="983" xr:uid="{00000000-0005-0000-0000-0000A10E0000}"/>
    <cellStyle name="_선정(5)_추풍령-1_골재원변경 실정보고(수정분최종)_신호등설치(관당-흑포)내역서-070612" xfId="984" xr:uid="{00000000-0005-0000-0000-0000A20E0000}"/>
    <cellStyle name="_선정(5)_추풍령-1_골재원변경 실정보고(수정분최종)_신호등설치(관당-흑포)내역서-070612_관당-흑포)최종내역서(070713)" xfId="985" xr:uid="{00000000-0005-0000-0000-0000A30E0000}"/>
    <cellStyle name="_선정(5)_추풍령-1_골재원변경 실정보고-050830" xfId="986" xr:uid="{00000000-0005-0000-0000-0000A40E0000}"/>
    <cellStyle name="_선정(5)_추풍령-1_골재원변경 실정보고-050830_구보종합건설(관당-흑포)내역서(7.11)" xfId="987" xr:uid="{00000000-0005-0000-0000-0000A50E0000}"/>
    <cellStyle name="_선정(5)_추풍령-1_골재원변경 실정보고-050830_구보종합건설(관당-흑포)내역서(7.11)_관당-흑포)최종내역서(070713)" xfId="988" xr:uid="{00000000-0005-0000-0000-0000A60E0000}"/>
    <cellStyle name="_선정(5)_추풍령-1_골재원변경 실정보고-050830_신호등설치(관당-흑포)내역서-070612" xfId="989" xr:uid="{00000000-0005-0000-0000-0000A70E0000}"/>
    <cellStyle name="_선정(5)_추풍령-1_골재원변경 실정보고-050830_신호등설치(관당-흑포)내역서-070612_관당-흑포)최종내역서(070713)" xfId="990" xr:uid="{00000000-0005-0000-0000-0000A80E0000}"/>
    <cellStyle name="_선정(5)_추풍령-1_구보종합건설(관당-흑포)내역서(7.11)" xfId="991" xr:uid="{00000000-0005-0000-0000-0000A90E0000}"/>
    <cellStyle name="_선정(5)_추풍령-1_구보종합건설(관당-흑포)내역서(7.11)_관당-흑포)최종내역서(070713)" xfId="992" xr:uid="{00000000-0005-0000-0000-0000AA0E0000}"/>
    <cellStyle name="_선정(5)_추풍령-1_신호등설치(관당-흑포)내역서-070612" xfId="993" xr:uid="{00000000-0005-0000-0000-0000AB0E0000}"/>
    <cellStyle name="_선정(5)_추풍령-1_신호등설치(관당-흑포)내역서-070612_관당-흑포)최종내역서(070713)" xfId="994" xr:uid="{00000000-0005-0000-0000-0000AC0E0000}"/>
    <cellStyle name="_설계내역(둔산)" xfId="7074" xr:uid="{00000000-0005-0000-0000-0000AD0E0000}"/>
    <cellStyle name="_설계내역서(080311)_신호등" xfId="995" xr:uid="{00000000-0005-0000-0000-0000AE0E0000}"/>
    <cellStyle name="_설계내역서(2002년 대전 11차설계1)" xfId="3912" xr:uid="{00000000-0005-0000-0000-0000AF0E0000}"/>
    <cellStyle name="_설계내역서(교통신호설비(1).일산동서구)2007" xfId="996" xr:uid="{00000000-0005-0000-0000-0000B00E0000}"/>
    <cellStyle name="_설계변경 내역서" xfId="997" xr:uid="{00000000-0005-0000-0000-0000B10E0000}"/>
    <cellStyle name="_설계서-백제역사문화관(통신공사)" xfId="7075" xr:uid="{00000000-0005-0000-0000-0000B20E0000}"/>
    <cellStyle name="_설계원가 및 손익계산서(극장)" xfId="998" xr:uid="{00000000-0005-0000-0000-0000B30E0000}"/>
    <cellStyle name="_설계원가 및 손익계산서(백화점)" xfId="999" xr:uid="{00000000-0005-0000-0000-0000B40E0000}"/>
    <cellStyle name="_설계원가 및 손익계산서(이광환)" xfId="1000" xr:uid="{00000000-0005-0000-0000-0000B50E0000}"/>
    <cellStyle name="_설계참고자료1" xfId="7076" xr:uid="{00000000-0005-0000-0000-0000B60E0000}"/>
    <cellStyle name="_설비(1218)" xfId="1001" xr:uid="{00000000-0005-0000-0000-0000B70E0000}"/>
    <cellStyle name="_설치내역300kw" xfId="3913" xr:uid="{00000000-0005-0000-0000-0000B80E0000}"/>
    <cellStyle name="_설치위치별세부내역(VMS)-0323" xfId="1002" xr:uid="{00000000-0005-0000-0000-0000B90E0000}"/>
    <cellStyle name="_설치위치별세부내역_AVI_1(new)" xfId="3914" xr:uid="{00000000-0005-0000-0000-0000BA0E0000}"/>
    <cellStyle name="_세평지하차도_배관" xfId="3915" xr:uid="{00000000-0005-0000-0000-0000BB0E0000}"/>
    <cellStyle name="_센터설비 (통합운영센터)" xfId="3916" xr:uid="{00000000-0005-0000-0000-0000BC0E0000}"/>
    <cellStyle name="_센터설비(장비) " xfId="1003" xr:uid="{00000000-0005-0000-0000-0000BD0E0000}"/>
    <cellStyle name="_소프트웨어개발비_1106" xfId="1004" xr:uid="{00000000-0005-0000-0000-0000BE0E0000}"/>
    <cellStyle name="_소화물내역-통신" xfId="7077" xr:uid="{00000000-0005-0000-0000-0000BF0E0000}"/>
    <cellStyle name="_송도국제학교_신축(내역서)(060420)" xfId="3917" xr:uid="{00000000-0005-0000-0000-0000C00E0000}"/>
    <cellStyle name="_수량산출서" xfId="3918" xr:uid="{00000000-0005-0000-0000-0000C10E0000}"/>
    <cellStyle name="_수배전반" xfId="3919" xr:uid="{00000000-0005-0000-0000-0000C20E0000}"/>
    <cellStyle name="_수변전설비제조구매설치내역서-최종" xfId="1005" xr:uid="{00000000-0005-0000-0000-0000C30E0000}"/>
    <cellStyle name="_수수료" xfId="3920" xr:uid="{00000000-0005-0000-0000-0000C40E0000}"/>
    <cellStyle name="_스튜디오" xfId="3921" xr:uid="{00000000-0005-0000-0000-0000C50E0000}"/>
    <cellStyle name="_시설 언더패스 견적-40202" xfId="1006" xr:uid="{00000000-0005-0000-0000-0000C60E0000}"/>
    <cellStyle name="_시설 언더패스 견적-40204" xfId="1007" xr:uid="{00000000-0005-0000-0000-0000C70E0000}"/>
    <cellStyle name="_시설 언더패스 견적-40225" xfId="1008" xr:uid="{00000000-0005-0000-0000-0000C80E0000}"/>
    <cellStyle name="_시흥정수장 배전반1(1)" xfId="1009" xr:uid="{00000000-0005-0000-0000-0000C90E0000}"/>
    <cellStyle name="_신규단가 및 일위대가-강관추진" xfId="1010" xr:uid="{00000000-0005-0000-0000-0000CA0E0000}"/>
    <cellStyle name="_신명견적서 수정(재주)" xfId="3922" xr:uid="{00000000-0005-0000-0000-0000CB0E0000}"/>
    <cellStyle name="_신호등설계관련원본(2004년)-영모_기계경비만들기 " xfId="1011" xr:uid="{00000000-0005-0000-0000-0000CC0E0000}"/>
    <cellStyle name="_신호등설계관련원본(2005년)-영모1_기계경비만들기 " xfId="1012" xr:uid="{00000000-0005-0000-0000-0000CD0E0000}"/>
    <cellStyle name="_신호등설계양식" xfId="1013" xr:uid="{00000000-0005-0000-0000-0000CE0E0000}"/>
    <cellStyle name="_신호등일위대가설계원본(2005년하반기)_기계경비만들기 " xfId="1014" xr:uid="{00000000-0005-0000-0000-0000CF0E0000}"/>
    <cellStyle name="_신호등일위대가설계원본(2005년하반기)-영모_기계경비만들기 " xfId="1015" xr:uid="{00000000-0005-0000-0000-0000D00E0000}"/>
    <cellStyle name="_신호등일위대가설계원본(2005년하반기)-영모1_기계경비만들기 " xfId="1016" xr:uid="{00000000-0005-0000-0000-0000D10E0000}"/>
    <cellStyle name="_신호제어_무선전송장치_내역서" xfId="1017" xr:uid="{00000000-0005-0000-0000-0000D20E0000}"/>
    <cellStyle name="_신호제어시스템내역서_구매설치2안-수정" xfId="1018" xr:uid="{00000000-0005-0000-0000-0000D30E0000}"/>
    <cellStyle name="_신호현자재내역 의정부" xfId="3923" xr:uid="{00000000-0005-0000-0000-0000D40E0000}"/>
    <cellStyle name="_신호현자재내역 의정부_04년도서울지역굴착계획" xfId="3924" xr:uid="{00000000-0005-0000-0000-0000D50E0000}"/>
    <cellStyle name="_신호현자재내역 의정부_04년도서울지역굴착계획_09_덕-H02통신공사_설계서_v4" xfId="7078" xr:uid="{00000000-0005-0000-0000-0000D60E0000}"/>
    <cellStyle name="_신호현자재내역 의정부_04년도서울지역굴착계획_설계서_CCTV-V1" xfId="7079" xr:uid="{00000000-0005-0000-0000-0000D70E0000}"/>
    <cellStyle name="_신호현자재내역 의정부_04년도서울지역굴착계획_수신-VDS내역서_20061103" xfId="3925" xr:uid="{00000000-0005-0000-0000-0000D80E0000}"/>
    <cellStyle name="_신호현자재내역 의정부_09_덕-H02통신공사_설계서_v4" xfId="7080" xr:uid="{00000000-0005-0000-0000-0000D90E0000}"/>
    <cellStyle name="_신호현자재내역 의정부_설계서_CCTV-V1" xfId="7081" xr:uid="{00000000-0005-0000-0000-0000DA0E0000}"/>
    <cellStyle name="_신호현자재내역 의정부_수신-VDS내역서_20061103" xfId="3926" xr:uid="{00000000-0005-0000-0000-0000DB0E0000}"/>
    <cellStyle name="_신호현자재내역 의정부_의정부" xfId="3927" xr:uid="{00000000-0005-0000-0000-0000DC0E0000}"/>
    <cellStyle name="_신호현자재내역 의정부_의정부_04년도서울지역굴착계획" xfId="3928" xr:uid="{00000000-0005-0000-0000-0000DD0E0000}"/>
    <cellStyle name="_신호현자재내역 의정부_의정부_04년도서울지역굴착계획_09_덕-H02통신공사_설계서_v4" xfId="7082" xr:uid="{00000000-0005-0000-0000-0000DE0E0000}"/>
    <cellStyle name="_신호현자재내역 의정부_의정부_04년도서울지역굴착계획_설계서_CCTV-V1" xfId="7083" xr:uid="{00000000-0005-0000-0000-0000DF0E0000}"/>
    <cellStyle name="_신호현자재내역 의정부_의정부_04년도서울지역굴착계획_수신-VDS내역서_20061103" xfId="3929" xr:uid="{00000000-0005-0000-0000-0000E00E0000}"/>
    <cellStyle name="_신호현자재내역 의정부_의정부_09_덕-H02통신공사_설계서_v4" xfId="7084" xr:uid="{00000000-0005-0000-0000-0000E10E0000}"/>
    <cellStyle name="_신호현자재내역 의정부_의정부_설계서_CCTV-V1" xfId="7085" xr:uid="{00000000-0005-0000-0000-0000E20E0000}"/>
    <cellStyle name="_신호현자재내역 의정부_의정부_수신-VDS내역서_20061103" xfId="3930" xr:uid="{00000000-0005-0000-0000-0000E30E0000}"/>
    <cellStyle name="_쓰레기 불법투기  단속시스템(CCTV) 구매설치 설계내역서" xfId="3931" xr:uid="{00000000-0005-0000-0000-0000E40E0000}"/>
    <cellStyle name="_아산공장건설부대설비공사" xfId="3932" xr:uid="{00000000-0005-0000-0000-0000E50E0000}"/>
    <cellStyle name="_안개등설계(센서방식)-고양IC-통일로IC(시범설치)" xfId="1019" xr:uid="{00000000-0005-0000-0000-0000E60E0000}"/>
    <cellStyle name="_안개등설계(센서방식)-고양IC-통일로IC(시범설치)_구보종합건설(관당-흑포)내역서(7.11)" xfId="1020" xr:uid="{00000000-0005-0000-0000-0000E70E0000}"/>
    <cellStyle name="_안개등설계(센서방식)-고양IC-통일로IC(시범설치)_구보종합건설(관당-흑포)내역서(7.11)_관당-흑포)최종내역서(070713)" xfId="1021" xr:uid="{00000000-0005-0000-0000-0000E80E0000}"/>
    <cellStyle name="_안개등설계(센서방식)-고양IC-통일로IC(시범설치)_신호등설치(관당-흑포)내역서-070612" xfId="1022" xr:uid="{00000000-0005-0000-0000-0000E90E0000}"/>
    <cellStyle name="_안개등설계(센서방식)-고양IC-통일로IC(시범설치)_신호등설치(관당-흑포)내역서-070612_관당-흑포)최종내역서(070713)" xfId="1023" xr:uid="{00000000-0005-0000-0000-0000EA0E0000}"/>
    <cellStyle name="_안동최종정산" xfId="7086" xr:uid="{00000000-0005-0000-0000-0000EB0E0000}"/>
    <cellStyle name="_앙성수량총괄(관수정)" xfId="1024" xr:uid="{00000000-0005-0000-0000-0000EC0E0000}"/>
    <cellStyle name="_앙성수량총괄(관수정)_1" xfId="1025" xr:uid="{00000000-0005-0000-0000-0000ED0E0000}"/>
    <cellStyle name="_앙성수량총괄(관수정)_2" xfId="1026" xr:uid="{00000000-0005-0000-0000-0000EE0E0000}"/>
    <cellStyle name="_양산영대교경관조명내역12.10" xfId="1027" xr:uid="{00000000-0005-0000-0000-0000EF0E0000}"/>
    <cellStyle name="_언주중-1" xfId="3933" xr:uid="{00000000-0005-0000-0000-0000F00E0000}"/>
    <cellStyle name="_역삼성진" xfId="3934" xr:uid="{00000000-0005-0000-0000-0000F10E0000}"/>
    <cellStyle name="_연희,마전,가정,크리스탈" xfId="3935" xr:uid="{00000000-0005-0000-0000-0000F20E0000}"/>
    <cellStyle name="_영월소방서북평출장소내역서(변경)" xfId="1028" xr:uid="{00000000-0005-0000-0000-0000F30E0000}"/>
    <cellStyle name="_예가분석-원본" xfId="7087" xr:uid="{00000000-0005-0000-0000-0000F40E0000}"/>
    <cellStyle name="_예가분석-원본_(무안)가실행" xfId="7088" xr:uid="{00000000-0005-0000-0000-0000F50E0000}"/>
    <cellStyle name="_예가분석-원본_(무안)가실행_2003발주설계서2" xfId="7089" xr:uid="{00000000-0005-0000-0000-0000F60E0000}"/>
    <cellStyle name="_예가분석-원본_~att2B5A" xfId="7090" xr:uid="{00000000-0005-0000-0000-0000F70E0000}"/>
    <cellStyle name="_예가분석-원본_~att2B5A_2003발주설계서2" xfId="7091" xr:uid="{00000000-0005-0000-0000-0000F80E0000}"/>
    <cellStyle name="_예가분석-원본_2003발주설계서2" xfId="7092" xr:uid="{00000000-0005-0000-0000-0000F90E0000}"/>
    <cellStyle name="_예가분석-원본_3.0무안광주3공구(입찰가실행-최종)" xfId="7093" xr:uid="{00000000-0005-0000-0000-0000FA0E0000}"/>
    <cellStyle name="_예가분석-원본_3.0무안광주3공구(입찰가실행-최종)_(무안)가실행" xfId="7094" xr:uid="{00000000-0005-0000-0000-0000FB0E0000}"/>
    <cellStyle name="_예가분석-원본_3.0무안광주3공구(입찰가실행-최종)_(무안)가실행_2003발주설계서2" xfId="7095" xr:uid="{00000000-0005-0000-0000-0000FC0E0000}"/>
    <cellStyle name="_예가분석-원본_3.0무안광주3공구(입찰가실행-최종)_2003발주설계서2" xfId="7096" xr:uid="{00000000-0005-0000-0000-0000FD0E0000}"/>
    <cellStyle name="_예가분석-원본_고창장성1공구(가실행-최종)" xfId="7097" xr:uid="{00000000-0005-0000-0000-0000FE0E0000}"/>
    <cellStyle name="_예가분석-원본_고창장성1공구(가실행-최종)_2003발주설계서2" xfId="7098" xr:uid="{00000000-0005-0000-0000-0000FF0E0000}"/>
    <cellStyle name="_예가분석-원본_고창장성1공구일위대가" xfId="7099" xr:uid="{00000000-0005-0000-0000-0000000F0000}"/>
    <cellStyle name="_예가분석-원본_고창장성1공구일위대가_2003발주설계서2" xfId="7100" xr:uid="{00000000-0005-0000-0000-0000010F0000}"/>
    <cellStyle name="_예산내역서(해운대+달맞이)" xfId="3936" xr:uid="{00000000-0005-0000-0000-0000020F0000}"/>
    <cellStyle name="_예산내역서(해운대+달맞이)-도급공사분일위대가수정(09.06)" xfId="3937" xr:uid="{00000000-0005-0000-0000-0000030F0000}"/>
    <cellStyle name="_예산서(이화철교)" xfId="1029" xr:uid="{00000000-0005-0000-0000-0000040F0000}"/>
    <cellStyle name="_옥계하수종말처리장" xfId="1030" xr:uid="{00000000-0005-0000-0000-0000050F0000}"/>
    <cellStyle name="_왕숙천 둔치내 조명시설 내역서" xfId="3938" xr:uid="{00000000-0005-0000-0000-0000060F0000}"/>
    <cellStyle name="_왕숙천 조명기구 구매설치" xfId="3939" xr:uid="{00000000-0005-0000-0000-0000070F0000}"/>
    <cellStyle name="_용산복개천공사(계룡건설-현대건설)" xfId="1031" xr:uid="{00000000-0005-0000-0000-0000080F0000}"/>
    <cellStyle name="_용현한양외계약및준공관련" xfId="3940" xr:uid="{00000000-0005-0000-0000-0000090F0000}"/>
    <cellStyle name="_울산실시설계내역서(하이테콤)-B" xfId="1032" xr:uid="{00000000-0005-0000-0000-00000A0F0000}"/>
    <cellStyle name="_울산역구내외1단가산출서" xfId="1033" xr:uid="{00000000-0005-0000-0000-00000B0F0000}"/>
    <cellStyle name="_울산역구내외1단가산출서_1" xfId="1034" xr:uid="{00000000-0005-0000-0000-00000C0F0000}"/>
    <cellStyle name="_울진고등학교B동교사증축 내역서" xfId="3941" xr:uid="{00000000-0005-0000-0000-00000D0F0000}"/>
    <cellStyle name="_원가_서울중앙우체국 IBS(35프로)" xfId="3942" xr:uid="{00000000-0005-0000-0000-00000E0F0000}"/>
    <cellStyle name="_원가_최종도급_중앙우체국(IBS_040303)" xfId="3943" xr:uid="{00000000-0005-0000-0000-00000F0F0000}"/>
    <cellStyle name="_원가계산" xfId="1035" xr:uid="{00000000-0005-0000-0000-0000100F0000}"/>
    <cellStyle name="_원가계산서" xfId="3944" xr:uid="{00000000-0005-0000-0000-0000110F0000}"/>
    <cellStyle name="_원가계산율" xfId="1036" xr:uid="{00000000-0005-0000-0000-0000120F0000}"/>
    <cellStyle name="_원가분석(1217)" xfId="1037" xr:uid="{00000000-0005-0000-0000-0000130F0000}"/>
    <cellStyle name="_원가분석(아이0208)" xfId="1038" xr:uid="{00000000-0005-0000-0000-0000140F0000}"/>
    <cellStyle name="_원가-전기" xfId="3945" xr:uid="{00000000-0005-0000-0000-0000150F0000}"/>
    <cellStyle name="_원주 신호등 공사견적의뢰" xfId="1039" xr:uid="{00000000-0005-0000-0000-0000160F0000}"/>
    <cellStyle name="_응급ES" xfId="1044" xr:uid="{00000000-0005-0000-0000-0000170F0000}"/>
    <cellStyle name="_응급RE" xfId="1045" xr:uid="{00000000-0005-0000-0000-0000180F0000}"/>
    <cellStyle name="_응급센~1" xfId="1040" xr:uid="{00000000-0005-0000-0000-0000190F0000}"/>
    <cellStyle name="_응급센~1_ (3차)계약내역" xfId="1041" xr:uid="{00000000-0005-0000-0000-00001A0F0000}"/>
    <cellStyle name="_응급센~1_ 3차계약내역" xfId="1042" xr:uid="{00000000-0005-0000-0000-00001B0F0000}"/>
    <cellStyle name="_응급센~1_(2차)계약내역" xfId="1043" xr:uid="{00000000-0005-0000-0000-00001C0F0000}"/>
    <cellStyle name="_의정부장비내역서" xfId="3946" xr:uid="{00000000-0005-0000-0000-00001D0F0000}"/>
    <cellStyle name="_의정부장비내역서_04년도서울지역굴착계획" xfId="3947" xr:uid="{00000000-0005-0000-0000-00001E0F0000}"/>
    <cellStyle name="_의정부장비내역서_04년도서울지역굴착계획_09_덕-H02통신공사_설계서_v4" xfId="7101" xr:uid="{00000000-0005-0000-0000-00001F0F0000}"/>
    <cellStyle name="_의정부장비내역서_04년도서울지역굴착계획_설계서_CCTV-V1" xfId="7102" xr:uid="{00000000-0005-0000-0000-0000200F0000}"/>
    <cellStyle name="_의정부장비내역서_04년도서울지역굴착계획_수신-VDS내역서_20061103" xfId="3948" xr:uid="{00000000-0005-0000-0000-0000210F0000}"/>
    <cellStyle name="_의정부장비내역서_09_덕-H02통신공사_설계서_v4" xfId="7103" xr:uid="{00000000-0005-0000-0000-0000220F0000}"/>
    <cellStyle name="_의정부장비내역서_설계서_CCTV-V1" xfId="7104" xr:uid="{00000000-0005-0000-0000-0000230F0000}"/>
    <cellStyle name="_의정부장비내역서_수신-VDS내역서_20061103" xfId="3949" xr:uid="{00000000-0005-0000-0000-0000240F0000}"/>
    <cellStyle name="_의정부장비내역서_의정부" xfId="3950" xr:uid="{00000000-0005-0000-0000-0000250F0000}"/>
    <cellStyle name="_의정부장비내역서_의정부_04년도서울지역굴착계획" xfId="3951" xr:uid="{00000000-0005-0000-0000-0000260F0000}"/>
    <cellStyle name="_의정부장비내역서_의정부_04년도서울지역굴착계획_09_덕-H02통신공사_설계서_v4" xfId="7105" xr:uid="{00000000-0005-0000-0000-0000270F0000}"/>
    <cellStyle name="_의정부장비내역서_의정부_04년도서울지역굴착계획_설계서_CCTV-V1" xfId="7106" xr:uid="{00000000-0005-0000-0000-0000280F0000}"/>
    <cellStyle name="_의정부장비내역서_의정부_04년도서울지역굴착계획_수신-VDS내역서_20061103" xfId="3952" xr:uid="{00000000-0005-0000-0000-0000290F0000}"/>
    <cellStyle name="_의정부장비내역서_의정부_09_덕-H02통신공사_설계서_v4" xfId="7107" xr:uid="{00000000-0005-0000-0000-00002A0F0000}"/>
    <cellStyle name="_의정부장비내역서_의정부_설계서_CCTV-V1" xfId="7108" xr:uid="{00000000-0005-0000-0000-00002B0F0000}"/>
    <cellStyle name="_의정부장비내역서_의정부_수신-VDS내역서_20061103" xfId="3953" xr:uid="{00000000-0005-0000-0000-00002C0F0000}"/>
    <cellStyle name="_익산-장수1공구-설변(최종)" xfId="7109" xr:uid="{00000000-0005-0000-0000-00002D0F0000}"/>
    <cellStyle name="_익산-포항6공구" xfId="7110" xr:uid="{00000000-0005-0000-0000-00002E0F0000}"/>
    <cellStyle name="_익산-포항6공구_(무안)가실행" xfId="7111" xr:uid="{00000000-0005-0000-0000-00002F0F0000}"/>
    <cellStyle name="_익산-포항6공구_(무안)가실행_2003발주설계서2" xfId="7112" xr:uid="{00000000-0005-0000-0000-0000300F0000}"/>
    <cellStyle name="_익산-포항6공구_~att2B5A" xfId="7113" xr:uid="{00000000-0005-0000-0000-0000310F0000}"/>
    <cellStyle name="_익산-포항6공구_~att2B5A_2003발주설계서2" xfId="7114" xr:uid="{00000000-0005-0000-0000-0000320F0000}"/>
    <cellStyle name="_익산-포항6공구_2003발주설계서2" xfId="7115" xr:uid="{00000000-0005-0000-0000-0000330F0000}"/>
    <cellStyle name="_익산-포항6공구_3.0무안광주3공구(입찰가실행-최종)" xfId="7116" xr:uid="{00000000-0005-0000-0000-0000340F0000}"/>
    <cellStyle name="_익산-포항6공구_3.0무안광주3공구(입찰가실행-최종)_(무안)가실행" xfId="7117" xr:uid="{00000000-0005-0000-0000-0000350F0000}"/>
    <cellStyle name="_익산-포항6공구_3.0무안광주3공구(입찰가실행-최종)_(무안)가실행_2003발주설계서2" xfId="7118" xr:uid="{00000000-0005-0000-0000-0000360F0000}"/>
    <cellStyle name="_익산-포항6공구_3.0무안광주3공구(입찰가실행-최종)_2003발주설계서2" xfId="7119" xr:uid="{00000000-0005-0000-0000-0000370F0000}"/>
    <cellStyle name="_익산-포항6공구_고창장성1공구(가실행-최종)" xfId="7120" xr:uid="{00000000-0005-0000-0000-0000380F0000}"/>
    <cellStyle name="_익산-포항6공구_고창장성1공구(가실행-최종)_2003발주설계서2" xfId="7121" xr:uid="{00000000-0005-0000-0000-0000390F0000}"/>
    <cellStyle name="_익산-포항6공구_고창장성1공구일위대가" xfId="7122" xr:uid="{00000000-0005-0000-0000-00003A0F0000}"/>
    <cellStyle name="_익산-포항6공구_고창장성1공구일위대가_2003발주설계서2" xfId="7123" xr:uid="{00000000-0005-0000-0000-00003B0F0000}"/>
    <cellStyle name="_인원계획표 " xfId="1046" xr:uid="{00000000-0005-0000-0000-00003C0F0000}"/>
    <cellStyle name="_인원계획표 _(무안)가실행" xfId="7124" xr:uid="{00000000-0005-0000-0000-00003D0F0000}"/>
    <cellStyle name="_인원계획표 _(무안)가실행_2003발주설계서2" xfId="7125" xr:uid="{00000000-0005-0000-0000-00003E0F0000}"/>
    <cellStyle name="_인원계획표 _~att2B5A" xfId="7126" xr:uid="{00000000-0005-0000-0000-00003F0F0000}"/>
    <cellStyle name="_인원계획표 _~att2B5A_2003발주설계서2" xfId="7127" xr:uid="{00000000-0005-0000-0000-0000400F0000}"/>
    <cellStyle name="_인원계획표 _2003발주설계서2" xfId="7128" xr:uid="{00000000-0005-0000-0000-0000410F0000}"/>
    <cellStyle name="_인원계획표 _3.0무안광주3공구(입찰가실행-최종)" xfId="7129" xr:uid="{00000000-0005-0000-0000-0000420F0000}"/>
    <cellStyle name="_인원계획표 _3.0무안광주3공구(입찰가실행-최종)_(무안)가실행" xfId="7130" xr:uid="{00000000-0005-0000-0000-0000430F0000}"/>
    <cellStyle name="_인원계획표 _3.0무안광주3공구(입찰가실행-최종)_(무안)가실행_2003발주설계서2" xfId="7131" xr:uid="{00000000-0005-0000-0000-0000440F0000}"/>
    <cellStyle name="_인원계획표 _3.0무안광주3공구(입찰가실행-최종)_2003발주설계서2" xfId="7132" xr:uid="{00000000-0005-0000-0000-0000450F0000}"/>
    <cellStyle name="_인원계획표 _고창장성1공구(가실행-최종)" xfId="7133" xr:uid="{00000000-0005-0000-0000-0000460F0000}"/>
    <cellStyle name="_인원계획표 _고창장성1공구(가실행-최종)_2003발주설계서2" xfId="7134" xr:uid="{00000000-0005-0000-0000-0000470F0000}"/>
    <cellStyle name="_인원계획표 _고창장성1공구일위대가" xfId="7135" xr:uid="{00000000-0005-0000-0000-0000480F0000}"/>
    <cellStyle name="_인원계획표 _고창장성1공구일위대가_2003발주설계서2" xfId="7136" xr:uid="{00000000-0005-0000-0000-0000490F0000}"/>
    <cellStyle name="_인원계획표 _적격 " xfId="1047" xr:uid="{00000000-0005-0000-0000-00004A0F0000}"/>
    <cellStyle name="_인원계획표 _적격 _(무안)가실행" xfId="7137" xr:uid="{00000000-0005-0000-0000-00004B0F0000}"/>
    <cellStyle name="_인원계획표 _적격 _(무안)가실행_2003발주설계서2" xfId="7138" xr:uid="{00000000-0005-0000-0000-00004C0F0000}"/>
    <cellStyle name="_인원계획표 _적격 _~att2B5A" xfId="7139" xr:uid="{00000000-0005-0000-0000-00004D0F0000}"/>
    <cellStyle name="_인원계획표 _적격 _~att2B5A_2003발주설계서2" xfId="7140" xr:uid="{00000000-0005-0000-0000-00004E0F0000}"/>
    <cellStyle name="_인원계획표 _적격 _2003발주설계서2" xfId="7141" xr:uid="{00000000-0005-0000-0000-00004F0F0000}"/>
    <cellStyle name="_인원계획표 _적격 _3.0무안광주3공구(입찰가실행-최종)" xfId="7142" xr:uid="{00000000-0005-0000-0000-0000500F0000}"/>
    <cellStyle name="_인원계획표 _적격 _3.0무안광주3공구(입찰가실행-최종)_(무안)가실행" xfId="7143" xr:uid="{00000000-0005-0000-0000-0000510F0000}"/>
    <cellStyle name="_인원계획표 _적격 _3.0무안광주3공구(입찰가실행-최종)_(무안)가실행_2003발주설계서2" xfId="7144" xr:uid="{00000000-0005-0000-0000-0000520F0000}"/>
    <cellStyle name="_인원계획표 _적격 _3.0무안광주3공구(입찰가실행-최종)_2003발주설계서2" xfId="7145" xr:uid="{00000000-0005-0000-0000-0000530F0000}"/>
    <cellStyle name="_인원계획표 _적격 _고창장성1공구(가실행-최종)" xfId="7146" xr:uid="{00000000-0005-0000-0000-0000540F0000}"/>
    <cellStyle name="_인원계획표 _적격 _고창장성1공구(가실행-최종)_2003발주설계서2" xfId="7147" xr:uid="{00000000-0005-0000-0000-0000550F0000}"/>
    <cellStyle name="_인원계획표 _적격 _고창장성1공구일위대가" xfId="7148" xr:uid="{00000000-0005-0000-0000-0000560F0000}"/>
    <cellStyle name="_인원계획표 _적격 _고창장성1공구일위대가_2003발주설계서2" xfId="7149" xr:uid="{00000000-0005-0000-0000-0000570F0000}"/>
    <cellStyle name="_인정전 내역서--" xfId="3954" xr:uid="{00000000-0005-0000-0000-0000580F0000}"/>
    <cellStyle name="_인테리어 일위대가 03-19" xfId="7150" xr:uid="{00000000-0005-0000-0000-0000590F0000}"/>
    <cellStyle name="_일위대가" xfId="3955" xr:uid="{00000000-0005-0000-0000-00005A0F0000}"/>
    <cellStyle name="_일위대가(11월20일)" xfId="3956" xr:uid="{00000000-0005-0000-0000-00005B0F0000}"/>
    <cellStyle name="_일위대가_1" xfId="3957" xr:uid="{00000000-0005-0000-0000-00005C0F0000}"/>
    <cellStyle name="_입찰내역3-CCTV-2차" xfId="3958" xr:uid="{00000000-0005-0000-0000-00005D0F0000}"/>
    <cellStyle name="_입찰표지 " xfId="1048" xr:uid="{00000000-0005-0000-0000-00005E0F0000}"/>
    <cellStyle name="_입찰표지 _(무안)가실행" xfId="7151" xr:uid="{00000000-0005-0000-0000-00005F0F0000}"/>
    <cellStyle name="_입찰표지 _(무안)가실행_2003발주설계서2" xfId="7152" xr:uid="{00000000-0005-0000-0000-0000600F0000}"/>
    <cellStyle name="_입찰표지 _~att2B5A" xfId="7153" xr:uid="{00000000-0005-0000-0000-0000610F0000}"/>
    <cellStyle name="_입찰표지 _~att2B5A_2003발주설계서2" xfId="7154" xr:uid="{00000000-0005-0000-0000-0000620F0000}"/>
    <cellStyle name="_입찰표지 _2003발주설계서2" xfId="7155" xr:uid="{00000000-0005-0000-0000-0000630F0000}"/>
    <cellStyle name="_입찰표지 _3.0무안광주3공구(입찰가실행-최종)" xfId="7156" xr:uid="{00000000-0005-0000-0000-0000640F0000}"/>
    <cellStyle name="_입찰표지 _3.0무안광주3공구(입찰가실행-최종)_(무안)가실행" xfId="7157" xr:uid="{00000000-0005-0000-0000-0000650F0000}"/>
    <cellStyle name="_입찰표지 _3.0무안광주3공구(입찰가실행-최종)_(무안)가실행_2003발주설계서2" xfId="7158" xr:uid="{00000000-0005-0000-0000-0000660F0000}"/>
    <cellStyle name="_입찰표지 _3.0무안광주3공구(입찰가실행-최종)_2003발주설계서2" xfId="7159" xr:uid="{00000000-0005-0000-0000-0000670F0000}"/>
    <cellStyle name="_입찰표지 _고창장성1공구(가실행-최종)" xfId="7160" xr:uid="{00000000-0005-0000-0000-0000680F0000}"/>
    <cellStyle name="_입찰표지 _고창장성1공구(가실행-최종)_2003발주설계서2" xfId="7161" xr:uid="{00000000-0005-0000-0000-0000690F0000}"/>
    <cellStyle name="_입찰표지 _고창장성1공구일위대가" xfId="7162" xr:uid="{00000000-0005-0000-0000-00006A0F0000}"/>
    <cellStyle name="_입찰표지 _고창장성1공구일위대가_2003발주설계서2" xfId="7163" xr:uid="{00000000-0005-0000-0000-00006B0F0000}"/>
    <cellStyle name="_자가통신망 수량및단가산출서(부산청)" xfId="3959" xr:uid="{00000000-0005-0000-0000-00006C0F0000}"/>
    <cellStyle name="_자가통신망 수량및단가산출서(익산청)" xfId="3960" xr:uid="{00000000-0005-0000-0000-00006D0F0000}"/>
    <cellStyle name="_자유무역지역 인터넷통신시스템 예가 산출기준(1)" xfId="7164" xr:uid="{00000000-0005-0000-0000-00006E0F0000}"/>
    <cellStyle name="_자재기별" xfId="3961" xr:uid="{00000000-0005-0000-0000-00006F0F0000}"/>
    <cellStyle name="_자재정리" xfId="3962" xr:uid="{00000000-0005-0000-0000-0000700F0000}"/>
    <cellStyle name="_장현중(내역서+개요)" xfId="1049" xr:uid="{00000000-0005-0000-0000-0000710F0000}"/>
    <cellStyle name="_재료비" xfId="1050" xr:uid="{00000000-0005-0000-0000-0000720F0000}"/>
    <cellStyle name="_적격 " xfId="1051" xr:uid="{00000000-0005-0000-0000-0000730F0000}"/>
    <cellStyle name="_적격 _(무안)가실행" xfId="7165" xr:uid="{00000000-0005-0000-0000-0000740F0000}"/>
    <cellStyle name="_적격 _(무안)가실행_2003발주설계서2" xfId="7166" xr:uid="{00000000-0005-0000-0000-0000750F0000}"/>
    <cellStyle name="_적격 _~att2B5A" xfId="7167" xr:uid="{00000000-0005-0000-0000-0000760F0000}"/>
    <cellStyle name="_적격 _~att2B5A_2003발주설계서2" xfId="7168" xr:uid="{00000000-0005-0000-0000-0000770F0000}"/>
    <cellStyle name="_적격 _2003발주설계서2" xfId="7169" xr:uid="{00000000-0005-0000-0000-0000780F0000}"/>
    <cellStyle name="_적격 _3.0무안광주3공구(입찰가실행-최종)" xfId="7170" xr:uid="{00000000-0005-0000-0000-0000790F0000}"/>
    <cellStyle name="_적격 _3.0무안광주3공구(입찰가실행-최종)_(무안)가실행" xfId="7171" xr:uid="{00000000-0005-0000-0000-00007A0F0000}"/>
    <cellStyle name="_적격 _3.0무안광주3공구(입찰가실행-최종)_(무안)가실행_2003발주설계서2" xfId="7172" xr:uid="{00000000-0005-0000-0000-00007B0F0000}"/>
    <cellStyle name="_적격 _3.0무안광주3공구(입찰가실행-최종)_2003발주설계서2" xfId="7173" xr:uid="{00000000-0005-0000-0000-00007C0F0000}"/>
    <cellStyle name="_적격 _고창장성1공구(가실행-최종)" xfId="7174" xr:uid="{00000000-0005-0000-0000-00007D0F0000}"/>
    <cellStyle name="_적격 _고창장성1공구(가실행-최종)_2003발주설계서2" xfId="7175" xr:uid="{00000000-0005-0000-0000-00007E0F0000}"/>
    <cellStyle name="_적격 _고창장성1공구일위대가" xfId="7176" xr:uid="{00000000-0005-0000-0000-00007F0F0000}"/>
    <cellStyle name="_적격 _고창장성1공구일위대가_2003발주설계서2" xfId="7177" xr:uid="{00000000-0005-0000-0000-0000800F0000}"/>
    <cellStyle name="_적격 _집행갑지 " xfId="5003" xr:uid="{00000000-0005-0000-0000-0000810F0000}"/>
    <cellStyle name="_적격(화산) " xfId="1052" xr:uid="{00000000-0005-0000-0000-0000820F0000}"/>
    <cellStyle name="_적격(화산) _(무안)가실행" xfId="7178" xr:uid="{00000000-0005-0000-0000-0000830F0000}"/>
    <cellStyle name="_적격(화산) _(무안)가실행_2003발주설계서2" xfId="7179" xr:uid="{00000000-0005-0000-0000-0000840F0000}"/>
    <cellStyle name="_적격(화산) _~att2B5A" xfId="7180" xr:uid="{00000000-0005-0000-0000-0000850F0000}"/>
    <cellStyle name="_적격(화산) _~att2B5A_2003발주설계서2" xfId="7181" xr:uid="{00000000-0005-0000-0000-0000860F0000}"/>
    <cellStyle name="_적격(화산) _2003발주설계서2" xfId="7182" xr:uid="{00000000-0005-0000-0000-0000870F0000}"/>
    <cellStyle name="_적격(화산) _3.0무안광주3공구(입찰가실행-최종)" xfId="7183" xr:uid="{00000000-0005-0000-0000-0000880F0000}"/>
    <cellStyle name="_적격(화산) _3.0무안광주3공구(입찰가실행-최종)_(무안)가실행" xfId="7184" xr:uid="{00000000-0005-0000-0000-0000890F0000}"/>
    <cellStyle name="_적격(화산) _3.0무안광주3공구(입찰가실행-최종)_(무안)가실행_2003발주설계서2" xfId="7185" xr:uid="{00000000-0005-0000-0000-00008A0F0000}"/>
    <cellStyle name="_적격(화산) _3.0무안광주3공구(입찰가실행-최종)_2003발주설계서2" xfId="7186" xr:uid="{00000000-0005-0000-0000-00008B0F0000}"/>
    <cellStyle name="_적격(화산) _고창장성1공구(가실행-최종)" xfId="7187" xr:uid="{00000000-0005-0000-0000-00008C0F0000}"/>
    <cellStyle name="_적격(화산) _고창장성1공구(가실행-최종)_2003발주설계서2" xfId="7188" xr:uid="{00000000-0005-0000-0000-00008D0F0000}"/>
    <cellStyle name="_적격(화산) _고창장성1공구일위대가" xfId="7189" xr:uid="{00000000-0005-0000-0000-00008E0F0000}"/>
    <cellStyle name="_적격(화산) _고창장성1공구일위대가_2003발주설계서2" xfId="7190" xr:uid="{00000000-0005-0000-0000-00008F0F0000}"/>
    <cellStyle name="_적격예상투찰" xfId="7191" xr:uid="{00000000-0005-0000-0000-0000900F0000}"/>
    <cellStyle name="_적격예상투찰_(무안)가실행" xfId="7192" xr:uid="{00000000-0005-0000-0000-0000910F0000}"/>
    <cellStyle name="_적격예상투찰_(무안)가실행_2003발주설계서2" xfId="7193" xr:uid="{00000000-0005-0000-0000-0000920F0000}"/>
    <cellStyle name="_적격예상투찰_~att2B5A" xfId="7194" xr:uid="{00000000-0005-0000-0000-0000930F0000}"/>
    <cellStyle name="_적격예상투찰_~att2B5A_2003발주설계서2" xfId="7195" xr:uid="{00000000-0005-0000-0000-0000940F0000}"/>
    <cellStyle name="_적격예상투찰_2003발주설계서2" xfId="7196" xr:uid="{00000000-0005-0000-0000-0000950F0000}"/>
    <cellStyle name="_적격예상투찰_3.0무안광주3공구(입찰가실행-최종)" xfId="7197" xr:uid="{00000000-0005-0000-0000-0000960F0000}"/>
    <cellStyle name="_적격예상투찰_3.0무안광주3공구(입찰가실행-최종)_(무안)가실행" xfId="7198" xr:uid="{00000000-0005-0000-0000-0000970F0000}"/>
    <cellStyle name="_적격예상투찰_3.0무안광주3공구(입찰가실행-최종)_(무안)가실행_2003발주설계서2" xfId="7199" xr:uid="{00000000-0005-0000-0000-0000980F0000}"/>
    <cellStyle name="_적격예상투찰_3.0무안광주3공구(입찰가실행-최종)_2003발주설계서2" xfId="7200" xr:uid="{00000000-0005-0000-0000-0000990F0000}"/>
    <cellStyle name="_적격예상투찰_고창장성1공구(가실행-최종)" xfId="7201" xr:uid="{00000000-0005-0000-0000-00009A0F0000}"/>
    <cellStyle name="_적격예상투찰_고창장성1공구(가실행-최종)_2003발주설계서2" xfId="7202" xr:uid="{00000000-0005-0000-0000-00009B0F0000}"/>
    <cellStyle name="_적격예상투찰_고창장성1공구일위대가" xfId="7203" xr:uid="{00000000-0005-0000-0000-00009C0F0000}"/>
    <cellStyle name="_적격예상투찰_고창장성1공구일위대가_2003발주설계서2" xfId="7204" xr:uid="{00000000-0005-0000-0000-00009D0F0000}"/>
    <cellStyle name="_전기공사원가, 단가대비" xfId="3963" xr:uid="{00000000-0005-0000-0000-00009E0F0000}"/>
    <cellStyle name="_전기관급총괄" xfId="3964" xr:uid="{00000000-0005-0000-0000-00009F0F0000}"/>
    <cellStyle name="_전기내역서(봉암리정수장입구삼거리)-1" xfId="1053" xr:uid="{00000000-0005-0000-0000-0000A00F0000}"/>
    <cellStyle name="_전기단가산출서" xfId="3965" xr:uid="{00000000-0005-0000-0000-0000A10F0000}"/>
    <cellStyle name="_전기및접지 수량및단가산출서(부산청)" xfId="3966" xr:uid="{00000000-0005-0000-0000-0000A20F0000}"/>
    <cellStyle name="_전기및접지 수량및단가산출서(익산청)" xfId="3967" xr:uid="{00000000-0005-0000-0000-0000A30F0000}"/>
    <cellStyle name="_전기설비일위대가" xfId="7205" xr:uid="{00000000-0005-0000-0000-0000A40F0000}"/>
    <cellStyle name="_전기수량및단가산출서" xfId="3968" xr:uid="{00000000-0005-0000-0000-0000A50F0000}"/>
    <cellStyle name="_전기수량및단가산출서_0607" xfId="3969" xr:uid="{00000000-0005-0000-0000-0000A60F0000}"/>
    <cellStyle name="_전기수량및단가산출서_0714" xfId="3970" xr:uid="{00000000-0005-0000-0000-0000A70F0000}"/>
    <cellStyle name="_전기원가" xfId="3971" xr:uid="{00000000-0005-0000-0000-0000A80F0000}"/>
    <cellStyle name="_전송기타예산내역서" xfId="7206" xr:uid="{00000000-0005-0000-0000-0000A90F0000}"/>
    <cellStyle name="_전자지불(삼성SDS)" xfId="1054" xr:uid="{00000000-0005-0000-0000-0000AA0F0000}"/>
    <cellStyle name="_전자지불-(케이비)" xfId="1055" xr:uid="{00000000-0005-0000-0000-0000AB0F0000}"/>
    <cellStyle name="_전체 개괄 내역(삼성SDS)" xfId="1056" xr:uid="{00000000-0005-0000-0000-0000AC0F0000}"/>
    <cellStyle name="_정산-2" xfId="3972" xr:uid="{00000000-0005-0000-0000-0000AD0F0000}"/>
    <cellStyle name="_정산내역 01년 광포설(11.6)skt확인" xfId="3973" xr:uid="{00000000-0005-0000-0000-0000AE0F0000}"/>
    <cellStyle name="_정산내역서(2002년청주1차)" xfId="3974" xr:uid="{00000000-0005-0000-0000-0000AF0F0000}"/>
    <cellStyle name="_정산내역서(sktcsa2)a4이체" xfId="3975" xr:uid="{00000000-0005-0000-0000-0000B00F0000}"/>
    <cellStyle name="_정산내역서(공주,본사,사업소)" xfId="3976" xr:uid="{00000000-0005-0000-0000-0000B10F0000}"/>
    <cellStyle name="_정산내역서(신CNA0)010823" xfId="3977" xr:uid="{00000000-0005-0000-0000-0000B20F0000}"/>
    <cellStyle name="_정산내역서(신lsa3)" xfId="3978" xr:uid="{00000000-0005-0000-0000-0000B30F0000}"/>
    <cellStyle name="_제주물항" xfId="3979" xr:uid="{00000000-0005-0000-0000-0000B40F0000}"/>
    <cellStyle name="_종합" xfId="3980" xr:uid="{00000000-0005-0000-0000-0000B50F0000}"/>
    <cellStyle name="_준공(중화2동 프로게이머)" xfId="3981" xr:uid="{00000000-0005-0000-0000-0000B60F0000}"/>
    <cellStyle name="_준공서류" xfId="3982" xr:uid="{00000000-0005-0000-0000-0000B70F0000}"/>
    <cellStyle name="_준공서류(KTF 한강로-KTF 이촌1)" xfId="3983" xr:uid="{00000000-0005-0000-0000-0000B80F0000}"/>
    <cellStyle name="_준공서류(한솔 마장2N1)" xfId="3984" xr:uid="{00000000-0005-0000-0000-0000B90F0000}"/>
    <cellStyle name="_준공서류(한솔 번동N1)" xfId="3985" xr:uid="{00000000-0005-0000-0000-0000BA0F0000}"/>
    <cellStyle name="_준공서류(한솔 북가좌2N1)" xfId="3986" xr:uid="{00000000-0005-0000-0000-0000BB0F0000}"/>
    <cellStyle name="_준공서류(한솔 성수1N5)" xfId="3987" xr:uid="{00000000-0005-0000-0000-0000BC0F0000}"/>
    <cellStyle name="_준공서류(한솔 신당1N2)" xfId="3988" xr:uid="{00000000-0005-0000-0000-0000BD0F0000}"/>
    <cellStyle name="_준공서류(한솔 안암2N1)" xfId="3989" xr:uid="{00000000-0005-0000-0000-0000BE0F0000}"/>
    <cellStyle name="_준공서류(한솔 이태원2N1)" xfId="3990" xr:uid="{00000000-0005-0000-0000-0000BF0F0000}"/>
    <cellStyle name="_준공서류(한솔 장안1N12)" xfId="3991" xr:uid="{00000000-0005-0000-0000-0000C00F0000}"/>
    <cellStyle name="_준공서류(한솔 제일은행본점)" xfId="3992" xr:uid="{00000000-0005-0000-0000-0000C10F0000}"/>
    <cellStyle name="_준공서류(한솔 진관외N2)" xfId="3993" xr:uid="{00000000-0005-0000-0000-0000C20F0000}"/>
    <cellStyle name="_준공서류(한솔 창전N1)" xfId="3994" xr:uid="{00000000-0005-0000-0000-0000C30F0000}"/>
    <cellStyle name="_준공서류(한솔 한남2N2)" xfId="3995" xr:uid="{00000000-0005-0000-0000-0000C40F0000}"/>
    <cellStyle name="_중앙동 보안등 설치공사_기계경비만들기 " xfId="1057" xr:uid="{00000000-0005-0000-0000-0000C50F0000}"/>
    <cellStyle name="_중앙동 보안등 설치공사-1_기계경비만들기 " xfId="1058" xr:uid="{00000000-0005-0000-0000-0000C60F0000}"/>
    <cellStyle name="_중앙동 보안등 설치공사-김량장동_기계경비만들기 " xfId="1059" xr:uid="{00000000-0005-0000-0000-0000C70F0000}"/>
    <cellStyle name="_중앙동 보안등 설치공사-남동_기계경비만들기 " xfId="1060" xr:uid="{00000000-0005-0000-0000-0000C80F0000}"/>
    <cellStyle name="_지입자재내역" xfId="3996" xr:uid="{00000000-0005-0000-0000-0000C90F0000}"/>
    <cellStyle name="_지장이전-SKT신림주공기별(1213)" xfId="3997" xr:uid="{00000000-0005-0000-0000-0000CA0F0000}"/>
    <cellStyle name="_직접경비" xfId="1061" xr:uid="{00000000-0005-0000-0000-0000CB0F0000}"/>
    <cellStyle name="_집행(1)" xfId="1062" xr:uid="{00000000-0005-0000-0000-0000CC0F0000}"/>
    <cellStyle name="_집행(1)_골재원변경 실정보고(수정분)" xfId="1063" xr:uid="{00000000-0005-0000-0000-0000CD0F0000}"/>
    <cellStyle name="_집행(1)_골재원변경 실정보고(수정분)_구보종합건설(관당-흑포)내역서(7.11)" xfId="1064" xr:uid="{00000000-0005-0000-0000-0000CE0F0000}"/>
    <cellStyle name="_집행(1)_골재원변경 실정보고(수정분)_구보종합건설(관당-흑포)내역서(7.11)_관당-흑포)최종내역서(070713)" xfId="1065" xr:uid="{00000000-0005-0000-0000-0000CF0F0000}"/>
    <cellStyle name="_집행(1)_골재원변경 실정보고(수정분)_신호등설치(관당-흑포)내역서-070612" xfId="1066" xr:uid="{00000000-0005-0000-0000-0000D00F0000}"/>
    <cellStyle name="_집행(1)_골재원변경 실정보고(수정분)_신호등설치(관당-흑포)내역서-070612_관당-흑포)최종내역서(070713)" xfId="1067" xr:uid="{00000000-0005-0000-0000-0000D10F0000}"/>
    <cellStyle name="_집행(1)_골재원변경 실정보고(수정분최종)" xfId="1068" xr:uid="{00000000-0005-0000-0000-0000D20F0000}"/>
    <cellStyle name="_집행(1)_골재원변경 실정보고(수정분최종)_구보종합건설(관당-흑포)내역서(7.11)" xfId="1069" xr:uid="{00000000-0005-0000-0000-0000D30F0000}"/>
    <cellStyle name="_집행(1)_골재원변경 실정보고(수정분최종)_구보종합건설(관당-흑포)내역서(7.11)_관당-흑포)최종내역서(070713)" xfId="1070" xr:uid="{00000000-0005-0000-0000-0000D40F0000}"/>
    <cellStyle name="_집행(1)_골재원변경 실정보고(수정분최종)_신호등설치(관당-흑포)내역서-070612" xfId="1071" xr:uid="{00000000-0005-0000-0000-0000D50F0000}"/>
    <cellStyle name="_집행(1)_골재원변경 실정보고(수정분최종)_신호등설치(관당-흑포)내역서-070612_관당-흑포)최종내역서(070713)" xfId="1072" xr:uid="{00000000-0005-0000-0000-0000D60F0000}"/>
    <cellStyle name="_집행(1)_골재원변경 실정보고-050830" xfId="1073" xr:uid="{00000000-0005-0000-0000-0000D70F0000}"/>
    <cellStyle name="_집행(1)_골재원변경 실정보고-050830_구보종합건설(관당-흑포)내역서(7.11)" xfId="1074" xr:uid="{00000000-0005-0000-0000-0000D80F0000}"/>
    <cellStyle name="_집행(1)_골재원변경 실정보고-050830_구보종합건설(관당-흑포)내역서(7.11)_관당-흑포)최종내역서(070713)" xfId="1075" xr:uid="{00000000-0005-0000-0000-0000D90F0000}"/>
    <cellStyle name="_집행(1)_골재원변경 실정보고-050830_신호등설치(관당-흑포)내역서-070612" xfId="1076" xr:uid="{00000000-0005-0000-0000-0000DA0F0000}"/>
    <cellStyle name="_집행(1)_골재원변경 실정보고-050830_신호등설치(관당-흑포)내역서-070612_관당-흑포)최종내역서(070713)" xfId="1077" xr:uid="{00000000-0005-0000-0000-0000DB0F0000}"/>
    <cellStyle name="_집행(1)_구보종합건설(관당-흑포)내역서(7.11)" xfId="1078" xr:uid="{00000000-0005-0000-0000-0000DC0F0000}"/>
    <cellStyle name="_집행(1)_구보종합건설(관당-흑포)내역서(7.11)_관당-흑포)최종내역서(070713)" xfId="1079" xr:uid="{00000000-0005-0000-0000-0000DD0F0000}"/>
    <cellStyle name="_집행(1)_선정안(삼산)" xfId="1080" xr:uid="{00000000-0005-0000-0000-0000DE0F0000}"/>
    <cellStyle name="_집행(1)_선정안(삼산)_골재원변경 실정보고(수정분)" xfId="1081" xr:uid="{00000000-0005-0000-0000-0000DF0F0000}"/>
    <cellStyle name="_집행(1)_선정안(삼산)_골재원변경 실정보고(수정분)_구보종합건설(관당-흑포)내역서(7.11)" xfId="1082" xr:uid="{00000000-0005-0000-0000-0000E00F0000}"/>
    <cellStyle name="_집행(1)_선정안(삼산)_골재원변경 실정보고(수정분)_구보종합건설(관당-흑포)내역서(7.11)_관당-흑포)최종내역서(070713)" xfId="1083" xr:uid="{00000000-0005-0000-0000-0000E10F0000}"/>
    <cellStyle name="_집행(1)_선정안(삼산)_골재원변경 실정보고(수정분)_신호등설치(관당-흑포)내역서-070612" xfId="1084" xr:uid="{00000000-0005-0000-0000-0000E20F0000}"/>
    <cellStyle name="_집행(1)_선정안(삼산)_골재원변경 실정보고(수정분)_신호등설치(관당-흑포)내역서-070612_관당-흑포)최종내역서(070713)" xfId="1085" xr:uid="{00000000-0005-0000-0000-0000E30F0000}"/>
    <cellStyle name="_집행(1)_선정안(삼산)_골재원변경 실정보고(수정분최종)" xfId="1086" xr:uid="{00000000-0005-0000-0000-0000E40F0000}"/>
    <cellStyle name="_집행(1)_선정안(삼산)_골재원변경 실정보고(수정분최종)_구보종합건설(관당-흑포)내역서(7.11)" xfId="1087" xr:uid="{00000000-0005-0000-0000-0000E50F0000}"/>
    <cellStyle name="_집행(1)_선정안(삼산)_골재원변경 실정보고(수정분최종)_구보종합건설(관당-흑포)내역서(7.11)_관당-흑포)최종내역서(070713)" xfId="1088" xr:uid="{00000000-0005-0000-0000-0000E60F0000}"/>
    <cellStyle name="_집행(1)_선정안(삼산)_골재원변경 실정보고(수정분최종)_신호등설치(관당-흑포)내역서-070612" xfId="1089" xr:uid="{00000000-0005-0000-0000-0000E70F0000}"/>
    <cellStyle name="_집행(1)_선정안(삼산)_골재원변경 실정보고(수정분최종)_신호등설치(관당-흑포)내역서-070612_관당-흑포)최종내역서(070713)" xfId="1090" xr:uid="{00000000-0005-0000-0000-0000E80F0000}"/>
    <cellStyle name="_집행(1)_선정안(삼산)_골재원변경 실정보고-050830" xfId="1091" xr:uid="{00000000-0005-0000-0000-0000E90F0000}"/>
    <cellStyle name="_집행(1)_선정안(삼산)_골재원변경 실정보고-050830_구보종합건설(관당-흑포)내역서(7.11)" xfId="1092" xr:uid="{00000000-0005-0000-0000-0000EA0F0000}"/>
    <cellStyle name="_집행(1)_선정안(삼산)_골재원변경 실정보고-050830_구보종합건설(관당-흑포)내역서(7.11)_관당-흑포)최종내역서(070713)" xfId="1093" xr:uid="{00000000-0005-0000-0000-0000EB0F0000}"/>
    <cellStyle name="_집행(1)_선정안(삼산)_골재원변경 실정보고-050830_신호등설치(관당-흑포)내역서-070612" xfId="1094" xr:uid="{00000000-0005-0000-0000-0000EC0F0000}"/>
    <cellStyle name="_집행(1)_선정안(삼산)_골재원변경 실정보고-050830_신호등설치(관당-흑포)내역서-070612_관당-흑포)최종내역서(070713)" xfId="1095" xr:uid="{00000000-0005-0000-0000-0000ED0F0000}"/>
    <cellStyle name="_집행(1)_선정안(삼산)_구보종합건설(관당-흑포)내역서(7.11)" xfId="1096" xr:uid="{00000000-0005-0000-0000-0000EE0F0000}"/>
    <cellStyle name="_집행(1)_선정안(삼산)_구보종합건설(관당-흑포)내역서(7.11)_관당-흑포)최종내역서(070713)" xfId="1097" xr:uid="{00000000-0005-0000-0000-0000EF0F0000}"/>
    <cellStyle name="_집행(1)_선정안(삼산)_신호등설치(관당-흑포)내역서-070612" xfId="1098" xr:uid="{00000000-0005-0000-0000-0000F00F0000}"/>
    <cellStyle name="_집행(1)_선정안(삼산)_신호등설치(관당-흑포)내역서-070612_관당-흑포)최종내역서(070713)" xfId="1099" xr:uid="{00000000-0005-0000-0000-0000F10F0000}"/>
    <cellStyle name="_집행(1)_신호등설치(관당-흑포)내역서-070612" xfId="1100" xr:uid="{00000000-0005-0000-0000-0000F20F0000}"/>
    <cellStyle name="_집행(1)_신호등설치(관당-흑포)내역서-070612_관당-흑포)최종내역서(070713)" xfId="1101" xr:uid="{00000000-0005-0000-0000-0000F30F0000}"/>
    <cellStyle name="_집행(1)_추풍령" xfId="1102" xr:uid="{00000000-0005-0000-0000-0000F40F0000}"/>
    <cellStyle name="_집행(1)_추풍령_골재원변경 실정보고(수정분)" xfId="1103" xr:uid="{00000000-0005-0000-0000-0000F50F0000}"/>
    <cellStyle name="_집행(1)_추풍령_골재원변경 실정보고(수정분)_구보종합건설(관당-흑포)내역서(7.11)" xfId="1104" xr:uid="{00000000-0005-0000-0000-0000F60F0000}"/>
    <cellStyle name="_집행(1)_추풍령_골재원변경 실정보고(수정분)_구보종합건설(관당-흑포)내역서(7.11)_관당-흑포)최종내역서(070713)" xfId="1105" xr:uid="{00000000-0005-0000-0000-0000F70F0000}"/>
    <cellStyle name="_집행(1)_추풍령_골재원변경 실정보고(수정분)_신호등설치(관당-흑포)내역서-070612" xfId="1106" xr:uid="{00000000-0005-0000-0000-0000F80F0000}"/>
    <cellStyle name="_집행(1)_추풍령_골재원변경 실정보고(수정분)_신호등설치(관당-흑포)내역서-070612_관당-흑포)최종내역서(070713)" xfId="1107" xr:uid="{00000000-0005-0000-0000-0000F90F0000}"/>
    <cellStyle name="_집행(1)_추풍령_골재원변경 실정보고(수정분최종)" xfId="1108" xr:uid="{00000000-0005-0000-0000-0000FA0F0000}"/>
    <cellStyle name="_집행(1)_추풍령_골재원변경 실정보고(수정분최종)_구보종합건설(관당-흑포)내역서(7.11)" xfId="1109" xr:uid="{00000000-0005-0000-0000-0000FB0F0000}"/>
    <cellStyle name="_집행(1)_추풍령_골재원변경 실정보고(수정분최종)_구보종합건설(관당-흑포)내역서(7.11)_관당-흑포)최종내역서(070713)" xfId="1110" xr:uid="{00000000-0005-0000-0000-0000FC0F0000}"/>
    <cellStyle name="_집행(1)_추풍령_골재원변경 실정보고(수정분최종)_신호등설치(관당-흑포)내역서-070612" xfId="1111" xr:uid="{00000000-0005-0000-0000-0000FD0F0000}"/>
    <cellStyle name="_집행(1)_추풍령_골재원변경 실정보고(수정분최종)_신호등설치(관당-흑포)내역서-070612_관당-흑포)최종내역서(070713)" xfId="1112" xr:uid="{00000000-0005-0000-0000-0000FE0F0000}"/>
    <cellStyle name="_집행(1)_추풍령_골재원변경 실정보고-050830" xfId="1113" xr:uid="{00000000-0005-0000-0000-0000FF0F0000}"/>
    <cellStyle name="_집행(1)_추풍령_골재원변경 실정보고-050830_구보종합건설(관당-흑포)내역서(7.11)" xfId="1114" xr:uid="{00000000-0005-0000-0000-000000100000}"/>
    <cellStyle name="_집행(1)_추풍령_골재원변경 실정보고-050830_구보종합건설(관당-흑포)내역서(7.11)_관당-흑포)최종내역서(070713)" xfId="1115" xr:uid="{00000000-0005-0000-0000-000001100000}"/>
    <cellStyle name="_집행(1)_추풍령_골재원변경 실정보고-050830_신호등설치(관당-흑포)내역서-070612" xfId="1116" xr:uid="{00000000-0005-0000-0000-000002100000}"/>
    <cellStyle name="_집행(1)_추풍령_골재원변경 실정보고-050830_신호등설치(관당-흑포)내역서-070612_관당-흑포)최종내역서(070713)" xfId="1117" xr:uid="{00000000-0005-0000-0000-000003100000}"/>
    <cellStyle name="_집행(1)_추풍령_구보종합건설(관당-흑포)내역서(7.11)" xfId="1118" xr:uid="{00000000-0005-0000-0000-000004100000}"/>
    <cellStyle name="_집행(1)_추풍령_구보종합건설(관당-흑포)내역서(7.11)_관당-흑포)최종내역서(070713)" xfId="1119" xr:uid="{00000000-0005-0000-0000-000005100000}"/>
    <cellStyle name="_집행(1)_추풍령_신호등설치(관당-흑포)내역서-070612" xfId="1120" xr:uid="{00000000-0005-0000-0000-000006100000}"/>
    <cellStyle name="_집행(1)_추풍령_신호등설치(관당-흑포)내역서-070612_관당-흑포)최종내역서(070713)" xfId="1121" xr:uid="{00000000-0005-0000-0000-000007100000}"/>
    <cellStyle name="_집행(1)_추풍령-1" xfId="1122" xr:uid="{00000000-0005-0000-0000-000008100000}"/>
    <cellStyle name="_집행(1)_추풍령-1_골재원변경 실정보고(수정분)" xfId="1123" xr:uid="{00000000-0005-0000-0000-000009100000}"/>
    <cellStyle name="_집행(1)_추풍령-1_골재원변경 실정보고(수정분)_구보종합건설(관당-흑포)내역서(7.11)" xfId="1124" xr:uid="{00000000-0005-0000-0000-00000A100000}"/>
    <cellStyle name="_집행(1)_추풍령-1_골재원변경 실정보고(수정분)_구보종합건설(관당-흑포)내역서(7.11)_관당-흑포)최종내역서(070713)" xfId="1125" xr:uid="{00000000-0005-0000-0000-00000B100000}"/>
    <cellStyle name="_집행(1)_추풍령-1_골재원변경 실정보고(수정분)_신호등설치(관당-흑포)내역서-070612" xfId="1126" xr:uid="{00000000-0005-0000-0000-00000C100000}"/>
    <cellStyle name="_집행(1)_추풍령-1_골재원변경 실정보고(수정분)_신호등설치(관당-흑포)내역서-070612_관당-흑포)최종내역서(070713)" xfId="1127" xr:uid="{00000000-0005-0000-0000-00000D100000}"/>
    <cellStyle name="_집행(1)_추풍령-1_골재원변경 실정보고(수정분최종)" xfId="1128" xr:uid="{00000000-0005-0000-0000-00000E100000}"/>
    <cellStyle name="_집행(1)_추풍령-1_골재원변경 실정보고(수정분최종)_구보종합건설(관당-흑포)내역서(7.11)" xfId="1129" xr:uid="{00000000-0005-0000-0000-00000F100000}"/>
    <cellStyle name="_집행(1)_추풍령-1_골재원변경 실정보고(수정분최종)_구보종합건설(관당-흑포)내역서(7.11)_관당-흑포)최종내역서(070713)" xfId="1130" xr:uid="{00000000-0005-0000-0000-000010100000}"/>
    <cellStyle name="_집행(1)_추풍령-1_골재원변경 실정보고(수정분최종)_신호등설치(관당-흑포)내역서-070612" xfId="1131" xr:uid="{00000000-0005-0000-0000-000011100000}"/>
    <cellStyle name="_집행(1)_추풍령-1_골재원변경 실정보고(수정분최종)_신호등설치(관당-흑포)내역서-070612_관당-흑포)최종내역서(070713)" xfId="1132" xr:uid="{00000000-0005-0000-0000-000012100000}"/>
    <cellStyle name="_집행(1)_추풍령-1_골재원변경 실정보고-050830" xfId="1133" xr:uid="{00000000-0005-0000-0000-000013100000}"/>
    <cellStyle name="_집행(1)_추풍령-1_골재원변경 실정보고-050830_구보종합건설(관당-흑포)내역서(7.11)" xfId="1134" xr:uid="{00000000-0005-0000-0000-000014100000}"/>
    <cellStyle name="_집행(1)_추풍령-1_골재원변경 실정보고-050830_구보종합건설(관당-흑포)내역서(7.11)_관당-흑포)최종내역서(070713)" xfId="1135" xr:uid="{00000000-0005-0000-0000-000015100000}"/>
    <cellStyle name="_집행(1)_추풍령-1_골재원변경 실정보고-050830_신호등설치(관당-흑포)내역서-070612" xfId="1136" xr:uid="{00000000-0005-0000-0000-000016100000}"/>
    <cellStyle name="_집행(1)_추풍령-1_골재원변경 실정보고-050830_신호등설치(관당-흑포)내역서-070612_관당-흑포)최종내역서(070713)" xfId="1137" xr:uid="{00000000-0005-0000-0000-000017100000}"/>
    <cellStyle name="_집행(1)_추풍령-1_구보종합건설(관당-흑포)내역서(7.11)" xfId="1138" xr:uid="{00000000-0005-0000-0000-000018100000}"/>
    <cellStyle name="_집행(1)_추풍령-1_구보종합건설(관당-흑포)내역서(7.11)_관당-흑포)최종내역서(070713)" xfId="1139" xr:uid="{00000000-0005-0000-0000-000019100000}"/>
    <cellStyle name="_집행(1)_추풍령-1_신호등설치(관당-흑포)내역서-070612" xfId="1140" xr:uid="{00000000-0005-0000-0000-00001A100000}"/>
    <cellStyle name="_집행(1)_추풍령-1_신호등설치(관당-흑포)내역서-070612_관당-흑포)최종내역서(070713)" xfId="1141" xr:uid="{00000000-0005-0000-0000-00001B100000}"/>
    <cellStyle name="_집행(2)" xfId="1142" xr:uid="{00000000-0005-0000-0000-00001C100000}"/>
    <cellStyle name="_집행(2)_골재원변경 실정보고(수정분)" xfId="1143" xr:uid="{00000000-0005-0000-0000-00001D100000}"/>
    <cellStyle name="_집행(2)_골재원변경 실정보고(수정분)_구보종합건설(관당-흑포)내역서(7.11)" xfId="1144" xr:uid="{00000000-0005-0000-0000-00001E100000}"/>
    <cellStyle name="_집행(2)_골재원변경 실정보고(수정분)_구보종합건설(관당-흑포)내역서(7.11)_관당-흑포)최종내역서(070713)" xfId="1145" xr:uid="{00000000-0005-0000-0000-00001F100000}"/>
    <cellStyle name="_집행(2)_골재원변경 실정보고(수정분)_신호등설치(관당-흑포)내역서-070612" xfId="1146" xr:uid="{00000000-0005-0000-0000-000020100000}"/>
    <cellStyle name="_집행(2)_골재원변경 실정보고(수정분)_신호등설치(관당-흑포)내역서-070612_관당-흑포)최종내역서(070713)" xfId="1147" xr:uid="{00000000-0005-0000-0000-000021100000}"/>
    <cellStyle name="_집행(2)_골재원변경 실정보고(수정분최종)" xfId="1148" xr:uid="{00000000-0005-0000-0000-000022100000}"/>
    <cellStyle name="_집행(2)_골재원변경 실정보고(수정분최종)_구보종합건설(관당-흑포)내역서(7.11)" xfId="1149" xr:uid="{00000000-0005-0000-0000-000023100000}"/>
    <cellStyle name="_집행(2)_골재원변경 실정보고(수정분최종)_구보종합건설(관당-흑포)내역서(7.11)_관당-흑포)최종내역서(070713)" xfId="1150" xr:uid="{00000000-0005-0000-0000-000024100000}"/>
    <cellStyle name="_집행(2)_골재원변경 실정보고(수정분최종)_신호등설치(관당-흑포)내역서-070612" xfId="1151" xr:uid="{00000000-0005-0000-0000-000025100000}"/>
    <cellStyle name="_집행(2)_골재원변경 실정보고(수정분최종)_신호등설치(관당-흑포)내역서-070612_관당-흑포)최종내역서(070713)" xfId="1152" xr:uid="{00000000-0005-0000-0000-000026100000}"/>
    <cellStyle name="_집행(2)_골재원변경 실정보고-050830" xfId="1153" xr:uid="{00000000-0005-0000-0000-000027100000}"/>
    <cellStyle name="_집행(2)_골재원변경 실정보고-050830_구보종합건설(관당-흑포)내역서(7.11)" xfId="1154" xr:uid="{00000000-0005-0000-0000-000028100000}"/>
    <cellStyle name="_집행(2)_골재원변경 실정보고-050830_구보종합건설(관당-흑포)내역서(7.11)_관당-흑포)최종내역서(070713)" xfId="1155" xr:uid="{00000000-0005-0000-0000-000029100000}"/>
    <cellStyle name="_집행(2)_골재원변경 실정보고-050830_신호등설치(관당-흑포)내역서-070612" xfId="1156" xr:uid="{00000000-0005-0000-0000-00002A100000}"/>
    <cellStyle name="_집행(2)_골재원변경 실정보고-050830_신호등설치(관당-흑포)내역서-070612_관당-흑포)최종내역서(070713)" xfId="1157" xr:uid="{00000000-0005-0000-0000-00002B100000}"/>
    <cellStyle name="_집행(2)_구보종합건설(관당-흑포)내역서(7.11)" xfId="1158" xr:uid="{00000000-0005-0000-0000-00002C100000}"/>
    <cellStyle name="_집행(2)_구보종합건설(관당-흑포)내역서(7.11)_관당-흑포)최종내역서(070713)" xfId="1159" xr:uid="{00000000-0005-0000-0000-00002D100000}"/>
    <cellStyle name="_집행(2)_선정안(삼산)" xfId="1160" xr:uid="{00000000-0005-0000-0000-00002E100000}"/>
    <cellStyle name="_집행(2)_선정안(삼산)_골재원변경 실정보고(수정분)" xfId="1161" xr:uid="{00000000-0005-0000-0000-00002F100000}"/>
    <cellStyle name="_집행(2)_선정안(삼산)_골재원변경 실정보고(수정분)_구보종합건설(관당-흑포)내역서(7.11)" xfId="1162" xr:uid="{00000000-0005-0000-0000-000030100000}"/>
    <cellStyle name="_집행(2)_선정안(삼산)_골재원변경 실정보고(수정분)_구보종합건설(관당-흑포)내역서(7.11)_관당-흑포)최종내역서(070713)" xfId="1163" xr:uid="{00000000-0005-0000-0000-000031100000}"/>
    <cellStyle name="_집행(2)_선정안(삼산)_골재원변경 실정보고(수정분)_신호등설치(관당-흑포)내역서-070612" xfId="1164" xr:uid="{00000000-0005-0000-0000-000032100000}"/>
    <cellStyle name="_집행(2)_선정안(삼산)_골재원변경 실정보고(수정분)_신호등설치(관당-흑포)내역서-070612_관당-흑포)최종내역서(070713)" xfId="1165" xr:uid="{00000000-0005-0000-0000-000033100000}"/>
    <cellStyle name="_집행(2)_선정안(삼산)_골재원변경 실정보고(수정분최종)" xfId="1166" xr:uid="{00000000-0005-0000-0000-000034100000}"/>
    <cellStyle name="_집행(2)_선정안(삼산)_골재원변경 실정보고(수정분최종)_구보종합건설(관당-흑포)내역서(7.11)" xfId="1167" xr:uid="{00000000-0005-0000-0000-000035100000}"/>
    <cellStyle name="_집행(2)_선정안(삼산)_골재원변경 실정보고(수정분최종)_구보종합건설(관당-흑포)내역서(7.11)_관당-흑포)최종내역서(070713)" xfId="1168" xr:uid="{00000000-0005-0000-0000-000036100000}"/>
    <cellStyle name="_집행(2)_선정안(삼산)_골재원변경 실정보고(수정분최종)_신호등설치(관당-흑포)내역서-070612" xfId="1169" xr:uid="{00000000-0005-0000-0000-000037100000}"/>
    <cellStyle name="_집행(2)_선정안(삼산)_골재원변경 실정보고(수정분최종)_신호등설치(관당-흑포)내역서-070612_관당-흑포)최종내역서(070713)" xfId="1170" xr:uid="{00000000-0005-0000-0000-000038100000}"/>
    <cellStyle name="_집행(2)_선정안(삼산)_골재원변경 실정보고-050830" xfId="1171" xr:uid="{00000000-0005-0000-0000-000039100000}"/>
    <cellStyle name="_집행(2)_선정안(삼산)_골재원변경 실정보고-050830_구보종합건설(관당-흑포)내역서(7.11)" xfId="1172" xr:uid="{00000000-0005-0000-0000-00003A100000}"/>
    <cellStyle name="_집행(2)_선정안(삼산)_골재원변경 실정보고-050830_구보종합건설(관당-흑포)내역서(7.11)_관당-흑포)최종내역서(070713)" xfId="1173" xr:uid="{00000000-0005-0000-0000-00003B100000}"/>
    <cellStyle name="_집행(2)_선정안(삼산)_골재원변경 실정보고-050830_신호등설치(관당-흑포)내역서-070612" xfId="1174" xr:uid="{00000000-0005-0000-0000-00003C100000}"/>
    <cellStyle name="_집행(2)_선정안(삼산)_골재원변경 실정보고-050830_신호등설치(관당-흑포)내역서-070612_관당-흑포)최종내역서(070713)" xfId="1175" xr:uid="{00000000-0005-0000-0000-00003D100000}"/>
    <cellStyle name="_집행(2)_선정안(삼산)_구보종합건설(관당-흑포)내역서(7.11)" xfId="1176" xr:uid="{00000000-0005-0000-0000-00003E100000}"/>
    <cellStyle name="_집행(2)_선정안(삼산)_구보종합건설(관당-흑포)내역서(7.11)_관당-흑포)최종내역서(070713)" xfId="1177" xr:uid="{00000000-0005-0000-0000-00003F100000}"/>
    <cellStyle name="_집행(2)_선정안(삼산)_신호등설치(관당-흑포)내역서-070612" xfId="1178" xr:uid="{00000000-0005-0000-0000-000040100000}"/>
    <cellStyle name="_집행(2)_선정안(삼산)_신호등설치(관당-흑포)내역서-070612_관당-흑포)최종내역서(070713)" xfId="1179" xr:uid="{00000000-0005-0000-0000-000041100000}"/>
    <cellStyle name="_집행(2)_신호등설치(관당-흑포)내역서-070612" xfId="1180" xr:uid="{00000000-0005-0000-0000-000042100000}"/>
    <cellStyle name="_집행(2)_신호등설치(관당-흑포)내역서-070612_관당-흑포)최종내역서(070713)" xfId="1181" xr:uid="{00000000-0005-0000-0000-000043100000}"/>
    <cellStyle name="_집행(2)_추풍령" xfId="1182" xr:uid="{00000000-0005-0000-0000-000044100000}"/>
    <cellStyle name="_집행(2)_추풍령_골재원변경 실정보고(수정분)" xfId="1183" xr:uid="{00000000-0005-0000-0000-000045100000}"/>
    <cellStyle name="_집행(2)_추풍령_골재원변경 실정보고(수정분)_구보종합건설(관당-흑포)내역서(7.11)" xfId="1184" xr:uid="{00000000-0005-0000-0000-000046100000}"/>
    <cellStyle name="_집행(2)_추풍령_골재원변경 실정보고(수정분)_구보종합건설(관당-흑포)내역서(7.11)_관당-흑포)최종내역서(070713)" xfId="1185" xr:uid="{00000000-0005-0000-0000-000047100000}"/>
    <cellStyle name="_집행(2)_추풍령_골재원변경 실정보고(수정분)_신호등설치(관당-흑포)내역서-070612" xfId="1186" xr:uid="{00000000-0005-0000-0000-000048100000}"/>
    <cellStyle name="_집행(2)_추풍령_골재원변경 실정보고(수정분)_신호등설치(관당-흑포)내역서-070612_관당-흑포)최종내역서(070713)" xfId="1187" xr:uid="{00000000-0005-0000-0000-000049100000}"/>
    <cellStyle name="_집행(2)_추풍령_골재원변경 실정보고(수정분최종)" xfId="1188" xr:uid="{00000000-0005-0000-0000-00004A100000}"/>
    <cellStyle name="_집행(2)_추풍령_골재원변경 실정보고(수정분최종)_구보종합건설(관당-흑포)내역서(7.11)" xfId="1189" xr:uid="{00000000-0005-0000-0000-00004B100000}"/>
    <cellStyle name="_집행(2)_추풍령_골재원변경 실정보고(수정분최종)_구보종합건설(관당-흑포)내역서(7.11)_관당-흑포)최종내역서(070713)" xfId="1190" xr:uid="{00000000-0005-0000-0000-00004C100000}"/>
    <cellStyle name="_집행(2)_추풍령_골재원변경 실정보고(수정분최종)_신호등설치(관당-흑포)내역서-070612" xfId="1191" xr:uid="{00000000-0005-0000-0000-00004D100000}"/>
    <cellStyle name="_집행(2)_추풍령_골재원변경 실정보고(수정분최종)_신호등설치(관당-흑포)내역서-070612_관당-흑포)최종내역서(070713)" xfId="1192" xr:uid="{00000000-0005-0000-0000-00004E100000}"/>
    <cellStyle name="_집행(2)_추풍령_골재원변경 실정보고-050830" xfId="1193" xr:uid="{00000000-0005-0000-0000-00004F100000}"/>
    <cellStyle name="_집행(2)_추풍령_골재원변경 실정보고-050830_구보종합건설(관당-흑포)내역서(7.11)" xfId="1194" xr:uid="{00000000-0005-0000-0000-000050100000}"/>
    <cellStyle name="_집행(2)_추풍령_골재원변경 실정보고-050830_구보종합건설(관당-흑포)내역서(7.11)_관당-흑포)최종내역서(070713)" xfId="1195" xr:uid="{00000000-0005-0000-0000-000051100000}"/>
    <cellStyle name="_집행(2)_추풍령_골재원변경 실정보고-050830_신호등설치(관당-흑포)내역서-070612" xfId="1196" xr:uid="{00000000-0005-0000-0000-000052100000}"/>
    <cellStyle name="_집행(2)_추풍령_골재원변경 실정보고-050830_신호등설치(관당-흑포)내역서-070612_관당-흑포)최종내역서(070713)" xfId="1197" xr:uid="{00000000-0005-0000-0000-000053100000}"/>
    <cellStyle name="_집행(2)_추풍령_구보종합건설(관당-흑포)내역서(7.11)" xfId="1198" xr:uid="{00000000-0005-0000-0000-000054100000}"/>
    <cellStyle name="_집행(2)_추풍령_구보종합건설(관당-흑포)내역서(7.11)_관당-흑포)최종내역서(070713)" xfId="1199" xr:uid="{00000000-0005-0000-0000-000055100000}"/>
    <cellStyle name="_집행(2)_추풍령_신호등설치(관당-흑포)내역서-070612" xfId="1200" xr:uid="{00000000-0005-0000-0000-000056100000}"/>
    <cellStyle name="_집행(2)_추풍령_신호등설치(관당-흑포)내역서-070612_관당-흑포)최종내역서(070713)" xfId="1201" xr:uid="{00000000-0005-0000-0000-000057100000}"/>
    <cellStyle name="_집행(2)_추풍령-1" xfId="1202" xr:uid="{00000000-0005-0000-0000-000058100000}"/>
    <cellStyle name="_집행(2)_추풍령-1_골재원변경 실정보고(수정분)" xfId="1203" xr:uid="{00000000-0005-0000-0000-000059100000}"/>
    <cellStyle name="_집행(2)_추풍령-1_골재원변경 실정보고(수정분)_구보종합건설(관당-흑포)내역서(7.11)" xfId="1204" xr:uid="{00000000-0005-0000-0000-00005A100000}"/>
    <cellStyle name="_집행(2)_추풍령-1_골재원변경 실정보고(수정분)_구보종합건설(관당-흑포)내역서(7.11)_관당-흑포)최종내역서(070713)" xfId="1205" xr:uid="{00000000-0005-0000-0000-00005B100000}"/>
    <cellStyle name="_집행(2)_추풍령-1_골재원변경 실정보고(수정분)_신호등설치(관당-흑포)내역서-070612" xfId="1206" xr:uid="{00000000-0005-0000-0000-00005C100000}"/>
    <cellStyle name="_집행(2)_추풍령-1_골재원변경 실정보고(수정분)_신호등설치(관당-흑포)내역서-070612_관당-흑포)최종내역서(070713)" xfId="1207" xr:uid="{00000000-0005-0000-0000-00005D100000}"/>
    <cellStyle name="_집행(2)_추풍령-1_골재원변경 실정보고(수정분최종)" xfId="1208" xr:uid="{00000000-0005-0000-0000-00005E100000}"/>
    <cellStyle name="_집행(2)_추풍령-1_골재원변경 실정보고(수정분최종)_구보종합건설(관당-흑포)내역서(7.11)" xfId="1209" xr:uid="{00000000-0005-0000-0000-00005F100000}"/>
    <cellStyle name="_집행(2)_추풍령-1_골재원변경 실정보고(수정분최종)_구보종합건설(관당-흑포)내역서(7.11)_관당-흑포)최종내역서(070713)" xfId="1210" xr:uid="{00000000-0005-0000-0000-000060100000}"/>
    <cellStyle name="_집행(2)_추풍령-1_골재원변경 실정보고(수정분최종)_신호등설치(관당-흑포)내역서-070612" xfId="1211" xr:uid="{00000000-0005-0000-0000-000061100000}"/>
    <cellStyle name="_집행(2)_추풍령-1_골재원변경 실정보고(수정분최종)_신호등설치(관당-흑포)내역서-070612_관당-흑포)최종내역서(070713)" xfId="1212" xr:uid="{00000000-0005-0000-0000-000062100000}"/>
    <cellStyle name="_집행(2)_추풍령-1_골재원변경 실정보고-050830" xfId="1213" xr:uid="{00000000-0005-0000-0000-000063100000}"/>
    <cellStyle name="_집행(2)_추풍령-1_골재원변경 실정보고-050830_구보종합건설(관당-흑포)내역서(7.11)" xfId="1214" xr:uid="{00000000-0005-0000-0000-000064100000}"/>
    <cellStyle name="_집행(2)_추풍령-1_골재원변경 실정보고-050830_구보종합건설(관당-흑포)내역서(7.11)_관당-흑포)최종내역서(070713)" xfId="1215" xr:uid="{00000000-0005-0000-0000-000065100000}"/>
    <cellStyle name="_집행(2)_추풍령-1_골재원변경 실정보고-050830_신호등설치(관당-흑포)내역서-070612" xfId="1216" xr:uid="{00000000-0005-0000-0000-000066100000}"/>
    <cellStyle name="_집행(2)_추풍령-1_골재원변경 실정보고-050830_신호등설치(관당-흑포)내역서-070612_관당-흑포)최종내역서(070713)" xfId="1217" xr:uid="{00000000-0005-0000-0000-000067100000}"/>
    <cellStyle name="_집행(2)_추풍령-1_구보종합건설(관당-흑포)내역서(7.11)" xfId="1218" xr:uid="{00000000-0005-0000-0000-000068100000}"/>
    <cellStyle name="_집행(2)_추풍령-1_구보종합건설(관당-흑포)내역서(7.11)_관당-흑포)최종내역서(070713)" xfId="1219" xr:uid="{00000000-0005-0000-0000-000069100000}"/>
    <cellStyle name="_집행(2)_추풍령-1_신호등설치(관당-흑포)내역서-070612" xfId="1220" xr:uid="{00000000-0005-0000-0000-00006A100000}"/>
    <cellStyle name="_집행(2)_추풍령-1_신호등설치(관당-흑포)내역서-070612_관당-흑포)최종내역서(070713)" xfId="1221" xr:uid="{00000000-0005-0000-0000-00006B100000}"/>
    <cellStyle name="_집행갑지 " xfId="5004" xr:uid="{00000000-0005-0000-0000-00006C100000}"/>
    <cellStyle name="_차량검지기 단위산출서" xfId="3998" xr:uid="{00000000-0005-0000-0000-00006D100000}"/>
    <cellStyle name="_차량등철주기초(2004년)-영모_기계경비만들기 " xfId="1222" xr:uid="{00000000-0005-0000-0000-00006E100000}"/>
    <cellStyle name="_창(에리트(설치제외)" xfId="1223" xr:uid="{00000000-0005-0000-0000-00006F100000}"/>
    <cellStyle name="_천안(가로등 및 신호등 설치공사)_기계경비만들기 " xfId="1224" xr:uid="{00000000-0005-0000-0000-000070100000}"/>
    <cellStyle name="_철도복선화지장전주이설기별명세서" xfId="3999" xr:uid="{00000000-0005-0000-0000-000071100000}"/>
    <cellStyle name="_청주우회(남면-북면)" xfId="7207" xr:uid="{00000000-0005-0000-0000-000072100000}"/>
    <cellStyle name="_청주우회(남면-북면)_(무안)가실행" xfId="7208" xr:uid="{00000000-0005-0000-0000-000073100000}"/>
    <cellStyle name="_청주우회(남면-북면)_(무안)가실행_2003발주설계서2" xfId="7209" xr:uid="{00000000-0005-0000-0000-000074100000}"/>
    <cellStyle name="_청주우회(남면-북면)_~att2B5A" xfId="7210" xr:uid="{00000000-0005-0000-0000-000075100000}"/>
    <cellStyle name="_청주우회(남면-북면)_~att2B5A_2003발주설계서2" xfId="7211" xr:uid="{00000000-0005-0000-0000-000076100000}"/>
    <cellStyle name="_청주우회(남면-북면)_2003발주설계서2" xfId="7212" xr:uid="{00000000-0005-0000-0000-000077100000}"/>
    <cellStyle name="_청주우회(남면-북면)_3.0무안광주3공구(입찰가실행-최종)" xfId="7213" xr:uid="{00000000-0005-0000-0000-000078100000}"/>
    <cellStyle name="_청주우회(남면-북면)_3.0무안광주3공구(입찰가실행-최종)_(무안)가실행" xfId="7214" xr:uid="{00000000-0005-0000-0000-000079100000}"/>
    <cellStyle name="_청주우회(남면-북면)_3.0무안광주3공구(입찰가실행-최종)_(무안)가실행_2003발주설계서2" xfId="7215" xr:uid="{00000000-0005-0000-0000-00007A100000}"/>
    <cellStyle name="_청주우회(남면-북면)_3.0무안광주3공구(입찰가실행-최종)_2003발주설계서2" xfId="7216" xr:uid="{00000000-0005-0000-0000-00007B100000}"/>
    <cellStyle name="_청주우회(남면-북면)_고창장성1공구(가실행-최종)" xfId="7217" xr:uid="{00000000-0005-0000-0000-00007C100000}"/>
    <cellStyle name="_청주우회(남면-북면)_고창장성1공구(가실행-최종)_2003발주설계서2" xfId="7218" xr:uid="{00000000-0005-0000-0000-00007D100000}"/>
    <cellStyle name="_청주우회(남면-북면)_고창장성1공구일위대가" xfId="7219" xr:uid="{00000000-0005-0000-0000-00007E100000}"/>
    <cellStyle name="_청주우회(남면-북면)_고창장성1공구일위대가_2003발주설계서2" xfId="7220" xr:uid="{00000000-0005-0000-0000-00007F100000}"/>
    <cellStyle name="_청주전송도" xfId="4000" xr:uid="{00000000-0005-0000-0000-000080100000}"/>
    <cellStyle name="_최종원가_중앙우체국 BAS_050809" xfId="4001" xr:uid="{00000000-0005-0000-0000-000081100000}"/>
    <cellStyle name="_춘천전화국증축통신+개요" xfId="1225" xr:uid="{00000000-0005-0000-0000-000082100000}"/>
    <cellStyle name="_춘천합동내역+개요(수정한최종)" xfId="1226" xr:uid="{00000000-0005-0000-0000-000083100000}"/>
    <cellStyle name="_침입감시 견적서" xfId="1227" xr:uid="{00000000-0005-0000-0000-000084100000}"/>
    <cellStyle name="_케이블설계서(6군단)" xfId="4002" xr:uid="{00000000-0005-0000-0000-000085100000}"/>
    <cellStyle name="_케이블수량산출서(익산청)" xfId="4003" xr:uid="{00000000-0005-0000-0000-000086100000}"/>
    <cellStyle name="_태영.백운.삼한(설계)" xfId="4004" xr:uid="{00000000-0005-0000-0000-000087100000}"/>
    <cellStyle name="_터널보수(wjsrl+xhdtls)" xfId="1228" xr:uid="{00000000-0005-0000-0000-000088100000}"/>
    <cellStyle name="_테마공사새로03" xfId="1229" xr:uid="{00000000-0005-0000-0000-000089100000}"/>
    <cellStyle name="_토당초교전기내역서(계약내역서)" xfId="1230" xr:uid="{00000000-0005-0000-0000-00008A100000}"/>
    <cellStyle name="_토목공사_1차_견적요청(제출)" xfId="4005" xr:uid="{00000000-0005-0000-0000-00008B100000}"/>
    <cellStyle name="_통신(일위대가) 통신_(최종본)" xfId="1231" xr:uid="{00000000-0005-0000-0000-00008C100000}"/>
    <cellStyle name="_통신공사원가, 단가대비" xfId="4006" xr:uid="{00000000-0005-0000-0000-00008D100000}"/>
    <cellStyle name="_통신설비 수량 및 단가산출서" xfId="4007" xr:uid="{00000000-0005-0000-0000-00008E100000}"/>
    <cellStyle name="_통신수량및단가산출서_0523" xfId="4008" xr:uid="{00000000-0005-0000-0000-00008F100000}"/>
    <cellStyle name="_통신실내역" xfId="7221" xr:uid="{00000000-0005-0000-0000-000090100000}"/>
    <cellStyle name="_통합관제실(추가cctv)" xfId="7222" xr:uid="{00000000-0005-0000-0000-000091100000}"/>
    <cellStyle name="_파워콤간이공사관련" xfId="4009" xr:uid="{00000000-0005-0000-0000-000092100000}"/>
    <cellStyle name="_표준 견적서 2003년" xfId="1232" xr:uid="{00000000-0005-0000-0000-000093100000}"/>
    <cellStyle name="_표준_견적서(공사양식)" xfId="4010" xr:uid="{00000000-0005-0000-0000-000094100000}"/>
    <cellStyle name="_표준설계서(광장치)" xfId="7223" xr:uid="{00000000-0005-0000-0000-000095100000}"/>
    <cellStyle name="_표지" xfId="4011" xr:uid="{00000000-0005-0000-0000-000096100000}"/>
    <cellStyle name="_표지 및 원가계산" xfId="4012" xr:uid="{00000000-0005-0000-0000-000097100000}"/>
    <cellStyle name="_표지," xfId="4013" xr:uid="{00000000-0005-0000-0000-000098100000}"/>
    <cellStyle name="_표지_본관전원이설및전기개보수내역서" xfId="4014" xr:uid="{00000000-0005-0000-0000-000099100000}"/>
    <cellStyle name="_표지_표지 및 원가계산" xfId="4015" xr:uid="{00000000-0005-0000-0000-00009A100000}"/>
    <cellStyle name="_표지및원가계산" xfId="4016" xr:uid="{00000000-0005-0000-0000-00009B100000}"/>
    <cellStyle name="_하나로정산0" xfId="4017" xr:uid="{00000000-0005-0000-0000-00009C100000}"/>
    <cellStyle name="_하남 LG자이 APT 신호등 설치공사_기계경비만들기 " xfId="1233" xr:uid="{00000000-0005-0000-0000-00009D100000}"/>
    <cellStyle name="_한성간28순시적출분외4건" xfId="4018" xr:uid="{00000000-0005-0000-0000-00009E100000}"/>
    <cellStyle name="_한전수수료" xfId="4019" xr:uid="{00000000-0005-0000-0000-00009F100000}"/>
    <cellStyle name="_한전수탁비" xfId="1234" xr:uid="{00000000-0005-0000-0000-0000A0100000}"/>
    <cellStyle name="_한전전력구철거-정산내역서" xfId="4020" xr:uid="{00000000-0005-0000-0000-0000A1100000}"/>
    <cellStyle name="_합의서" xfId="1235" xr:uid="{00000000-0005-0000-0000-0000A2100000}"/>
    <cellStyle name="_합의서_골재원변경 실정보고(수정분)" xfId="1236" xr:uid="{00000000-0005-0000-0000-0000A3100000}"/>
    <cellStyle name="_합의서_골재원변경 실정보고(수정분)_구보종합건설(관당-흑포)내역서(7.11)" xfId="1237" xr:uid="{00000000-0005-0000-0000-0000A4100000}"/>
    <cellStyle name="_합의서_골재원변경 실정보고(수정분)_구보종합건설(관당-흑포)내역서(7.11)_관당-흑포)최종내역서(070713)" xfId="1238" xr:uid="{00000000-0005-0000-0000-0000A5100000}"/>
    <cellStyle name="_합의서_골재원변경 실정보고(수정분)_신호등설치(관당-흑포)내역서-070612" xfId="1239" xr:uid="{00000000-0005-0000-0000-0000A6100000}"/>
    <cellStyle name="_합의서_골재원변경 실정보고(수정분)_신호등설치(관당-흑포)내역서-070612_관당-흑포)최종내역서(070713)" xfId="1240" xr:uid="{00000000-0005-0000-0000-0000A7100000}"/>
    <cellStyle name="_합의서_골재원변경 실정보고(수정분최종)" xfId="1241" xr:uid="{00000000-0005-0000-0000-0000A8100000}"/>
    <cellStyle name="_합의서_골재원변경 실정보고(수정분최종)_구보종합건설(관당-흑포)내역서(7.11)" xfId="1242" xr:uid="{00000000-0005-0000-0000-0000A9100000}"/>
    <cellStyle name="_합의서_골재원변경 실정보고(수정분최종)_구보종합건설(관당-흑포)내역서(7.11)_관당-흑포)최종내역서(070713)" xfId="1243" xr:uid="{00000000-0005-0000-0000-0000AA100000}"/>
    <cellStyle name="_합의서_골재원변경 실정보고(수정분최종)_신호등설치(관당-흑포)내역서-070612" xfId="1244" xr:uid="{00000000-0005-0000-0000-0000AB100000}"/>
    <cellStyle name="_합의서_골재원변경 실정보고(수정분최종)_신호등설치(관당-흑포)내역서-070612_관당-흑포)최종내역서(070713)" xfId="1245" xr:uid="{00000000-0005-0000-0000-0000AC100000}"/>
    <cellStyle name="_합의서_골재원변경 실정보고-050830" xfId="1246" xr:uid="{00000000-0005-0000-0000-0000AD100000}"/>
    <cellStyle name="_합의서_골재원변경 실정보고-050830_구보종합건설(관당-흑포)내역서(7.11)" xfId="1247" xr:uid="{00000000-0005-0000-0000-0000AE100000}"/>
    <cellStyle name="_합의서_골재원변경 실정보고-050830_구보종합건설(관당-흑포)내역서(7.11)_관당-흑포)최종내역서(070713)" xfId="1248" xr:uid="{00000000-0005-0000-0000-0000AF100000}"/>
    <cellStyle name="_합의서_골재원변경 실정보고-050830_신호등설치(관당-흑포)내역서-070612" xfId="1249" xr:uid="{00000000-0005-0000-0000-0000B0100000}"/>
    <cellStyle name="_합의서_골재원변경 실정보고-050830_신호등설치(관당-흑포)내역서-070612_관당-흑포)최종내역서(070713)" xfId="1250" xr:uid="{00000000-0005-0000-0000-0000B1100000}"/>
    <cellStyle name="_합의서_구보종합건설(관당-흑포)내역서(7.11)" xfId="1251" xr:uid="{00000000-0005-0000-0000-0000B2100000}"/>
    <cellStyle name="_합의서_구보종합건설(관당-흑포)내역서(7.11)_관당-흑포)최종내역서(070713)" xfId="1252" xr:uid="{00000000-0005-0000-0000-0000B3100000}"/>
    <cellStyle name="_합의서_선정안(삼산)" xfId="1253" xr:uid="{00000000-0005-0000-0000-0000B4100000}"/>
    <cellStyle name="_합의서_선정안(삼산)_골재원변경 실정보고(수정분)" xfId="1254" xr:uid="{00000000-0005-0000-0000-0000B5100000}"/>
    <cellStyle name="_합의서_선정안(삼산)_골재원변경 실정보고(수정분)_구보종합건설(관당-흑포)내역서(7.11)" xfId="1255" xr:uid="{00000000-0005-0000-0000-0000B6100000}"/>
    <cellStyle name="_합의서_선정안(삼산)_골재원변경 실정보고(수정분)_구보종합건설(관당-흑포)내역서(7.11)_관당-흑포)최종내역서(070713)" xfId="1256" xr:uid="{00000000-0005-0000-0000-0000B7100000}"/>
    <cellStyle name="_합의서_선정안(삼산)_골재원변경 실정보고(수정분)_신호등설치(관당-흑포)내역서-070612" xfId="1257" xr:uid="{00000000-0005-0000-0000-0000B8100000}"/>
    <cellStyle name="_합의서_선정안(삼산)_골재원변경 실정보고(수정분)_신호등설치(관당-흑포)내역서-070612_관당-흑포)최종내역서(070713)" xfId="1258" xr:uid="{00000000-0005-0000-0000-0000B9100000}"/>
    <cellStyle name="_합의서_선정안(삼산)_골재원변경 실정보고(수정분최종)" xfId="1259" xr:uid="{00000000-0005-0000-0000-0000BA100000}"/>
    <cellStyle name="_합의서_선정안(삼산)_골재원변경 실정보고(수정분최종)_구보종합건설(관당-흑포)내역서(7.11)" xfId="1260" xr:uid="{00000000-0005-0000-0000-0000BB100000}"/>
    <cellStyle name="_합의서_선정안(삼산)_골재원변경 실정보고(수정분최종)_구보종합건설(관당-흑포)내역서(7.11)_관당-흑포)최종내역서(070713)" xfId="1261" xr:uid="{00000000-0005-0000-0000-0000BC100000}"/>
    <cellStyle name="_합의서_선정안(삼산)_골재원변경 실정보고(수정분최종)_신호등설치(관당-흑포)내역서-070612" xfId="1262" xr:uid="{00000000-0005-0000-0000-0000BD100000}"/>
    <cellStyle name="_합의서_선정안(삼산)_골재원변경 실정보고(수정분최종)_신호등설치(관당-흑포)내역서-070612_관당-흑포)최종내역서(070713)" xfId="1263" xr:uid="{00000000-0005-0000-0000-0000BE100000}"/>
    <cellStyle name="_합의서_선정안(삼산)_골재원변경 실정보고-050830" xfId="1264" xr:uid="{00000000-0005-0000-0000-0000BF100000}"/>
    <cellStyle name="_합의서_선정안(삼산)_골재원변경 실정보고-050830_구보종합건설(관당-흑포)내역서(7.11)" xfId="1265" xr:uid="{00000000-0005-0000-0000-0000C0100000}"/>
    <cellStyle name="_합의서_선정안(삼산)_골재원변경 실정보고-050830_구보종합건설(관당-흑포)내역서(7.11)_관당-흑포)최종내역서(070713)" xfId="1266" xr:uid="{00000000-0005-0000-0000-0000C1100000}"/>
    <cellStyle name="_합의서_선정안(삼산)_골재원변경 실정보고-050830_신호등설치(관당-흑포)내역서-070612" xfId="1267" xr:uid="{00000000-0005-0000-0000-0000C2100000}"/>
    <cellStyle name="_합의서_선정안(삼산)_골재원변경 실정보고-050830_신호등설치(관당-흑포)내역서-070612_관당-흑포)최종내역서(070713)" xfId="1268" xr:uid="{00000000-0005-0000-0000-0000C3100000}"/>
    <cellStyle name="_합의서_선정안(삼산)_구보종합건설(관당-흑포)내역서(7.11)" xfId="1269" xr:uid="{00000000-0005-0000-0000-0000C4100000}"/>
    <cellStyle name="_합의서_선정안(삼산)_구보종합건설(관당-흑포)내역서(7.11)_관당-흑포)최종내역서(070713)" xfId="1270" xr:uid="{00000000-0005-0000-0000-0000C5100000}"/>
    <cellStyle name="_합의서_선정안(삼산)_신호등설치(관당-흑포)내역서-070612" xfId="1271" xr:uid="{00000000-0005-0000-0000-0000C6100000}"/>
    <cellStyle name="_합의서_선정안(삼산)_신호등설치(관당-흑포)내역서-070612_관당-흑포)최종내역서(070713)" xfId="1272" xr:uid="{00000000-0005-0000-0000-0000C7100000}"/>
    <cellStyle name="_합의서_신호등설치(관당-흑포)내역서-070612" xfId="1273" xr:uid="{00000000-0005-0000-0000-0000C8100000}"/>
    <cellStyle name="_합의서_신호등설치(관당-흑포)내역서-070612_관당-흑포)최종내역서(070713)" xfId="1274" xr:uid="{00000000-0005-0000-0000-0000C9100000}"/>
    <cellStyle name="_합의서_추풍령" xfId="1275" xr:uid="{00000000-0005-0000-0000-0000CA100000}"/>
    <cellStyle name="_합의서_추풍령_골재원변경 실정보고(수정분)" xfId="1276" xr:uid="{00000000-0005-0000-0000-0000CB100000}"/>
    <cellStyle name="_합의서_추풍령_골재원변경 실정보고(수정분)_구보종합건설(관당-흑포)내역서(7.11)" xfId="1277" xr:uid="{00000000-0005-0000-0000-0000CC100000}"/>
    <cellStyle name="_합의서_추풍령_골재원변경 실정보고(수정분)_구보종합건설(관당-흑포)내역서(7.11)_관당-흑포)최종내역서(070713)" xfId="1278" xr:uid="{00000000-0005-0000-0000-0000CD100000}"/>
    <cellStyle name="_합의서_추풍령_골재원변경 실정보고(수정분)_신호등설치(관당-흑포)내역서-070612" xfId="1279" xr:uid="{00000000-0005-0000-0000-0000CE100000}"/>
    <cellStyle name="_합의서_추풍령_골재원변경 실정보고(수정분)_신호등설치(관당-흑포)내역서-070612_관당-흑포)최종내역서(070713)" xfId="1280" xr:uid="{00000000-0005-0000-0000-0000CF100000}"/>
    <cellStyle name="_합의서_추풍령_골재원변경 실정보고(수정분최종)" xfId="1281" xr:uid="{00000000-0005-0000-0000-0000D0100000}"/>
    <cellStyle name="_합의서_추풍령_골재원변경 실정보고(수정분최종)_구보종합건설(관당-흑포)내역서(7.11)" xfId="1282" xr:uid="{00000000-0005-0000-0000-0000D1100000}"/>
    <cellStyle name="_합의서_추풍령_골재원변경 실정보고(수정분최종)_구보종합건설(관당-흑포)내역서(7.11)_관당-흑포)최종내역서(070713)" xfId="1283" xr:uid="{00000000-0005-0000-0000-0000D2100000}"/>
    <cellStyle name="_합의서_추풍령_골재원변경 실정보고(수정분최종)_신호등설치(관당-흑포)내역서-070612" xfId="1284" xr:uid="{00000000-0005-0000-0000-0000D3100000}"/>
    <cellStyle name="_합의서_추풍령_골재원변경 실정보고(수정분최종)_신호등설치(관당-흑포)내역서-070612_관당-흑포)최종내역서(070713)" xfId="1285" xr:uid="{00000000-0005-0000-0000-0000D4100000}"/>
    <cellStyle name="_합의서_추풍령_골재원변경 실정보고-050830" xfId="1286" xr:uid="{00000000-0005-0000-0000-0000D5100000}"/>
    <cellStyle name="_합의서_추풍령_골재원변경 실정보고-050830_구보종합건설(관당-흑포)내역서(7.11)" xfId="1287" xr:uid="{00000000-0005-0000-0000-0000D6100000}"/>
    <cellStyle name="_합의서_추풍령_골재원변경 실정보고-050830_구보종합건설(관당-흑포)내역서(7.11)_관당-흑포)최종내역서(070713)" xfId="1288" xr:uid="{00000000-0005-0000-0000-0000D7100000}"/>
    <cellStyle name="_합의서_추풍령_골재원변경 실정보고-050830_신호등설치(관당-흑포)내역서-070612" xfId="1289" xr:uid="{00000000-0005-0000-0000-0000D8100000}"/>
    <cellStyle name="_합의서_추풍령_골재원변경 실정보고-050830_신호등설치(관당-흑포)내역서-070612_관당-흑포)최종내역서(070713)" xfId="1290" xr:uid="{00000000-0005-0000-0000-0000D9100000}"/>
    <cellStyle name="_합의서_추풍령_구보종합건설(관당-흑포)내역서(7.11)" xfId="1291" xr:uid="{00000000-0005-0000-0000-0000DA100000}"/>
    <cellStyle name="_합의서_추풍령_구보종합건설(관당-흑포)내역서(7.11)_관당-흑포)최종내역서(070713)" xfId="1292" xr:uid="{00000000-0005-0000-0000-0000DB100000}"/>
    <cellStyle name="_합의서_추풍령_신호등설치(관당-흑포)내역서-070612" xfId="1293" xr:uid="{00000000-0005-0000-0000-0000DC100000}"/>
    <cellStyle name="_합의서_추풍령_신호등설치(관당-흑포)내역서-070612_관당-흑포)최종내역서(070713)" xfId="1294" xr:uid="{00000000-0005-0000-0000-0000DD100000}"/>
    <cellStyle name="_합의서_추풍령-1" xfId="1295" xr:uid="{00000000-0005-0000-0000-0000DE100000}"/>
    <cellStyle name="_합의서_추풍령-1_골재원변경 실정보고(수정분)" xfId="1296" xr:uid="{00000000-0005-0000-0000-0000DF100000}"/>
    <cellStyle name="_합의서_추풍령-1_골재원변경 실정보고(수정분)_구보종합건설(관당-흑포)내역서(7.11)" xfId="1297" xr:uid="{00000000-0005-0000-0000-0000E0100000}"/>
    <cellStyle name="_합의서_추풍령-1_골재원변경 실정보고(수정분)_구보종합건설(관당-흑포)내역서(7.11)_관당-흑포)최종내역서(070713)" xfId="1298" xr:uid="{00000000-0005-0000-0000-0000E1100000}"/>
    <cellStyle name="_합의서_추풍령-1_골재원변경 실정보고(수정분)_신호등설치(관당-흑포)내역서-070612" xfId="1299" xr:uid="{00000000-0005-0000-0000-0000E2100000}"/>
    <cellStyle name="_합의서_추풍령-1_골재원변경 실정보고(수정분)_신호등설치(관당-흑포)내역서-070612_관당-흑포)최종내역서(070713)" xfId="1300" xr:uid="{00000000-0005-0000-0000-0000E3100000}"/>
    <cellStyle name="_합의서_추풍령-1_골재원변경 실정보고(수정분최종)" xfId="1301" xr:uid="{00000000-0005-0000-0000-0000E4100000}"/>
    <cellStyle name="_합의서_추풍령-1_골재원변경 실정보고(수정분최종)_구보종합건설(관당-흑포)내역서(7.11)" xfId="1302" xr:uid="{00000000-0005-0000-0000-0000E5100000}"/>
    <cellStyle name="_합의서_추풍령-1_골재원변경 실정보고(수정분최종)_구보종합건설(관당-흑포)내역서(7.11)_관당-흑포)최종내역서(070713)" xfId="1303" xr:uid="{00000000-0005-0000-0000-0000E6100000}"/>
    <cellStyle name="_합의서_추풍령-1_골재원변경 실정보고(수정분최종)_신호등설치(관당-흑포)내역서-070612" xfId="1304" xr:uid="{00000000-0005-0000-0000-0000E7100000}"/>
    <cellStyle name="_합의서_추풍령-1_골재원변경 실정보고(수정분최종)_신호등설치(관당-흑포)내역서-070612_관당-흑포)최종내역서(070713)" xfId="1305" xr:uid="{00000000-0005-0000-0000-0000E8100000}"/>
    <cellStyle name="_합의서_추풍령-1_골재원변경 실정보고-050830" xfId="1306" xr:uid="{00000000-0005-0000-0000-0000E9100000}"/>
    <cellStyle name="_합의서_추풍령-1_골재원변경 실정보고-050830_구보종합건설(관당-흑포)내역서(7.11)" xfId="1307" xr:uid="{00000000-0005-0000-0000-0000EA100000}"/>
    <cellStyle name="_합의서_추풍령-1_골재원변경 실정보고-050830_구보종합건설(관당-흑포)내역서(7.11)_관당-흑포)최종내역서(070713)" xfId="1308" xr:uid="{00000000-0005-0000-0000-0000EB100000}"/>
    <cellStyle name="_합의서_추풍령-1_골재원변경 실정보고-050830_신호등설치(관당-흑포)내역서-070612" xfId="1309" xr:uid="{00000000-0005-0000-0000-0000EC100000}"/>
    <cellStyle name="_합의서_추풍령-1_골재원변경 실정보고-050830_신호등설치(관당-흑포)내역서-070612_관당-흑포)최종내역서(070713)" xfId="1310" xr:uid="{00000000-0005-0000-0000-0000ED100000}"/>
    <cellStyle name="_합의서_추풍령-1_구보종합건설(관당-흑포)내역서(7.11)" xfId="1311" xr:uid="{00000000-0005-0000-0000-0000EE100000}"/>
    <cellStyle name="_합의서_추풍령-1_구보종합건설(관당-흑포)내역서(7.11)_관당-흑포)최종내역서(070713)" xfId="1312" xr:uid="{00000000-0005-0000-0000-0000EF100000}"/>
    <cellStyle name="_합의서_추풍령-1_신호등설치(관당-흑포)내역서-070612" xfId="1313" xr:uid="{00000000-0005-0000-0000-0000F0100000}"/>
    <cellStyle name="_합의서_추풍령-1_신호등설치(관당-흑포)내역서-070612_관당-흑포)최종내역서(070713)" xfId="1314" xr:uid="{00000000-0005-0000-0000-0000F1100000}"/>
    <cellStyle name="_해미-덕산(태평양개발)" xfId="1315" xr:uid="{00000000-0005-0000-0000-0000F2100000}"/>
    <cellStyle name="_현대백화점(정산기별)" xfId="4021" xr:uid="{00000000-0005-0000-0000-0000F3100000}"/>
    <cellStyle name="_현장설비 단가비교(9월28일)룔" xfId="7224" xr:uid="{00000000-0005-0000-0000-0000F4100000}"/>
    <cellStyle name="_현장설비(1.VDS)-0411" xfId="4022" xr:uid="{00000000-0005-0000-0000-0000F5100000}"/>
    <cellStyle name="_현장전송장비좌대 일위대가(전)" xfId="4023" xr:uid="{00000000-0005-0000-0000-0000F6100000}"/>
    <cellStyle name="_화동초-전기" xfId="4024" xr:uid="{00000000-0005-0000-0000-0000F7100000}"/>
    <cellStyle name="_화산세평지하차도_수정_감리단제출" xfId="4025" xr:uid="{00000000-0005-0000-0000-0000F8100000}"/>
    <cellStyle name="_황산교회" xfId="4026" xr:uid="{00000000-0005-0000-0000-0000F9100000}"/>
    <cellStyle name="_횡단보도조명(옥외전광판)-071011" xfId="1319" xr:uid="{00000000-0005-0000-0000-0000FA100000}"/>
    <cellStyle name="_횡단보도조명비교표070705" xfId="1320" xr:uid="{00000000-0005-0000-0000-0000FB100000}"/>
    <cellStyle name="_흙막이공사(일위)" xfId="1321" xr:uid="{00000000-0005-0000-0000-0000FC100000}"/>
    <cellStyle name="_흥업-관설(원주우회도로080327)" xfId="1322" xr:uid="{00000000-0005-0000-0000-0000FD100000}"/>
    <cellStyle name="_희망대 초등학교 전력증설 전기공사" xfId="4027" xr:uid="{00000000-0005-0000-0000-0000FE100000}"/>
    <cellStyle name="_희망대 초등학교 전력증설 전기공사_01.2차분 1차 설계변경_신호제어" xfId="4028" xr:uid="{00000000-0005-0000-0000-0000FF100000}"/>
    <cellStyle name="_희망대 초등학교 전력증설 전기공사_01.표층 추가시공(051013)" xfId="4029" xr:uid="{00000000-0005-0000-0000-000000110000}"/>
    <cellStyle name="_희망대 초등학교 전력증설 전기공사_02.2차분1차설계변경_토목부문" xfId="4030" xr:uid="{00000000-0005-0000-0000-000001110000}"/>
    <cellStyle name="_희망대 초등학교 전력증설 전기공사_04.포장장비 운반 추가계상(051013)" xfId="4031" xr:uid="{00000000-0005-0000-0000-000002110000}"/>
    <cellStyle name="_희망대 초등학교 전력증설 전기공사_2차설계변경_신호제어" xfId="4032" xr:uid="{00000000-0005-0000-0000-000003110000}"/>
    <cellStyle name="_희망대 초등학교 전력증설 전기공사_32각 루프선여건보고" xfId="4033" xr:uid="{00000000-0005-0000-0000-000004110000}"/>
    <cellStyle name="_희망대 초등학교 전력증설 전기공사_AVI(전체분-2회,2차분-1회 설계변경)1030" xfId="4034" xr:uid="{00000000-0005-0000-0000-000005110000}"/>
    <cellStyle name="_희망대 초등학교 전력증설 전기공사_AVI(토목포함) 내역서 25개소(0501001)김이래과장-수정" xfId="4035" xr:uid="{00000000-0005-0000-0000-000006110000}"/>
    <cellStyle name="_희망대 초등학교 전력증설 전기공사_Book1" xfId="4036" xr:uid="{00000000-0005-0000-0000-000007110000}"/>
    <cellStyle name="_희망대 초등학교 전력증설 전기공사_Book3" xfId="4037" xr:uid="{00000000-0005-0000-0000-000008110000}"/>
    <cellStyle name="_희망대 초등학교 전력증설 전기공사_CCTV 수량산출" xfId="4038" xr:uid="{00000000-0005-0000-0000-000009110000}"/>
    <cellStyle name="_희망대 초등학교 전력증설 전기공사_CCTV_주차단속 접지시공 내역(최종)" xfId="4039" xr:uid="{00000000-0005-0000-0000-00000A110000}"/>
    <cellStyle name="_희망대 초등학교 전력증설 전기공사_VMS AVI  접지내역 변경(이래)" xfId="4040" xr:uid="{00000000-0005-0000-0000-00000B110000}"/>
    <cellStyle name="_희망대 초등학교 전력증설 전기공사_VMS(2차분1회 설계변경)" xfId="4041" xr:uid="{00000000-0005-0000-0000-00000C110000}"/>
    <cellStyle name="_희망대 초등학교 전력증설 전기공사_VMS(전체분2회 설계변경)" xfId="4042" xr:uid="{00000000-0005-0000-0000-00000D110000}"/>
    <cellStyle name="_희망대 초등학교 전력증설 전기공사_VMS(토목포함,2차분1회 변경)" xfId="4043" xr:uid="{00000000-0005-0000-0000-00000E110000}"/>
    <cellStyle name="_희망대 초등학교 전력증설 전기공사_VMS_AVI 접지시공 내역(최종)" xfId="4044" xr:uid="{00000000-0005-0000-0000-00000F110000}"/>
    <cellStyle name="_희망대 초등학교 전력증설 전기공사_VMS_AVI_접지내역_변경(홍곽표)" xfId="4045" xr:uid="{00000000-0005-0000-0000-000010110000}"/>
    <cellStyle name="_희망대 초등학교 전력증설 전기공사_계약변경설계서(인테리어-변압기,1차분=전체분)" xfId="4046" xr:uid="{00000000-0005-0000-0000-000011110000}"/>
    <cellStyle name="_희망대 초등학교 전력증설 전기공사_계약변경설계서(인테리어-변압기,1차분=전체분)_2차설계변경_신호제어" xfId="4047" xr:uid="{00000000-0005-0000-0000-000012110000}"/>
    <cellStyle name="_희망대 초등학교 전력증설 전기공사_계약변경설계서(인테리어-변압기,1차분=전체분)_32각 루프선여건보고" xfId="4048" xr:uid="{00000000-0005-0000-0000-000013110000}"/>
    <cellStyle name="_희망대 초등학교 전력증설 전기공사_계약변경설계서(인테리어-변압기,1차분=전체분)_AVI(토목포함) 내역서 25개소(0501001)김이래과장-수정" xfId="4049" xr:uid="{00000000-0005-0000-0000-000014110000}"/>
    <cellStyle name="_희망대 초등학교 전력증설 전기공사_계약변경설계서(인테리어-변압기,1차분=전체분)_VMS(2차분1회 설계변경)" xfId="4050" xr:uid="{00000000-0005-0000-0000-000015110000}"/>
    <cellStyle name="_희망대 초등학교 전력증설 전기공사_계약변경설계서(인테리어-변압기,1차분=전체분)_내역서-리드인 아스팔트 컷팅 변경" xfId="4051" xr:uid="{00000000-0005-0000-0000-000016110000}"/>
    <cellStyle name="_희망대 초등학교 전력증설 전기공사_계약변경설계서(인테리어-변압기,1차분=전체분)_내역서-리드인 아스팔트 컷팅 변경_2차설계변경_신호제어" xfId="4052" xr:uid="{00000000-0005-0000-0000-000017110000}"/>
    <cellStyle name="_희망대 초등학교 전력증설 전기공사_계약변경설계서(인테리어-변압기,1차분=전체분)_내역서-리드인 아스팔트 컷팅 변경_32각 루프선여건보고" xfId="4053" xr:uid="{00000000-0005-0000-0000-000018110000}"/>
    <cellStyle name="_희망대 초등학교 전력증설 전기공사_계약변경설계서(인테리어-변압기,1차분=전체분)_단가산출서(전체)" xfId="4054" xr:uid="{00000000-0005-0000-0000-000019110000}"/>
    <cellStyle name="_희망대 초등학교 전력증설 전기공사_계약변경설계서(인테리어-변압기,1차분=전체분)_총괄물량표" xfId="4055" xr:uid="{00000000-0005-0000-0000-00001A110000}"/>
    <cellStyle name="_희망대 초등학교 전력증설 전기공사_굴착산출 기초(전체)" xfId="4056" xr:uid="{00000000-0005-0000-0000-00001B110000}"/>
    <cellStyle name="_희망대 초등학교 전력증설 전기공사_굴착산출 기초(전체)_2차설계변경_신호제어" xfId="4057" xr:uid="{00000000-0005-0000-0000-00001C110000}"/>
    <cellStyle name="_희망대 초등학교 전력증설 전기공사_굴착산출 기초(전체)_32각 루프선여건보고" xfId="4058" xr:uid="{00000000-0005-0000-0000-00001D110000}"/>
    <cellStyle name="_희망대 초등학교 전력증설 전기공사_굴착산출 기초(전체)_AVI(토목포함) 내역서 25개소(0501001)김이래과장-수정" xfId="4059" xr:uid="{00000000-0005-0000-0000-00001E110000}"/>
    <cellStyle name="_희망대 초등학교 전력증설 전기공사_굴착산출 기초(전체)_VMS(2차분1회 설계변경)" xfId="4060" xr:uid="{00000000-0005-0000-0000-00001F110000}"/>
    <cellStyle name="_희망대 초등학교 전력증설 전기공사_굴착산출 기초(전체)_내역서-리드인 아스팔트 컷팅 변경" xfId="4061" xr:uid="{00000000-0005-0000-0000-000020110000}"/>
    <cellStyle name="_희망대 초등학교 전력증설 전기공사_굴착산출 기초(전체)_내역서-리드인 아스팔트 컷팅 변경_2차설계변경_신호제어" xfId="4062" xr:uid="{00000000-0005-0000-0000-000021110000}"/>
    <cellStyle name="_희망대 초등학교 전력증설 전기공사_굴착산출 기초(전체)_내역서-리드인 아스팔트 컷팅 변경_32각 루프선여건보고" xfId="4063" xr:uid="{00000000-0005-0000-0000-000022110000}"/>
    <cellStyle name="_희망대 초등학교 전력증설 전기공사_내역서(전체)" xfId="4064" xr:uid="{00000000-0005-0000-0000-000023110000}"/>
    <cellStyle name="_희망대 초등학교 전력증설 전기공사_내역서(전체)_2차설계변경_신호제어" xfId="4065" xr:uid="{00000000-0005-0000-0000-000024110000}"/>
    <cellStyle name="_희망대 초등학교 전력증설 전기공사_내역서(전체)_32각 루프선여건보고" xfId="4066" xr:uid="{00000000-0005-0000-0000-000025110000}"/>
    <cellStyle name="_희망대 초등학교 전력증설 전기공사_내역서(전체)_AVI(토목포함) 내역서 25개소(0501001)김이래과장-수정" xfId="4067" xr:uid="{00000000-0005-0000-0000-000026110000}"/>
    <cellStyle name="_희망대 초등학교 전력증설 전기공사_내역서(전체)_VMS(2차분1회 설계변경)" xfId="4068" xr:uid="{00000000-0005-0000-0000-000027110000}"/>
    <cellStyle name="_희망대 초등학교 전력증설 전기공사_내역서(전체)_내역서-리드인 아스팔트 컷팅 변경" xfId="4069" xr:uid="{00000000-0005-0000-0000-000028110000}"/>
    <cellStyle name="_희망대 초등학교 전력증설 전기공사_내역서(전체)_내역서-리드인 아스팔트 컷팅 변경_2차설계변경_신호제어" xfId="4070" xr:uid="{00000000-0005-0000-0000-000029110000}"/>
    <cellStyle name="_희망대 초등학교 전력증설 전기공사_내역서(전체)_내역서-리드인 아스팔트 컷팅 변경_32각 루프선여건보고" xfId="4071" xr:uid="{00000000-0005-0000-0000-00002A110000}"/>
    <cellStyle name="_희망대 초등학교 전력증설 전기공사_내역서-리드인 아스팔트 컷팅 변경" xfId="4072" xr:uid="{00000000-0005-0000-0000-00002B110000}"/>
    <cellStyle name="_희망대 초등학교 전력증설 전기공사_내역서-리드인 아스팔트 컷팅 변경_2차설계변경_신호제어" xfId="4073" xr:uid="{00000000-0005-0000-0000-00002C110000}"/>
    <cellStyle name="_희망대 초등학교 전력증설 전기공사_내역서-리드인 아스팔트 컷팅 변경_32각 루프선여건보고" xfId="4074" xr:uid="{00000000-0005-0000-0000-00002D110000}"/>
    <cellStyle name="_희망대 초등학교 전력증설 전기공사_단가산출서(전체)" xfId="4075" xr:uid="{00000000-0005-0000-0000-00002E110000}"/>
    <cellStyle name="_희망대 초등학교 전력증설 전기공사_단위내역서(전체)" xfId="4076" xr:uid="{00000000-0005-0000-0000-00002F110000}"/>
    <cellStyle name="_희망대 초등학교 전력증설 전기공사_단위내역서(전체)_2차설계변경_신호제어" xfId="4077" xr:uid="{00000000-0005-0000-0000-000030110000}"/>
    <cellStyle name="_희망대 초등학교 전력증설 전기공사_단위내역서(전체)_32각 루프선여건보고" xfId="4078" xr:uid="{00000000-0005-0000-0000-000031110000}"/>
    <cellStyle name="_희망대 초등학교 전력증설 전기공사_단위내역서(전체)_AVI(토목포함) 내역서 25개소(0501001)김이래과장-수정" xfId="4079" xr:uid="{00000000-0005-0000-0000-000032110000}"/>
    <cellStyle name="_희망대 초등학교 전력증설 전기공사_단위내역서(전체)_VMS(2차분1회 설계변경)" xfId="4080" xr:uid="{00000000-0005-0000-0000-000033110000}"/>
    <cellStyle name="_희망대 초등학교 전력증설 전기공사_단위내역서(전체)_내역서-리드인 아스팔트 컷팅 변경" xfId="4081" xr:uid="{00000000-0005-0000-0000-000034110000}"/>
    <cellStyle name="_희망대 초등학교 전력증설 전기공사_단위내역서(전체)_내역서-리드인 아스팔트 컷팅 변경_2차설계변경_신호제어" xfId="4082" xr:uid="{00000000-0005-0000-0000-000035110000}"/>
    <cellStyle name="_희망대 초등학교 전력증설 전기공사_단위내역서(전체)_내역서-리드인 아스팔트 컷팅 변경_32각 루프선여건보고" xfId="4083" xr:uid="{00000000-0005-0000-0000-000036110000}"/>
    <cellStyle name="_희망대 초등학교 전력증설 전기공사_수량산출서(굴착 외,1차준공)" xfId="4084" xr:uid="{00000000-0005-0000-0000-000037110000}"/>
    <cellStyle name="_희망대 초등학교 전력증설 전기공사_수량산출서(굴착외,전체)" xfId="4085" xr:uid="{00000000-0005-0000-0000-000038110000}"/>
    <cellStyle name="_희망대 초등학교 전력증설 전기공사_수량산출서(굴착외,전체)_2차설계변경_신호제어" xfId="4086" xr:uid="{00000000-0005-0000-0000-000039110000}"/>
    <cellStyle name="_희망대 초등학교 전력증설 전기공사_수량산출서(굴착외,전체)_32각 루프선여건보고" xfId="4087" xr:uid="{00000000-0005-0000-0000-00003A110000}"/>
    <cellStyle name="_희망대 초등학교 전력증설 전기공사_수량산출서(굴착외,전체)_AVI(토목포함) 내역서 25개소(0501001)김이래과장-수정" xfId="4088" xr:uid="{00000000-0005-0000-0000-00003B110000}"/>
    <cellStyle name="_희망대 초등학교 전력증설 전기공사_수량산출서(굴착외,전체)_VMS(2차분1회 설계변경)" xfId="4089" xr:uid="{00000000-0005-0000-0000-00003C110000}"/>
    <cellStyle name="_희망대 초등학교 전력증설 전기공사_수량산출서(굴착외,전체)_내역서-리드인 아스팔트 컷팅 변경" xfId="4090" xr:uid="{00000000-0005-0000-0000-00003D110000}"/>
    <cellStyle name="_희망대 초등학교 전력증설 전기공사_수량산출서(굴착외,전체)_내역서-리드인 아스팔트 컷팅 변경_2차설계변경_신호제어" xfId="4091" xr:uid="{00000000-0005-0000-0000-00003E110000}"/>
    <cellStyle name="_희망대 초등학교 전력증설 전기공사_수량산출서(굴착외,전체)_내역서-리드인 아스팔트 컷팅 변경_32각 루프선여건보고" xfId="4092" xr:uid="{00000000-0005-0000-0000-00003F110000}"/>
    <cellStyle name="_희망대 초등학교 전력증설 전기공사_주차수량산출" xfId="4093" xr:uid="{00000000-0005-0000-0000-000040110000}"/>
    <cellStyle name="_희망대 초등학교 전력증설 전기공사_총괄물량표" xfId="4094" xr:uid="{00000000-0005-0000-0000-000041110000}"/>
    <cellStyle name="¡E￠￥@?e_TEST-1 " xfId="1508" xr:uid="{00000000-0005-0000-0000-000042110000}"/>
    <cellStyle name="´þ·?" xfId="1509" xr:uid="{00000000-0005-0000-0000-000043110000}"/>
    <cellStyle name="´þ·¯" xfId="7225" xr:uid="{00000000-0005-0000-0000-000044110000}"/>
    <cellStyle name="’E‰Y [0.00]_laroux" xfId="1510" xr:uid="{00000000-0005-0000-0000-000045110000}"/>
    <cellStyle name="’E‰Y_laroux" xfId="1511" xr:uid="{00000000-0005-0000-0000-000046110000}"/>
    <cellStyle name="￠´d￠´A|i[0]_RESULTS" xfId="7226" xr:uid="{00000000-0005-0000-0000-000047110000}"/>
    <cellStyle name="￠´d￠´A|i_RESULTS" xfId="7227" xr:uid="{00000000-0005-0000-0000-000048110000}"/>
    <cellStyle name="¤@?e_TEST-1" xfId="4095" xr:uid="{00000000-0005-0000-0000-000049110000}"/>
    <cellStyle name="+,-,0" xfId="1512" xr:uid="{00000000-0005-0000-0000-00004A110000}"/>
    <cellStyle name="=C:\WINDOWS\SYSTEM32\COMMAND.COM" xfId="4096" xr:uid="{00000000-0005-0000-0000-00004B110000}"/>
    <cellStyle name="=SUM(D46|F46)=0&lt;0&gt;(0)" xfId="7228" xr:uid="{00000000-0005-0000-0000-00004C110000}"/>
    <cellStyle name="△ []" xfId="1513" xr:uid="{00000000-0005-0000-0000-00004D110000}"/>
    <cellStyle name="△ [0]" xfId="1514" xr:uid="{00000000-0005-0000-0000-00004E110000}"/>
    <cellStyle name="△백분율" xfId="1515" xr:uid="{00000000-0005-0000-0000-00004F110000}"/>
    <cellStyle name="△콤마" xfId="1516" xr:uid="{00000000-0005-0000-0000-000050110000}"/>
    <cellStyle name="°ia¤¼o " xfId="5005" xr:uid="{00000000-0005-0000-0000-000051110000}"/>
    <cellStyle name="°ia¤¼o¼ya¡" xfId="1517" xr:uid="{00000000-0005-0000-0000-000052110000}"/>
    <cellStyle name="°íá¤¼ò¼ýá¡" xfId="7229" xr:uid="{00000000-0005-0000-0000-000053110000}"/>
    <cellStyle name="°ia¤aa " xfId="5006" xr:uid="{00000000-0005-0000-0000-000054110000}"/>
    <cellStyle name="°ia¤aa·a1" xfId="1518" xr:uid="{00000000-0005-0000-0000-000055110000}"/>
    <cellStyle name="°íá¤ãâ·â1" xfId="7230" xr:uid="{00000000-0005-0000-0000-000056110000}"/>
    <cellStyle name="°ia¤aa·a2" xfId="1519" xr:uid="{00000000-0005-0000-0000-000057110000}"/>
    <cellStyle name="°íá¤ãâ·â2" xfId="7231" xr:uid="{00000000-0005-0000-0000-000058110000}"/>
    <cellStyle name="•W_laroux" xfId="4097" xr:uid="{00000000-0005-0000-0000-000059110000}"/>
    <cellStyle name="" xfId="1" xr:uid="{00000000-0005-0000-0000-00005A110000}"/>
    <cellStyle name="_2006112628400-4" xfId="4098" xr:uid="{00000000-0005-0000-0000-00005B110000}"/>
    <cellStyle name="_20071115471-00_번호인식시스템내역서" xfId="7232" xr:uid="{00000000-0005-0000-0000-00005C110000}"/>
    <cellStyle name="_22093743760001-2" xfId="7233" xr:uid="{00000000-0005-0000-0000-00005D110000}"/>
    <cellStyle name="_22093743760001-2 2" xfId="7234" xr:uid="{00000000-0005-0000-0000-00005E110000}"/>
    <cellStyle name="_22093743760001-2 3" xfId="7235" xr:uid="{00000000-0005-0000-0000-00005F110000}"/>
    <cellStyle name="_광명첨단신호 2차분 설계내역서-070427-016" xfId="4099" xr:uid="{00000000-0005-0000-0000-000060110000}"/>
    <cellStyle name="_산출내역서(문발IC)(1)" xfId="581" xr:uid="{00000000-0005-0000-0000-000061110000}"/>
    <cellStyle name="_산출내역서(문발IC)(1) 2" xfId="7346" xr:uid="{00000000-0005-0000-0000-000062110000}"/>
    <cellStyle name="_산출내역서(문발IC)(1) 3" xfId="7352" xr:uid="{00000000-0005-0000-0000-000063110000}"/>
    <cellStyle name="_산출내역서(문발IC)(1)_신호등가로등설계내역01월-안성" xfId="582" xr:uid="{00000000-0005-0000-0000-000064110000}"/>
    <cellStyle name="_산출내역서(문발IC)(1)_신호등가로등설계내역05월-안성" xfId="583" xr:uid="{00000000-0005-0000-0000-000065110000}"/>
    <cellStyle name="_산출내역서(문발IC)(1)_신호등가로등설계내역09월-안성" xfId="584" xr:uid="{00000000-0005-0000-0000-000066110000}"/>
    <cellStyle name="_산출내역서(문발IC)(1)_어린이 보호구역내 CCTV 설치사업" xfId="585" xr:uid="{00000000-0005-0000-0000-000067110000}"/>
    <cellStyle name="_산출내역서(문발IC)(1)_어린이 보호구역내 CCTV 설치사업-4억" xfId="586" xr:uid="{00000000-0005-0000-0000-000068110000}"/>
    <cellStyle name="_산출내역서(문발IC)(1)_어린이 보호구역내 CCTV 설치사업-봉" xfId="587" xr:uid="{00000000-0005-0000-0000-000069110000}"/>
    <cellStyle name="_산출내역서(문발IC)(1)_화곡 ~ 주천간 가로등설치공사" xfId="588" xr:uid="{00000000-0005-0000-0000-00006A110000}"/>
    <cellStyle name="_설계내역서(0905)수정1" xfId="7236" xr:uid="{00000000-0005-0000-0000-00006B110000}"/>
    <cellStyle name="_입찰내역3-CCTV-2차" xfId="4100" xr:uid="{00000000-0005-0000-0000-00006C110000}"/>
    <cellStyle name="_차량검지기 단위산출서" xfId="4101" xr:uid="{00000000-0005-0000-0000-00006D110000}"/>
    <cellStyle name="_충북 괴산 CCTV2009062154600-2" xfId="7237" xr:uid="{00000000-0005-0000-0000-00006E110000}"/>
    <cellStyle name="_홈페이지게재용!!!" xfId="7238" xr:uid="{00000000-0005-0000-0000-00006F110000}"/>
    <cellStyle name="_화곡 ~ 주천간 가로등설치공사" xfId="1316" xr:uid="{00000000-0005-0000-0000-000070110000}"/>
    <cellStyle name="_화곡 ~ 주천간 가로등설치공사 2" xfId="7347" xr:uid="{00000000-0005-0000-0000-000071110000}"/>
    <cellStyle name="_화곡 ~ 주천간 가로등설치공사 3" xfId="7353" xr:uid="{00000000-0005-0000-0000-000072110000}"/>
    <cellStyle name="_화곡 ~ 주천간 가로등설치공사_어린이 보호구역내 CCTV 설치사업-4억" xfId="1317" xr:uid="{00000000-0005-0000-0000-000073110000}"/>
    <cellStyle name="_화곡 ~ 주천간 가로등설치공사_어린이 보호구역내 CCTV 설치사업-봉" xfId="1318" xr:uid="{00000000-0005-0000-0000-000074110000}"/>
    <cellStyle name="0" xfId="7239" xr:uid="{00000000-0005-0000-0000-000075110000}"/>
    <cellStyle name="0%" xfId="1520" xr:uid="{00000000-0005-0000-0000-000076110000}"/>
    <cellStyle name="0,0_x000d__x000a_NA_x000d__x000a_" xfId="1521" xr:uid="{00000000-0005-0000-0000-000077110000}"/>
    <cellStyle name="0.0" xfId="4102" xr:uid="{00000000-0005-0000-0000-000078110000}"/>
    <cellStyle name="0.0%" xfId="1522" xr:uid="{00000000-0005-0000-0000-000079110000}"/>
    <cellStyle name="0.00" xfId="4103" xr:uid="{00000000-0005-0000-0000-00007A110000}"/>
    <cellStyle name="0.00%" xfId="1523" xr:uid="{00000000-0005-0000-0000-00007B110000}"/>
    <cellStyle name="0.000%" xfId="1524" xr:uid="{00000000-0005-0000-0000-00007C110000}"/>
    <cellStyle name="0.0000%" xfId="1525" xr:uid="{00000000-0005-0000-0000-00007D110000}"/>
    <cellStyle name="00" xfId="7240" xr:uid="{00000000-0005-0000-0000-00007E110000}"/>
    <cellStyle name="00K000" xfId="1526" xr:uid="{00000000-0005-0000-0000-00007F110000}"/>
    <cellStyle name="00K000.000" xfId="1527" xr:uid="{00000000-0005-0000-0000-000080110000}"/>
    <cellStyle name="¼yAU(R)" xfId="1528" xr:uid="{00000000-0005-0000-0000-000081110000}"/>
    <cellStyle name="1" xfId="1529" xr:uid="{00000000-0005-0000-0000-000082110000}"/>
    <cellStyle name="1)" xfId="1530" xr:uid="{00000000-0005-0000-0000-000083110000}"/>
    <cellStyle name="1." xfId="1531" xr:uid="{00000000-0005-0000-0000-000084110000}"/>
    <cellStyle name="1_total_수량집계예산공설 " xfId="1537" xr:uid="{00000000-0005-0000-0000-000085110000}"/>
    <cellStyle name="1_tree_수량집계예산공설 " xfId="1538" xr:uid="{00000000-0005-0000-0000-000086110000}"/>
    <cellStyle name="1_tree_터미널2_수량집계예산공설 " xfId="1539" xr:uid="{00000000-0005-0000-0000-000087110000}"/>
    <cellStyle name="1_tree_한풍단위수량_수량집계예산공설 " xfId="1540" xr:uid="{00000000-0005-0000-0000-000088110000}"/>
    <cellStyle name="1_tree_한풍집계_수량집계예산공설 " xfId="1541" xr:uid="{00000000-0005-0000-0000-000089110000}"/>
    <cellStyle name="1_tree_한풍집계_터미널2_수량집계예산공설 " xfId="1542" xr:uid="{00000000-0005-0000-0000-00008A110000}"/>
    <cellStyle name="1_교통신호견적서-삼일공영(주)" xfId="1532" xr:uid="{00000000-0005-0000-0000-00008B110000}"/>
    <cellStyle name="1_동천동기성내역서" xfId="1533" xr:uid="{00000000-0005-0000-0000-00008C110000}"/>
    <cellStyle name="1_시민계략공사" xfId="1534" xr:uid="{00000000-0005-0000-0000-00008D110000}"/>
    <cellStyle name="1_시민계략공사_전기-한남" xfId="1535" xr:uid="{00000000-0005-0000-0000-00008E110000}"/>
    <cellStyle name="1_일위대가_현장장비(AVI)" xfId="7241" xr:uid="{00000000-0005-0000-0000-00008F110000}"/>
    <cellStyle name="1_한풍단위수량_수량집계예산공설 " xfId="1536" xr:uid="{00000000-0005-0000-0000-000090110000}"/>
    <cellStyle name="10" xfId="1543" xr:uid="{00000000-0005-0000-0000-000091110000}"/>
    <cellStyle name="10공/㎥" xfId="1544" xr:uid="{00000000-0005-0000-0000-000092110000}"/>
    <cellStyle name="120" xfId="1545" xr:uid="{00000000-0005-0000-0000-000093110000}"/>
    <cellStyle name="19990216" xfId="1546" xr:uid="{00000000-0005-0000-0000-000094110000}"/>
    <cellStyle name="¹e" xfId="1548" xr:uid="{00000000-0005-0000-0000-000095110000}"/>
    <cellStyle name="¹eº" xfId="7242" xr:uid="{00000000-0005-0000-0000-000096110000}"/>
    <cellStyle name="¹éº" xfId="1549" xr:uid="{00000000-0005-0000-0000-000097110000}"/>
    <cellStyle name="¹eº_마곡보완" xfId="7243" xr:uid="{00000000-0005-0000-0000-000098110000}"/>
    <cellStyle name="¹éº_마곡보완" xfId="7244" xr:uid="{00000000-0005-0000-0000-000099110000}"/>
    <cellStyle name="¹eºða²" xfId="1550" xr:uid="{00000000-0005-0000-0000-00009A110000}"/>
    <cellStyle name="¹éºÐÀ²_±âÅ¸" xfId="1551" xr:uid="{00000000-0005-0000-0000-00009B110000}"/>
    <cellStyle name="¹eºða²_산출내역서(문발IC)(1)" xfId="1552" xr:uid="{00000000-0005-0000-0000-00009C110000}"/>
    <cellStyle name="1월" xfId="1547" xr:uid="{00000000-0005-0000-0000-00009D110000}"/>
    <cellStyle name="2)" xfId="1553" xr:uid="{00000000-0005-0000-0000-00009E110000}"/>
    <cellStyle name="20% - Accent1" xfId="4104" xr:uid="{00000000-0005-0000-0000-00009F110000}"/>
    <cellStyle name="20% - Accent2" xfId="4105" xr:uid="{00000000-0005-0000-0000-0000A0110000}"/>
    <cellStyle name="20% - Accent3" xfId="4106" xr:uid="{00000000-0005-0000-0000-0000A1110000}"/>
    <cellStyle name="20% - Accent4" xfId="4107" xr:uid="{00000000-0005-0000-0000-0000A2110000}"/>
    <cellStyle name="20% - Accent5" xfId="4108" xr:uid="{00000000-0005-0000-0000-0000A3110000}"/>
    <cellStyle name="20% - Accent6" xfId="4109" xr:uid="{00000000-0005-0000-0000-0000A4110000}"/>
    <cellStyle name="20% - 강조색1" xfId="1554" builtinId="30" customBuiltin="1"/>
    <cellStyle name="20% - 강조색1 10" xfId="5007" xr:uid="{00000000-0005-0000-0000-0000A6110000}"/>
    <cellStyle name="20% - 강조색1 11" xfId="5008" xr:uid="{00000000-0005-0000-0000-0000A7110000}"/>
    <cellStyle name="20% - 강조색1 12" xfId="5009" xr:uid="{00000000-0005-0000-0000-0000A8110000}"/>
    <cellStyle name="20% - 강조색1 2" xfId="4110" xr:uid="{00000000-0005-0000-0000-0000A9110000}"/>
    <cellStyle name="20% - 강조색1 2 2" xfId="4111" xr:uid="{00000000-0005-0000-0000-0000AA110000}"/>
    <cellStyle name="20% - 강조색1 2 3" xfId="4112" xr:uid="{00000000-0005-0000-0000-0000AB110000}"/>
    <cellStyle name="20% - 강조색1 3" xfId="4113" xr:uid="{00000000-0005-0000-0000-0000AC110000}"/>
    <cellStyle name="20% - 강조색1 4" xfId="4114" xr:uid="{00000000-0005-0000-0000-0000AD110000}"/>
    <cellStyle name="20% - 강조색1 5" xfId="4115" xr:uid="{00000000-0005-0000-0000-0000AE110000}"/>
    <cellStyle name="20% - 강조색1 6" xfId="5010" xr:uid="{00000000-0005-0000-0000-0000AF110000}"/>
    <cellStyle name="20% - 강조색1 7" xfId="5011" xr:uid="{00000000-0005-0000-0000-0000B0110000}"/>
    <cellStyle name="20% - 강조색1 8" xfId="5012" xr:uid="{00000000-0005-0000-0000-0000B1110000}"/>
    <cellStyle name="20% - 강조색1 9" xfId="5013" xr:uid="{00000000-0005-0000-0000-0000B2110000}"/>
    <cellStyle name="20% - 강조색2" xfId="1555" builtinId="34" customBuiltin="1"/>
    <cellStyle name="20% - 강조색2 10" xfId="5014" xr:uid="{00000000-0005-0000-0000-0000B4110000}"/>
    <cellStyle name="20% - 강조색2 11" xfId="5015" xr:uid="{00000000-0005-0000-0000-0000B5110000}"/>
    <cellStyle name="20% - 강조색2 12" xfId="5016" xr:uid="{00000000-0005-0000-0000-0000B6110000}"/>
    <cellStyle name="20% - 강조색2 2" xfId="4116" xr:uid="{00000000-0005-0000-0000-0000B7110000}"/>
    <cellStyle name="20% - 강조색2 2 2" xfId="4117" xr:uid="{00000000-0005-0000-0000-0000B8110000}"/>
    <cellStyle name="20% - 강조색2 2 3" xfId="4118" xr:uid="{00000000-0005-0000-0000-0000B9110000}"/>
    <cellStyle name="20% - 강조색2 3" xfId="4119" xr:uid="{00000000-0005-0000-0000-0000BA110000}"/>
    <cellStyle name="20% - 강조색2 4" xfId="4120" xr:uid="{00000000-0005-0000-0000-0000BB110000}"/>
    <cellStyle name="20% - 강조색2 5" xfId="4121" xr:uid="{00000000-0005-0000-0000-0000BC110000}"/>
    <cellStyle name="20% - 강조색2 6" xfId="5017" xr:uid="{00000000-0005-0000-0000-0000BD110000}"/>
    <cellStyle name="20% - 강조색2 7" xfId="5018" xr:uid="{00000000-0005-0000-0000-0000BE110000}"/>
    <cellStyle name="20% - 강조색2 8" xfId="5019" xr:uid="{00000000-0005-0000-0000-0000BF110000}"/>
    <cellStyle name="20% - 강조색2 9" xfId="5020" xr:uid="{00000000-0005-0000-0000-0000C0110000}"/>
    <cellStyle name="20% - 강조색3" xfId="1556" builtinId="38" customBuiltin="1"/>
    <cellStyle name="20% - 강조색3 10" xfId="5021" xr:uid="{00000000-0005-0000-0000-0000C2110000}"/>
    <cellStyle name="20% - 강조색3 11" xfId="5022" xr:uid="{00000000-0005-0000-0000-0000C3110000}"/>
    <cellStyle name="20% - 강조색3 12" xfId="5023" xr:uid="{00000000-0005-0000-0000-0000C4110000}"/>
    <cellStyle name="20% - 강조색3 2" xfId="4122" xr:uid="{00000000-0005-0000-0000-0000C5110000}"/>
    <cellStyle name="20% - 강조색3 2 2" xfId="4123" xr:uid="{00000000-0005-0000-0000-0000C6110000}"/>
    <cellStyle name="20% - 강조색3 2 3" xfId="4124" xr:uid="{00000000-0005-0000-0000-0000C7110000}"/>
    <cellStyle name="20% - 강조색3 3" xfId="4125" xr:uid="{00000000-0005-0000-0000-0000C8110000}"/>
    <cellStyle name="20% - 강조색3 4" xfId="4126" xr:uid="{00000000-0005-0000-0000-0000C9110000}"/>
    <cellStyle name="20% - 강조색3 5" xfId="4127" xr:uid="{00000000-0005-0000-0000-0000CA110000}"/>
    <cellStyle name="20% - 강조색3 6" xfId="5024" xr:uid="{00000000-0005-0000-0000-0000CB110000}"/>
    <cellStyle name="20% - 강조색3 7" xfId="5025" xr:uid="{00000000-0005-0000-0000-0000CC110000}"/>
    <cellStyle name="20% - 강조색3 8" xfId="5026" xr:uid="{00000000-0005-0000-0000-0000CD110000}"/>
    <cellStyle name="20% - 강조색3 9" xfId="5027" xr:uid="{00000000-0005-0000-0000-0000CE110000}"/>
    <cellStyle name="20% - 강조색4" xfId="1557" builtinId="42" customBuiltin="1"/>
    <cellStyle name="20% - 강조색4 10" xfId="5028" xr:uid="{00000000-0005-0000-0000-0000D0110000}"/>
    <cellStyle name="20% - 강조색4 11" xfId="5029" xr:uid="{00000000-0005-0000-0000-0000D1110000}"/>
    <cellStyle name="20% - 강조색4 12" xfId="5030" xr:uid="{00000000-0005-0000-0000-0000D2110000}"/>
    <cellStyle name="20% - 강조색4 2" xfId="4128" xr:uid="{00000000-0005-0000-0000-0000D3110000}"/>
    <cellStyle name="20% - 강조색4 2 2" xfId="4129" xr:uid="{00000000-0005-0000-0000-0000D4110000}"/>
    <cellStyle name="20% - 강조색4 2 3" xfId="4130" xr:uid="{00000000-0005-0000-0000-0000D5110000}"/>
    <cellStyle name="20% - 강조색4 3" xfId="4131" xr:uid="{00000000-0005-0000-0000-0000D6110000}"/>
    <cellStyle name="20% - 강조색4 4" xfId="4132" xr:uid="{00000000-0005-0000-0000-0000D7110000}"/>
    <cellStyle name="20% - 강조색4 5" xfId="4133" xr:uid="{00000000-0005-0000-0000-0000D8110000}"/>
    <cellStyle name="20% - 강조색4 6" xfId="5031" xr:uid="{00000000-0005-0000-0000-0000D9110000}"/>
    <cellStyle name="20% - 강조색4 7" xfId="5032" xr:uid="{00000000-0005-0000-0000-0000DA110000}"/>
    <cellStyle name="20% - 강조색4 8" xfId="5033" xr:uid="{00000000-0005-0000-0000-0000DB110000}"/>
    <cellStyle name="20% - 강조색4 9" xfId="5034" xr:uid="{00000000-0005-0000-0000-0000DC110000}"/>
    <cellStyle name="20% - 강조색5" xfId="1558" builtinId="46" customBuiltin="1"/>
    <cellStyle name="20% - 강조색5 10" xfId="5035" xr:uid="{00000000-0005-0000-0000-0000DE110000}"/>
    <cellStyle name="20% - 강조색5 11" xfId="5036" xr:uid="{00000000-0005-0000-0000-0000DF110000}"/>
    <cellStyle name="20% - 강조색5 12" xfId="5037" xr:uid="{00000000-0005-0000-0000-0000E0110000}"/>
    <cellStyle name="20% - 강조색5 2" xfId="4134" xr:uid="{00000000-0005-0000-0000-0000E1110000}"/>
    <cellStyle name="20% - 강조색5 2 2" xfId="4135" xr:uid="{00000000-0005-0000-0000-0000E2110000}"/>
    <cellStyle name="20% - 강조색5 2 3" xfId="4136" xr:uid="{00000000-0005-0000-0000-0000E3110000}"/>
    <cellStyle name="20% - 강조색5 3" xfId="4137" xr:uid="{00000000-0005-0000-0000-0000E4110000}"/>
    <cellStyle name="20% - 강조색5 4" xfId="4138" xr:uid="{00000000-0005-0000-0000-0000E5110000}"/>
    <cellStyle name="20% - 강조색5 5" xfId="4139" xr:uid="{00000000-0005-0000-0000-0000E6110000}"/>
    <cellStyle name="20% - 강조색5 6" xfId="5038" xr:uid="{00000000-0005-0000-0000-0000E7110000}"/>
    <cellStyle name="20% - 강조색5 7" xfId="5039" xr:uid="{00000000-0005-0000-0000-0000E8110000}"/>
    <cellStyle name="20% - 강조색5 8" xfId="5040" xr:uid="{00000000-0005-0000-0000-0000E9110000}"/>
    <cellStyle name="20% - 강조색5 9" xfId="5041" xr:uid="{00000000-0005-0000-0000-0000EA110000}"/>
    <cellStyle name="20% - 강조색6" xfId="1559" builtinId="50" customBuiltin="1"/>
    <cellStyle name="20% - 강조색6 10" xfId="5042" xr:uid="{00000000-0005-0000-0000-0000EC110000}"/>
    <cellStyle name="20% - 강조색6 11" xfId="5043" xr:uid="{00000000-0005-0000-0000-0000ED110000}"/>
    <cellStyle name="20% - 강조색6 12" xfId="5044" xr:uid="{00000000-0005-0000-0000-0000EE110000}"/>
    <cellStyle name="20% - 강조색6 2" xfId="4140" xr:uid="{00000000-0005-0000-0000-0000EF110000}"/>
    <cellStyle name="20% - 강조색6 2 2" xfId="4141" xr:uid="{00000000-0005-0000-0000-0000F0110000}"/>
    <cellStyle name="20% - 강조색6 2 3" xfId="4142" xr:uid="{00000000-0005-0000-0000-0000F1110000}"/>
    <cellStyle name="20% - 강조색6 3" xfId="4143" xr:uid="{00000000-0005-0000-0000-0000F2110000}"/>
    <cellStyle name="20% - 강조색6 4" xfId="4144" xr:uid="{00000000-0005-0000-0000-0000F3110000}"/>
    <cellStyle name="20% - 강조색6 5" xfId="4145" xr:uid="{00000000-0005-0000-0000-0000F4110000}"/>
    <cellStyle name="20% - 강조색6 6" xfId="5045" xr:uid="{00000000-0005-0000-0000-0000F5110000}"/>
    <cellStyle name="20% - 강조색6 7" xfId="5046" xr:uid="{00000000-0005-0000-0000-0000F6110000}"/>
    <cellStyle name="20% - 강조색6 8" xfId="5047" xr:uid="{00000000-0005-0000-0000-0000F7110000}"/>
    <cellStyle name="20% - 강조색6 9" xfId="5048" xr:uid="{00000000-0005-0000-0000-0000F8110000}"/>
    <cellStyle name="³?a￥" xfId="1560" xr:uid="{00000000-0005-0000-0000-0000F9110000}"/>
    <cellStyle name="³¯â¥" xfId="7245" xr:uid="{00000000-0005-0000-0000-0000FA110000}"/>
    <cellStyle name="³f¹o [0]_RESULTS" xfId="7246" xr:uid="{00000000-0005-0000-0000-0000FB110000}"/>
    <cellStyle name="၃urrency_OTD thru NOR " xfId="5049" xr:uid="{00000000-0005-0000-0000-0000FC110000}"/>
    <cellStyle name="40% - Accent1" xfId="4146" xr:uid="{00000000-0005-0000-0000-0000FD110000}"/>
    <cellStyle name="40% - Accent2" xfId="4147" xr:uid="{00000000-0005-0000-0000-0000FE110000}"/>
    <cellStyle name="40% - Accent3" xfId="4148" xr:uid="{00000000-0005-0000-0000-0000FF110000}"/>
    <cellStyle name="40% - Accent4" xfId="4149" xr:uid="{00000000-0005-0000-0000-000000120000}"/>
    <cellStyle name="40% - Accent5" xfId="4150" xr:uid="{00000000-0005-0000-0000-000001120000}"/>
    <cellStyle name="40% - Accent6" xfId="4151" xr:uid="{00000000-0005-0000-0000-000002120000}"/>
    <cellStyle name="40% - 강조색1" xfId="1561" builtinId="31" customBuiltin="1"/>
    <cellStyle name="40% - 강조색1 10" xfId="5050" xr:uid="{00000000-0005-0000-0000-000004120000}"/>
    <cellStyle name="40% - 강조색1 11" xfId="5051" xr:uid="{00000000-0005-0000-0000-000005120000}"/>
    <cellStyle name="40% - 강조색1 12" xfId="5052" xr:uid="{00000000-0005-0000-0000-000006120000}"/>
    <cellStyle name="40% - 강조색1 2" xfId="4152" xr:uid="{00000000-0005-0000-0000-000007120000}"/>
    <cellStyle name="40% - 강조색1 2 2" xfId="4153" xr:uid="{00000000-0005-0000-0000-000008120000}"/>
    <cellStyle name="40% - 강조색1 2 3" xfId="4154" xr:uid="{00000000-0005-0000-0000-000009120000}"/>
    <cellStyle name="40% - 강조색1 3" xfId="4155" xr:uid="{00000000-0005-0000-0000-00000A120000}"/>
    <cellStyle name="40% - 강조색1 4" xfId="4156" xr:uid="{00000000-0005-0000-0000-00000B120000}"/>
    <cellStyle name="40% - 강조색1 5" xfId="4157" xr:uid="{00000000-0005-0000-0000-00000C120000}"/>
    <cellStyle name="40% - 강조색1 6" xfId="5053" xr:uid="{00000000-0005-0000-0000-00000D120000}"/>
    <cellStyle name="40% - 강조색1 7" xfId="5054" xr:uid="{00000000-0005-0000-0000-00000E120000}"/>
    <cellStyle name="40% - 강조색1 8" xfId="5055" xr:uid="{00000000-0005-0000-0000-00000F120000}"/>
    <cellStyle name="40% - 강조색1 9" xfId="5056" xr:uid="{00000000-0005-0000-0000-000010120000}"/>
    <cellStyle name="40% - 강조색2" xfId="1562" builtinId="35" customBuiltin="1"/>
    <cellStyle name="40% - 강조색2 10" xfId="5057" xr:uid="{00000000-0005-0000-0000-000012120000}"/>
    <cellStyle name="40% - 강조색2 11" xfId="5058" xr:uid="{00000000-0005-0000-0000-000013120000}"/>
    <cellStyle name="40% - 강조색2 12" xfId="5059" xr:uid="{00000000-0005-0000-0000-000014120000}"/>
    <cellStyle name="40% - 강조색2 2" xfId="4158" xr:uid="{00000000-0005-0000-0000-000015120000}"/>
    <cellStyle name="40% - 강조색2 2 2" xfId="4159" xr:uid="{00000000-0005-0000-0000-000016120000}"/>
    <cellStyle name="40% - 강조색2 2 3" xfId="4160" xr:uid="{00000000-0005-0000-0000-000017120000}"/>
    <cellStyle name="40% - 강조색2 3" xfId="4161" xr:uid="{00000000-0005-0000-0000-000018120000}"/>
    <cellStyle name="40% - 강조색2 4" xfId="4162" xr:uid="{00000000-0005-0000-0000-000019120000}"/>
    <cellStyle name="40% - 강조색2 5" xfId="4163" xr:uid="{00000000-0005-0000-0000-00001A120000}"/>
    <cellStyle name="40% - 강조색2 6" xfId="5060" xr:uid="{00000000-0005-0000-0000-00001B120000}"/>
    <cellStyle name="40% - 강조색2 7" xfId="5061" xr:uid="{00000000-0005-0000-0000-00001C120000}"/>
    <cellStyle name="40% - 강조색2 8" xfId="5062" xr:uid="{00000000-0005-0000-0000-00001D120000}"/>
    <cellStyle name="40% - 강조색2 9" xfId="5063" xr:uid="{00000000-0005-0000-0000-00001E120000}"/>
    <cellStyle name="40% - 강조색3" xfId="1563" builtinId="39" customBuiltin="1"/>
    <cellStyle name="40% - 강조색3 10" xfId="5064" xr:uid="{00000000-0005-0000-0000-000020120000}"/>
    <cellStyle name="40% - 강조색3 11" xfId="5065" xr:uid="{00000000-0005-0000-0000-000021120000}"/>
    <cellStyle name="40% - 강조색3 12" xfId="5066" xr:uid="{00000000-0005-0000-0000-000022120000}"/>
    <cellStyle name="40% - 강조색3 2" xfId="4164" xr:uid="{00000000-0005-0000-0000-000023120000}"/>
    <cellStyle name="40% - 강조색3 2 2" xfId="4165" xr:uid="{00000000-0005-0000-0000-000024120000}"/>
    <cellStyle name="40% - 강조색3 2 3" xfId="4166" xr:uid="{00000000-0005-0000-0000-000025120000}"/>
    <cellStyle name="40% - 강조색3 3" xfId="4167" xr:uid="{00000000-0005-0000-0000-000026120000}"/>
    <cellStyle name="40% - 강조색3 4" xfId="4168" xr:uid="{00000000-0005-0000-0000-000027120000}"/>
    <cellStyle name="40% - 강조색3 5" xfId="4169" xr:uid="{00000000-0005-0000-0000-000028120000}"/>
    <cellStyle name="40% - 강조색3 6" xfId="5067" xr:uid="{00000000-0005-0000-0000-000029120000}"/>
    <cellStyle name="40% - 강조색3 7" xfId="5068" xr:uid="{00000000-0005-0000-0000-00002A120000}"/>
    <cellStyle name="40% - 강조색3 8" xfId="5069" xr:uid="{00000000-0005-0000-0000-00002B120000}"/>
    <cellStyle name="40% - 강조색3 9" xfId="5070" xr:uid="{00000000-0005-0000-0000-00002C120000}"/>
    <cellStyle name="40% - 강조색4" xfId="1564" builtinId="43" customBuiltin="1"/>
    <cellStyle name="40% - 강조색4 10" xfId="5071" xr:uid="{00000000-0005-0000-0000-00002E120000}"/>
    <cellStyle name="40% - 강조색4 11" xfId="5072" xr:uid="{00000000-0005-0000-0000-00002F120000}"/>
    <cellStyle name="40% - 강조색4 12" xfId="5073" xr:uid="{00000000-0005-0000-0000-000030120000}"/>
    <cellStyle name="40% - 강조색4 2" xfId="4170" xr:uid="{00000000-0005-0000-0000-000031120000}"/>
    <cellStyle name="40% - 강조색4 2 2" xfId="4171" xr:uid="{00000000-0005-0000-0000-000032120000}"/>
    <cellStyle name="40% - 강조색4 2 3" xfId="4172" xr:uid="{00000000-0005-0000-0000-000033120000}"/>
    <cellStyle name="40% - 강조색4 3" xfId="4173" xr:uid="{00000000-0005-0000-0000-000034120000}"/>
    <cellStyle name="40% - 강조색4 4" xfId="4174" xr:uid="{00000000-0005-0000-0000-000035120000}"/>
    <cellStyle name="40% - 강조색4 5" xfId="4175" xr:uid="{00000000-0005-0000-0000-000036120000}"/>
    <cellStyle name="40% - 강조색4 6" xfId="5074" xr:uid="{00000000-0005-0000-0000-000037120000}"/>
    <cellStyle name="40% - 강조색4 7" xfId="5075" xr:uid="{00000000-0005-0000-0000-000038120000}"/>
    <cellStyle name="40% - 강조색4 8" xfId="5076" xr:uid="{00000000-0005-0000-0000-000039120000}"/>
    <cellStyle name="40% - 강조색4 9" xfId="5077" xr:uid="{00000000-0005-0000-0000-00003A120000}"/>
    <cellStyle name="40% - 강조색5" xfId="1565" builtinId="47" customBuiltin="1"/>
    <cellStyle name="40% - 강조색5 10" xfId="5078" xr:uid="{00000000-0005-0000-0000-00003C120000}"/>
    <cellStyle name="40% - 강조색5 11" xfId="5079" xr:uid="{00000000-0005-0000-0000-00003D120000}"/>
    <cellStyle name="40% - 강조색5 12" xfId="5080" xr:uid="{00000000-0005-0000-0000-00003E120000}"/>
    <cellStyle name="40% - 강조색5 2" xfId="4176" xr:uid="{00000000-0005-0000-0000-00003F120000}"/>
    <cellStyle name="40% - 강조색5 2 2" xfId="4177" xr:uid="{00000000-0005-0000-0000-000040120000}"/>
    <cellStyle name="40% - 강조색5 2 3" xfId="4178" xr:uid="{00000000-0005-0000-0000-000041120000}"/>
    <cellStyle name="40% - 강조색5 3" xfId="4179" xr:uid="{00000000-0005-0000-0000-000042120000}"/>
    <cellStyle name="40% - 강조색5 4" xfId="4180" xr:uid="{00000000-0005-0000-0000-000043120000}"/>
    <cellStyle name="40% - 강조색5 5" xfId="4181" xr:uid="{00000000-0005-0000-0000-000044120000}"/>
    <cellStyle name="40% - 강조색5 6" xfId="5081" xr:uid="{00000000-0005-0000-0000-000045120000}"/>
    <cellStyle name="40% - 강조색5 7" xfId="5082" xr:uid="{00000000-0005-0000-0000-000046120000}"/>
    <cellStyle name="40% - 강조색5 8" xfId="5083" xr:uid="{00000000-0005-0000-0000-000047120000}"/>
    <cellStyle name="40% - 강조색5 9" xfId="5084" xr:uid="{00000000-0005-0000-0000-000048120000}"/>
    <cellStyle name="40% - 강조색6" xfId="1566" builtinId="51" customBuiltin="1"/>
    <cellStyle name="40% - 강조색6 10" xfId="5085" xr:uid="{00000000-0005-0000-0000-00004A120000}"/>
    <cellStyle name="40% - 강조색6 11" xfId="5086" xr:uid="{00000000-0005-0000-0000-00004B120000}"/>
    <cellStyle name="40% - 강조색6 12" xfId="5087" xr:uid="{00000000-0005-0000-0000-00004C120000}"/>
    <cellStyle name="40% - 강조색6 2" xfId="4182" xr:uid="{00000000-0005-0000-0000-00004D120000}"/>
    <cellStyle name="40% - 강조색6 2 2" xfId="4183" xr:uid="{00000000-0005-0000-0000-00004E120000}"/>
    <cellStyle name="40% - 강조색6 2 3" xfId="4184" xr:uid="{00000000-0005-0000-0000-00004F120000}"/>
    <cellStyle name="40% - 강조색6 3" xfId="4185" xr:uid="{00000000-0005-0000-0000-000050120000}"/>
    <cellStyle name="40% - 강조색6 4" xfId="4186" xr:uid="{00000000-0005-0000-0000-000051120000}"/>
    <cellStyle name="40% - 강조색6 5" xfId="4187" xr:uid="{00000000-0005-0000-0000-000052120000}"/>
    <cellStyle name="40% - 강조색6 6" xfId="5088" xr:uid="{00000000-0005-0000-0000-000053120000}"/>
    <cellStyle name="40% - 강조색6 7" xfId="5089" xr:uid="{00000000-0005-0000-0000-000054120000}"/>
    <cellStyle name="40% - 강조색6 8" xfId="5090" xr:uid="{00000000-0005-0000-0000-000055120000}"/>
    <cellStyle name="40% - 강조색6 9" xfId="5091" xr:uid="{00000000-0005-0000-0000-000056120000}"/>
    <cellStyle name="60" xfId="1567" xr:uid="{00000000-0005-0000-0000-000057120000}"/>
    <cellStyle name="60% - Accent1" xfId="4188" xr:uid="{00000000-0005-0000-0000-000058120000}"/>
    <cellStyle name="60% - Accent2" xfId="4189" xr:uid="{00000000-0005-0000-0000-000059120000}"/>
    <cellStyle name="60% - Accent3" xfId="4190" xr:uid="{00000000-0005-0000-0000-00005A120000}"/>
    <cellStyle name="60% - Accent4" xfId="4191" xr:uid="{00000000-0005-0000-0000-00005B120000}"/>
    <cellStyle name="60% - Accent5" xfId="4192" xr:uid="{00000000-0005-0000-0000-00005C120000}"/>
    <cellStyle name="60% - Accent6" xfId="4193" xr:uid="{00000000-0005-0000-0000-00005D120000}"/>
    <cellStyle name="60% - 강조색1" xfId="1568" builtinId="32" customBuiltin="1"/>
    <cellStyle name="60% - 강조색1 10" xfId="5092" xr:uid="{00000000-0005-0000-0000-00005F120000}"/>
    <cellStyle name="60% - 강조색1 11" xfId="5093" xr:uid="{00000000-0005-0000-0000-000060120000}"/>
    <cellStyle name="60% - 강조색1 12" xfId="5094" xr:uid="{00000000-0005-0000-0000-000061120000}"/>
    <cellStyle name="60% - 강조색1 2" xfId="4194" xr:uid="{00000000-0005-0000-0000-000062120000}"/>
    <cellStyle name="60% - 강조색1 2 2" xfId="4195" xr:uid="{00000000-0005-0000-0000-000063120000}"/>
    <cellStyle name="60% - 강조색1 2 3" xfId="4196" xr:uid="{00000000-0005-0000-0000-000064120000}"/>
    <cellStyle name="60% - 강조색1 3" xfId="4197" xr:uid="{00000000-0005-0000-0000-000065120000}"/>
    <cellStyle name="60% - 강조색1 4" xfId="4198" xr:uid="{00000000-0005-0000-0000-000066120000}"/>
    <cellStyle name="60% - 강조색1 5" xfId="4199" xr:uid="{00000000-0005-0000-0000-000067120000}"/>
    <cellStyle name="60% - 강조색1 6" xfId="5095" xr:uid="{00000000-0005-0000-0000-000068120000}"/>
    <cellStyle name="60% - 강조색1 7" xfId="5096" xr:uid="{00000000-0005-0000-0000-000069120000}"/>
    <cellStyle name="60% - 강조색1 8" xfId="5097" xr:uid="{00000000-0005-0000-0000-00006A120000}"/>
    <cellStyle name="60% - 강조색1 9" xfId="5098" xr:uid="{00000000-0005-0000-0000-00006B120000}"/>
    <cellStyle name="60% - 강조색2" xfId="1569" builtinId="36" customBuiltin="1"/>
    <cellStyle name="60% - 강조색2 10" xfId="5099" xr:uid="{00000000-0005-0000-0000-00006D120000}"/>
    <cellStyle name="60% - 강조색2 11" xfId="5100" xr:uid="{00000000-0005-0000-0000-00006E120000}"/>
    <cellStyle name="60% - 강조색2 12" xfId="5101" xr:uid="{00000000-0005-0000-0000-00006F120000}"/>
    <cellStyle name="60% - 강조색2 2" xfId="4200" xr:uid="{00000000-0005-0000-0000-000070120000}"/>
    <cellStyle name="60% - 강조색2 2 2" xfId="4201" xr:uid="{00000000-0005-0000-0000-000071120000}"/>
    <cellStyle name="60% - 강조색2 2 3" xfId="4202" xr:uid="{00000000-0005-0000-0000-000072120000}"/>
    <cellStyle name="60% - 강조색2 3" xfId="4203" xr:uid="{00000000-0005-0000-0000-000073120000}"/>
    <cellStyle name="60% - 강조색2 4" xfId="4204" xr:uid="{00000000-0005-0000-0000-000074120000}"/>
    <cellStyle name="60% - 강조색2 5" xfId="4205" xr:uid="{00000000-0005-0000-0000-000075120000}"/>
    <cellStyle name="60% - 강조색2 6" xfId="5102" xr:uid="{00000000-0005-0000-0000-000076120000}"/>
    <cellStyle name="60% - 강조색2 7" xfId="5103" xr:uid="{00000000-0005-0000-0000-000077120000}"/>
    <cellStyle name="60% - 강조색2 8" xfId="5104" xr:uid="{00000000-0005-0000-0000-000078120000}"/>
    <cellStyle name="60% - 강조색2 9" xfId="5105" xr:uid="{00000000-0005-0000-0000-000079120000}"/>
    <cellStyle name="60% - 강조색3" xfId="1570" builtinId="40" customBuiltin="1"/>
    <cellStyle name="60% - 강조색3 10" xfId="5106" xr:uid="{00000000-0005-0000-0000-00007B120000}"/>
    <cellStyle name="60% - 강조색3 11" xfId="5107" xr:uid="{00000000-0005-0000-0000-00007C120000}"/>
    <cellStyle name="60% - 강조색3 12" xfId="5108" xr:uid="{00000000-0005-0000-0000-00007D120000}"/>
    <cellStyle name="60% - 강조색3 2" xfId="4206" xr:uid="{00000000-0005-0000-0000-00007E120000}"/>
    <cellStyle name="60% - 강조색3 2 2" xfId="4207" xr:uid="{00000000-0005-0000-0000-00007F120000}"/>
    <cellStyle name="60% - 강조색3 2 3" xfId="4208" xr:uid="{00000000-0005-0000-0000-000080120000}"/>
    <cellStyle name="60% - 강조색3 3" xfId="4209" xr:uid="{00000000-0005-0000-0000-000081120000}"/>
    <cellStyle name="60% - 강조색3 4" xfId="4210" xr:uid="{00000000-0005-0000-0000-000082120000}"/>
    <cellStyle name="60% - 강조색3 5" xfId="4211" xr:uid="{00000000-0005-0000-0000-000083120000}"/>
    <cellStyle name="60% - 강조색3 6" xfId="5109" xr:uid="{00000000-0005-0000-0000-000084120000}"/>
    <cellStyle name="60% - 강조색3 7" xfId="5110" xr:uid="{00000000-0005-0000-0000-000085120000}"/>
    <cellStyle name="60% - 강조색3 8" xfId="5111" xr:uid="{00000000-0005-0000-0000-000086120000}"/>
    <cellStyle name="60% - 강조색3 9" xfId="5112" xr:uid="{00000000-0005-0000-0000-000087120000}"/>
    <cellStyle name="60% - 강조색4" xfId="1571" builtinId="44" customBuiltin="1"/>
    <cellStyle name="60% - 강조색4 10" xfId="5113" xr:uid="{00000000-0005-0000-0000-000089120000}"/>
    <cellStyle name="60% - 강조색4 11" xfId="5114" xr:uid="{00000000-0005-0000-0000-00008A120000}"/>
    <cellStyle name="60% - 강조색4 12" xfId="5115" xr:uid="{00000000-0005-0000-0000-00008B120000}"/>
    <cellStyle name="60% - 강조색4 2" xfId="4212" xr:uid="{00000000-0005-0000-0000-00008C120000}"/>
    <cellStyle name="60% - 강조색4 2 2" xfId="4213" xr:uid="{00000000-0005-0000-0000-00008D120000}"/>
    <cellStyle name="60% - 강조색4 2 3" xfId="4214" xr:uid="{00000000-0005-0000-0000-00008E120000}"/>
    <cellStyle name="60% - 강조색4 3" xfId="4215" xr:uid="{00000000-0005-0000-0000-00008F120000}"/>
    <cellStyle name="60% - 강조색4 4" xfId="4216" xr:uid="{00000000-0005-0000-0000-000090120000}"/>
    <cellStyle name="60% - 강조색4 5" xfId="4217" xr:uid="{00000000-0005-0000-0000-000091120000}"/>
    <cellStyle name="60% - 강조색4 6" xfId="5116" xr:uid="{00000000-0005-0000-0000-000092120000}"/>
    <cellStyle name="60% - 강조색4 7" xfId="5117" xr:uid="{00000000-0005-0000-0000-000093120000}"/>
    <cellStyle name="60% - 강조색4 8" xfId="5118" xr:uid="{00000000-0005-0000-0000-000094120000}"/>
    <cellStyle name="60% - 강조색4 9" xfId="5119" xr:uid="{00000000-0005-0000-0000-000095120000}"/>
    <cellStyle name="60% - 강조색5" xfId="1572" builtinId="48" customBuiltin="1"/>
    <cellStyle name="60% - 강조색5 10" xfId="5120" xr:uid="{00000000-0005-0000-0000-000097120000}"/>
    <cellStyle name="60% - 강조색5 11" xfId="5121" xr:uid="{00000000-0005-0000-0000-000098120000}"/>
    <cellStyle name="60% - 강조색5 12" xfId="5122" xr:uid="{00000000-0005-0000-0000-000099120000}"/>
    <cellStyle name="60% - 강조색5 2" xfId="4218" xr:uid="{00000000-0005-0000-0000-00009A120000}"/>
    <cellStyle name="60% - 강조색5 2 2" xfId="4219" xr:uid="{00000000-0005-0000-0000-00009B120000}"/>
    <cellStyle name="60% - 강조색5 2 3" xfId="4220" xr:uid="{00000000-0005-0000-0000-00009C120000}"/>
    <cellStyle name="60% - 강조색5 3" xfId="4221" xr:uid="{00000000-0005-0000-0000-00009D120000}"/>
    <cellStyle name="60% - 강조색5 4" xfId="4222" xr:uid="{00000000-0005-0000-0000-00009E120000}"/>
    <cellStyle name="60% - 강조색5 5" xfId="4223" xr:uid="{00000000-0005-0000-0000-00009F120000}"/>
    <cellStyle name="60% - 강조색5 6" xfId="5123" xr:uid="{00000000-0005-0000-0000-0000A0120000}"/>
    <cellStyle name="60% - 강조색5 7" xfId="5124" xr:uid="{00000000-0005-0000-0000-0000A1120000}"/>
    <cellStyle name="60% - 강조색5 8" xfId="5125" xr:uid="{00000000-0005-0000-0000-0000A2120000}"/>
    <cellStyle name="60% - 강조색5 9" xfId="5126" xr:uid="{00000000-0005-0000-0000-0000A3120000}"/>
    <cellStyle name="60% - 강조색6" xfId="1573" builtinId="52" customBuiltin="1"/>
    <cellStyle name="60% - 강조색6 10" xfId="5127" xr:uid="{00000000-0005-0000-0000-0000A5120000}"/>
    <cellStyle name="60% - 강조색6 11" xfId="5128" xr:uid="{00000000-0005-0000-0000-0000A6120000}"/>
    <cellStyle name="60% - 강조색6 12" xfId="5129" xr:uid="{00000000-0005-0000-0000-0000A7120000}"/>
    <cellStyle name="60% - 강조색6 2" xfId="4224" xr:uid="{00000000-0005-0000-0000-0000A8120000}"/>
    <cellStyle name="60% - 강조색6 2 2" xfId="4225" xr:uid="{00000000-0005-0000-0000-0000A9120000}"/>
    <cellStyle name="60% - 강조색6 2 3" xfId="4226" xr:uid="{00000000-0005-0000-0000-0000AA120000}"/>
    <cellStyle name="60% - 강조색6 3" xfId="4227" xr:uid="{00000000-0005-0000-0000-0000AB120000}"/>
    <cellStyle name="60% - 강조색6 4" xfId="4228" xr:uid="{00000000-0005-0000-0000-0000AC120000}"/>
    <cellStyle name="60% - 강조색6 5" xfId="4229" xr:uid="{00000000-0005-0000-0000-0000AD120000}"/>
    <cellStyle name="60% - 강조색6 6" xfId="5130" xr:uid="{00000000-0005-0000-0000-0000AE120000}"/>
    <cellStyle name="60% - 강조색6 7" xfId="5131" xr:uid="{00000000-0005-0000-0000-0000AF120000}"/>
    <cellStyle name="60% - 강조색6 8" xfId="5132" xr:uid="{00000000-0005-0000-0000-0000B0120000}"/>
    <cellStyle name="60% - 강조색6 9" xfId="5133" xr:uid="{00000000-0005-0000-0000-0000B1120000}"/>
    <cellStyle name="_x0014_7." xfId="1574" xr:uid="{00000000-0005-0000-0000-0000B2120000}"/>
    <cellStyle name="82" xfId="1575" xr:uid="{00000000-0005-0000-0000-0000B3120000}"/>
    <cellStyle name="90" xfId="1576" xr:uid="{00000000-0005-0000-0000-0000B4120000}"/>
    <cellStyle name="a" xfId="1873" xr:uid="{00000000-0005-0000-0000-0000B5120000}"/>
    <cellStyle name="a_2_완충녹지203 " xfId="5134" xr:uid="{00000000-0005-0000-0000-0000B6120000}"/>
    <cellStyle name="A_마산~청호간_신호기설치공사" xfId="1874" xr:uid="{00000000-0005-0000-0000-0000B7120000}"/>
    <cellStyle name="A_마산~청호간_신호기설치공사_화곡 ~ 주천간 가로등설치공사" xfId="1875" xr:uid="{00000000-0005-0000-0000-0000B8120000}"/>
    <cellStyle name="A_산출내역서(문발IC)(1)" xfId="1876" xr:uid="{00000000-0005-0000-0000-0000B9120000}"/>
    <cellStyle name="A¡§¡©¡Ë¡þ¡ËO_AO¡§uRCN¢®¨úU " xfId="4230" xr:uid="{00000000-0005-0000-0000-0000BA120000}"/>
    <cellStyle name="A¡§¡ⓒ¡E¡þ¡EO [0]_¡§uc¡§oA " xfId="1877" xr:uid="{00000000-0005-0000-0000-0000BB120000}"/>
    <cellStyle name="A¡§¡ⓒ¡E¡þ¡EO_¡§uc¡§oA " xfId="1878" xr:uid="{00000000-0005-0000-0000-0000BC120000}"/>
    <cellStyle name="A¨­￠￢￠O [0]_ ¨￢n￠￢n¨￢¡Æ ￠?u¨￢¡Æ¡¾a¨uu " xfId="1879" xr:uid="{00000000-0005-0000-0000-0000BD120000}"/>
    <cellStyle name="A¨­¢¬¢Ò [0]_¨úc¨öA " xfId="1880" xr:uid="{00000000-0005-0000-0000-0000BE120000}"/>
    <cellStyle name="A¨­￠￢￠O [0]_3￠?u¨uoAⓒ÷ " xfId="1881" xr:uid="{00000000-0005-0000-0000-0000BF120000}"/>
    <cellStyle name="A¨­¢¬¢Ò [0]_4PART " xfId="1882" xr:uid="{00000000-0005-0000-0000-0000C0120000}"/>
    <cellStyle name="A¨­￠￢￠O [0]_A|A￠O1¨￢I1¡Æu CoEⓒ÷ " xfId="1883" xr:uid="{00000000-0005-0000-0000-0000C1120000}"/>
    <cellStyle name="A¨­¢¬¢Ò [0]_C¡Æ¢¬n¨¬¡Æ " xfId="1884" xr:uid="{00000000-0005-0000-0000-0000C2120000}"/>
    <cellStyle name="A¨­￠￢￠O [0]_ⓒoⓒ¡A¨o¨￢R " xfId="1885" xr:uid="{00000000-0005-0000-0000-0000C3120000}"/>
    <cellStyle name="A¨­￠￢￠O_ ¨￢n￠￢n¨￢¡Æ ￠?u¨￢¡Æ¡¾a¨uu " xfId="1886" xr:uid="{00000000-0005-0000-0000-0000C4120000}"/>
    <cellStyle name="A¨­¢¬¢Ò_¨úc¨öA " xfId="1887" xr:uid="{00000000-0005-0000-0000-0000C5120000}"/>
    <cellStyle name="A¨­￠￢￠O_3￠?u¨uoAⓒ÷ " xfId="1888" xr:uid="{00000000-0005-0000-0000-0000C6120000}"/>
    <cellStyle name="A¨­¢¬¢Ò_95©øaAN¡Æy¨ùo¡¤R " xfId="1889" xr:uid="{00000000-0005-0000-0000-0000C7120000}"/>
    <cellStyle name="A¨­￠￢￠O_A|A￠O1¨￢I1¡Æu CoEⓒ÷ " xfId="1890" xr:uid="{00000000-0005-0000-0000-0000C8120000}"/>
    <cellStyle name="A¨­¢¬¢Ò_C¡Æ¢¬n¨¬¡Æ " xfId="1891" xr:uid="{00000000-0005-0000-0000-0000C9120000}"/>
    <cellStyle name="A¨­￠￢￠O_ⓒoⓒ¡A¨o¨￢R " xfId="1892" xr:uid="{00000000-0005-0000-0000-0000CA120000}"/>
    <cellStyle name="A￠R¡×￠R¨I￠RE￠Rⓒ­￠REO [0]_INQUIRY ￠RE?￠RIi￠R¡×u¡ERAA¡§I￠Rⓒ­A¡§I¡§¡I " xfId="1893" xr:uid="{00000000-0005-0000-0000-0000CB120000}"/>
    <cellStyle name="A￠R¡×￠R¨I￠RE￠Rⓒ­￠REO_INQUIRY ￠RE?￠RIi￠R¡×u¡ERAA¡§I￠Rⓒ­A¡§I¡§¡I " xfId="1894" xr:uid="{00000000-0005-0000-0000-0000CC120000}"/>
    <cellStyle name="a-4" xfId="1895" xr:uid="{00000000-0005-0000-0000-0000CD120000}"/>
    <cellStyle name="aa" xfId="1896" xr:uid="{00000000-0005-0000-0000-0000CE120000}"/>
    <cellStyle name="Äåíåæíûé [0]_PERSONAL" xfId="4231" xr:uid="{00000000-0005-0000-0000-0000CF120000}"/>
    <cellStyle name="Äåíåæíûé_PERSONAL" xfId="4232" xr:uid="{00000000-0005-0000-0000-0000D0120000}"/>
    <cellStyle name="ȂȃRMऌଃਁȋ⤭ࠀȄԂȂ(ȃRMऌଃਁȋ⤂Ā飰ˠ" xfId="4233" xr:uid="{00000000-0005-0000-0000-0000D1120000}"/>
    <cellStyle name="Aⓒ­" xfId="1897" xr:uid="{00000000-0005-0000-0000-0000D2120000}"/>
    <cellStyle name="Accent1" xfId="4234" xr:uid="{00000000-0005-0000-0000-0000D3120000}"/>
    <cellStyle name="Accent2" xfId="4235" xr:uid="{00000000-0005-0000-0000-0000D4120000}"/>
    <cellStyle name="Accent3" xfId="4236" xr:uid="{00000000-0005-0000-0000-0000D5120000}"/>
    <cellStyle name="Accent4" xfId="4237" xr:uid="{00000000-0005-0000-0000-0000D6120000}"/>
    <cellStyle name="Accent5" xfId="4238" xr:uid="{00000000-0005-0000-0000-0000D7120000}"/>
    <cellStyle name="Accent6" xfId="4239" xr:uid="{00000000-0005-0000-0000-0000D8120000}"/>
    <cellStyle name="Actual Date" xfId="1898" xr:uid="{00000000-0005-0000-0000-0000D9120000}"/>
    <cellStyle name="Ae" xfId="1899" xr:uid="{00000000-0005-0000-0000-0000DA120000}"/>
    <cellStyle name="Åë" xfId="1900" xr:uid="{00000000-0005-0000-0000-0000DB120000}"/>
    <cellStyle name="Ae_마곡보완" xfId="7247" xr:uid="{00000000-0005-0000-0000-0000DC120000}"/>
    <cellStyle name="Åë_마곡보완" xfId="7248" xr:uid="{00000000-0005-0000-0000-0000DD120000}"/>
    <cellStyle name="Ae_화곡 ~ 주천간 가로등설치공사" xfId="1901" xr:uid="{00000000-0005-0000-0000-0000DE120000}"/>
    <cellStyle name="Åë_화곡 ~ 주천간 가로등설치공사" xfId="1902" xr:uid="{00000000-0005-0000-0000-0000DF120000}"/>
    <cellStyle name="Aee­" xfId="1903" xr:uid="{00000000-0005-0000-0000-0000E0120000}"/>
    <cellStyle name="Aee­ " xfId="1904" xr:uid="{00000000-0005-0000-0000-0000E1120000}"/>
    <cellStyle name="Aee­ [" xfId="7249" xr:uid="{00000000-0005-0000-0000-0000E2120000}"/>
    <cellStyle name="Åëè­ [" xfId="1905" xr:uid="{00000000-0005-0000-0000-0000E3120000}"/>
    <cellStyle name="Aee­ [_마곡보완" xfId="7250" xr:uid="{00000000-0005-0000-0000-0000E4120000}"/>
    <cellStyle name="Åëè­ [_마곡보완" xfId="7251" xr:uid="{00000000-0005-0000-0000-0000E5120000}"/>
    <cellStyle name="Aee­ [0]" xfId="1906" xr:uid="{00000000-0005-0000-0000-0000E6120000}"/>
    <cellStyle name="ÅëÈ­ [0]_¸ðÇü¸·" xfId="1907" xr:uid="{00000000-0005-0000-0000-0000E7120000}"/>
    <cellStyle name="AeE­ [0]_¼oAI¼º " xfId="1908" xr:uid="{00000000-0005-0000-0000-0000E8120000}"/>
    <cellStyle name="ÅëÈ­ [0]_¾÷Á¾º° " xfId="1909" xr:uid="{00000000-0005-0000-0000-0000E9120000}"/>
    <cellStyle name="AeE­ [0]_¾c½A " xfId="1910" xr:uid="{00000000-0005-0000-0000-0000EA120000}"/>
    <cellStyle name="ÅëÈ­ [0]_¹æÀ½º® " xfId="1911" xr:uid="{00000000-0005-0000-0000-0000EB120000}"/>
    <cellStyle name="AeE­ [0]_4PART " xfId="1912" xr:uid="{00000000-0005-0000-0000-0000EC120000}"/>
    <cellStyle name="ÅëÈ­ [0]_Á¦Á¶1ºÎ1°ú ÇöÈ² " xfId="1913" xr:uid="{00000000-0005-0000-0000-0000ED120000}"/>
    <cellStyle name="AeE­ [0]_A¾CO½A¼³ " xfId="1914" xr:uid="{00000000-0005-0000-0000-0000EE120000}"/>
    <cellStyle name="ÅëÈ­ [0]_Á¾ÇÕ½Å¼³ " xfId="1915" xr:uid="{00000000-0005-0000-0000-0000EF120000}"/>
    <cellStyle name="AeE­ [0]_A¾CO½A¼³  2" xfId="5135" xr:uid="{00000000-0005-0000-0000-0000F0120000}"/>
    <cellStyle name="ÅëÈ­ [0]_Á¾ÇÕÃ¶°ÅºÐ " xfId="1916" xr:uid="{00000000-0005-0000-0000-0000F1120000}"/>
    <cellStyle name="AeE­ [0]_A¹Aa" xfId="7252" xr:uid="{00000000-0005-0000-0000-0000F2120000}"/>
    <cellStyle name="ÅëÈ­ [0]_INQUIRY ¿µ¾÷ÃßÁø " xfId="1917" xr:uid="{00000000-0005-0000-0000-0000F3120000}"/>
    <cellStyle name="AeE­ [0]_INQUIRY ¿μ¾÷AßAø " xfId="1918" xr:uid="{00000000-0005-0000-0000-0000F4120000}"/>
    <cellStyle name="ÅëÈ­ [0]_laroux" xfId="1919" xr:uid="{00000000-0005-0000-0000-0000F5120000}"/>
    <cellStyle name="AeE­ [0]_º≫¼± ±æ¾i±uºI ¼o·R Ay°eC￥ " xfId="4240" xr:uid="{00000000-0005-0000-0000-0000F6120000}"/>
    <cellStyle name="ÅëÈ­ [0]_ºÙÀÓ2-1 " xfId="4241" xr:uid="{00000000-0005-0000-0000-0000F7120000}"/>
    <cellStyle name="AeE­ [0]_PERSONAL" xfId="4242" xr:uid="{00000000-0005-0000-0000-0000F8120000}"/>
    <cellStyle name="ÅëÈ­ [0]_SP ¹°µ¿¹× ¿ÜÁÖ " xfId="5136" xr:uid="{00000000-0005-0000-0000-0000F9120000}"/>
    <cellStyle name="Aee­ _교통신호견적서-삼일공영(주)" xfId="1920" xr:uid="{00000000-0005-0000-0000-0000FA120000}"/>
    <cellStyle name="AeE­_  A¾  CO  " xfId="1921" xr:uid="{00000000-0005-0000-0000-0000FB120000}"/>
    <cellStyle name="ÅëÈ­_¸ðÇü¸·" xfId="1922" xr:uid="{00000000-0005-0000-0000-0000FC120000}"/>
    <cellStyle name="AeE­_¼oAI¼º " xfId="1923" xr:uid="{00000000-0005-0000-0000-0000FD120000}"/>
    <cellStyle name="ÅëÈ­_¾÷Á¾º° " xfId="1924" xr:uid="{00000000-0005-0000-0000-0000FE120000}"/>
    <cellStyle name="AeE­_¾c½A " xfId="1925" xr:uid="{00000000-0005-0000-0000-0000FF120000}"/>
    <cellStyle name="ÅëÈ­_¹æÀ½º® " xfId="1926" xr:uid="{00000000-0005-0000-0000-000000130000}"/>
    <cellStyle name="AeE­_4PART " xfId="1927" xr:uid="{00000000-0005-0000-0000-000001130000}"/>
    <cellStyle name="ÅëÈ­_Á¦Á¶1ºÎ1°ú ÇöÈ² " xfId="1928" xr:uid="{00000000-0005-0000-0000-000002130000}"/>
    <cellStyle name="AeE­_A¾CO½A¼³ " xfId="1929" xr:uid="{00000000-0005-0000-0000-000003130000}"/>
    <cellStyle name="ÅëÈ­_Á¾ÇÕ½Å¼³ " xfId="1930" xr:uid="{00000000-0005-0000-0000-000004130000}"/>
    <cellStyle name="AeE­_A¾CO½A¼³  2" xfId="5137" xr:uid="{00000000-0005-0000-0000-000005130000}"/>
    <cellStyle name="ÅëÈ­_Á¾ÇÕÃ¶°ÅºÐ " xfId="1931" xr:uid="{00000000-0005-0000-0000-000006130000}"/>
    <cellStyle name="AeE­_A¹Aa" xfId="7253" xr:uid="{00000000-0005-0000-0000-000007130000}"/>
    <cellStyle name="ÅëÈ­_INQUIRY ¿µ¾÷ÃßÁø " xfId="1932" xr:uid="{00000000-0005-0000-0000-000008130000}"/>
    <cellStyle name="AeE­_INQUIRY ¿μ¾÷AßAø " xfId="1933" xr:uid="{00000000-0005-0000-0000-000009130000}"/>
    <cellStyle name="ÅëÈ­_laroux" xfId="1934" xr:uid="{00000000-0005-0000-0000-00000A130000}"/>
    <cellStyle name="AeE­_º≫¼± ±æ¾i±uºI ¼o·R Ay°eC￥ " xfId="4243" xr:uid="{00000000-0005-0000-0000-00000B130000}"/>
    <cellStyle name="ÅëÈ­_ºÙÀÓ2-1 " xfId="4244" xr:uid="{00000000-0005-0000-0000-00000C130000}"/>
    <cellStyle name="AeE­_PERSONAL" xfId="4245" xr:uid="{00000000-0005-0000-0000-00000D130000}"/>
    <cellStyle name="ÅëÈ­_SP ¹°µ¿¹× ¿ÜÁÖ " xfId="5138" xr:uid="{00000000-0005-0000-0000-00000E130000}"/>
    <cellStyle name="Aee¡" xfId="1935" xr:uid="{00000000-0005-0000-0000-00000F130000}"/>
    <cellStyle name="AeE¡© [0]_¨úc¨öA " xfId="1936" xr:uid="{00000000-0005-0000-0000-000010130000}"/>
    <cellStyle name="AeE¡©_¨úc¨öA " xfId="1937" xr:uid="{00000000-0005-0000-0000-000011130000}"/>
    <cellStyle name="Aee¡ⓒ " xfId="1938" xr:uid="{00000000-0005-0000-0000-000012130000}"/>
    <cellStyle name="AeE¡ⓒ [0]_ ¨￢n￠￢n¨￢¡Æ ￠?u¨￢¡Æ¡¾a¨uu " xfId="1939" xr:uid="{00000000-0005-0000-0000-000013130000}"/>
    <cellStyle name="Aee¡ⓒ _타견적서 양식(안전용품)-안전정보시스템" xfId="5139" xr:uid="{00000000-0005-0000-0000-000014130000}"/>
    <cellStyle name="AeE¡ⓒ_ ¨￢n￠￢n¨￢¡Æ ￠?u¨￢¡Æ¡¾a¨uu " xfId="1940" xr:uid="{00000000-0005-0000-0000-000015130000}"/>
    <cellStyle name="AeE¡ER¡§I [0]_INQUIRY ￠RE?￠RIi￠R¡×u¡ERAA¡§I￠Rⓒ­A¡§I¡§¡I " xfId="1941" xr:uid="{00000000-0005-0000-0000-000016130000}"/>
    <cellStyle name="AeE¡ER¡§I_INQUIRY ￠RE?￠RIi￠R¡×u¡ERAA¡§I￠Rⓒ­A¡§I¡§¡I " xfId="1942" xr:uid="{00000000-0005-0000-0000-000017130000}"/>
    <cellStyle name="AeE¢®¨Ï [0]_AO¡§uRCN¢®¨úU " xfId="4246" xr:uid="{00000000-0005-0000-0000-000018130000}"/>
    <cellStyle name="AeE¢®¨Ï_AO¡§uRCN¢®¨úU " xfId="4247" xr:uid="{00000000-0005-0000-0000-000019130000}"/>
    <cellStyle name="AeE￠R¨I [0]_¡§uc¡§oA " xfId="1943" xr:uid="{00000000-0005-0000-0000-00001A130000}"/>
    <cellStyle name="AeE￠R¨I_¡§uc¡§oA " xfId="1944" xr:uid="{00000000-0005-0000-0000-00001B130000}"/>
    <cellStyle name="Æu¼ " xfId="5140" xr:uid="{00000000-0005-0000-0000-00001C130000}"/>
    <cellStyle name="Æû¼¾æ®" xfId="7254" xr:uid="{00000000-0005-0000-0000-00001D130000}"/>
    <cellStyle name="Æu¼¾æR" xfId="1945" xr:uid="{00000000-0005-0000-0000-00001E130000}"/>
    <cellStyle name="ALIGNMENT" xfId="1946" xr:uid="{00000000-0005-0000-0000-00001F130000}"/>
    <cellStyle name="AoA¤μCAo ¾EA½" xfId="1947" xr:uid="{00000000-0005-0000-0000-000020130000}"/>
    <cellStyle name="ARIAL" xfId="1948" xr:uid="{00000000-0005-0000-0000-000021130000}"/>
    <cellStyle name="Aþ" xfId="7255" xr:uid="{00000000-0005-0000-0000-000022130000}"/>
    <cellStyle name="Äþ" xfId="1949" xr:uid="{00000000-0005-0000-0000-000023130000}"/>
    <cellStyle name="Aþ_마곡보완" xfId="7256" xr:uid="{00000000-0005-0000-0000-000024130000}"/>
    <cellStyle name="Äþ_마곡보완" xfId="7257" xr:uid="{00000000-0005-0000-0000-000025130000}"/>
    <cellStyle name="Aþ¸" xfId="1950" xr:uid="{00000000-0005-0000-0000-000026130000}"/>
    <cellStyle name="Aþ¸¶" xfId="1951" xr:uid="{00000000-0005-0000-0000-000027130000}"/>
    <cellStyle name="Aþ¸¶ [" xfId="7258" xr:uid="{00000000-0005-0000-0000-000028130000}"/>
    <cellStyle name="Äþ¸¶ [" xfId="1952" xr:uid="{00000000-0005-0000-0000-000029130000}"/>
    <cellStyle name="Aþ¸¶ [_마곡보완" xfId="7259" xr:uid="{00000000-0005-0000-0000-00002A130000}"/>
    <cellStyle name="Äþ¸¶ [_마곡보완" xfId="7260" xr:uid="{00000000-0005-0000-0000-00002B130000}"/>
    <cellStyle name="Aþ¸¶ [0]" xfId="1953" xr:uid="{00000000-0005-0000-0000-00002C130000}"/>
    <cellStyle name="ÄÞ¸¶ [0]_¸ðÇü¸·" xfId="1954" xr:uid="{00000000-0005-0000-0000-00002D130000}"/>
    <cellStyle name="AÞ¸¶ [0]_¼oAI¼º " xfId="1955" xr:uid="{00000000-0005-0000-0000-00002E130000}"/>
    <cellStyle name="ÄÞ¸¶ [0]_¾÷Á¾º° " xfId="1956" xr:uid="{00000000-0005-0000-0000-00002F130000}"/>
    <cellStyle name="AÞ¸¶ [0]_¾c½A " xfId="1957" xr:uid="{00000000-0005-0000-0000-000030130000}"/>
    <cellStyle name="ÄÞ¸¶ [0]_¹æÀ½º® " xfId="1958" xr:uid="{00000000-0005-0000-0000-000031130000}"/>
    <cellStyle name="AÞ¸¶ [0]_4PART " xfId="1959" xr:uid="{00000000-0005-0000-0000-000032130000}"/>
    <cellStyle name="ÄÞ¸¶ [0]_Á¦Á¶1ºÎ1°ú ÇöÈ² " xfId="1960" xr:uid="{00000000-0005-0000-0000-000033130000}"/>
    <cellStyle name="AÞ¸¶ [0]_A¾CO½A¼³ " xfId="1961" xr:uid="{00000000-0005-0000-0000-000034130000}"/>
    <cellStyle name="ÄÞ¸¶ [0]_Á¾ÇÕ½Å¼³ " xfId="1962" xr:uid="{00000000-0005-0000-0000-000035130000}"/>
    <cellStyle name="AÞ¸¶ [0]_A¾CO½A¼³  2" xfId="5141" xr:uid="{00000000-0005-0000-0000-000036130000}"/>
    <cellStyle name="ÄÞ¸¶ [0]_Á¾ÇÕÃ¶°ÅºÐ " xfId="1963" xr:uid="{00000000-0005-0000-0000-000037130000}"/>
    <cellStyle name="AÞ¸¶ [0]_A¹Aa" xfId="7261" xr:uid="{00000000-0005-0000-0000-000038130000}"/>
    <cellStyle name="ÄÞ¸¶ [0]_INQUIRY ¿µ¾÷ÃßÁø " xfId="1964" xr:uid="{00000000-0005-0000-0000-000039130000}"/>
    <cellStyle name="AÞ¸¶ [0]_INQUIRY ¿μ¾÷AßAø " xfId="1965" xr:uid="{00000000-0005-0000-0000-00003A130000}"/>
    <cellStyle name="ÄÞ¸¶ [0]_laroux" xfId="1966" xr:uid="{00000000-0005-0000-0000-00003B130000}"/>
    <cellStyle name="AÞ¸¶ [0]_laroux_도담차량공작실설계서" xfId="1967" xr:uid="{00000000-0005-0000-0000-00003C130000}"/>
    <cellStyle name="ÄÞ¸¶ [0]_laroux_도담차량공작실설계서" xfId="1968" xr:uid="{00000000-0005-0000-0000-00003D130000}"/>
    <cellStyle name="AÞ¸¶ [0]_laroux_도담차량공작실신설공사" xfId="1969" xr:uid="{00000000-0005-0000-0000-00003E130000}"/>
    <cellStyle name="ÄÞ¸¶ [0]_laroux_도담차량공작실신설공사" xfId="1970" xr:uid="{00000000-0005-0000-0000-00003F130000}"/>
    <cellStyle name="AÞ¸¶ [0]_laroux_상장가도교설계서" xfId="1971" xr:uid="{00000000-0005-0000-0000-000040130000}"/>
    <cellStyle name="ÄÞ¸¶ [0]_laroux_상장가도교수량산출" xfId="1972" xr:uid="{00000000-0005-0000-0000-000041130000}"/>
    <cellStyle name="AÞ¸¶ [0]_º≫¼± ±æ¾i±uºI ¼o·R Ay°eC￥ " xfId="4248" xr:uid="{00000000-0005-0000-0000-000042130000}"/>
    <cellStyle name="ÄÞ¸¶ [0]_ºÙÀÓ2-1 " xfId="4249" xr:uid="{00000000-0005-0000-0000-000043130000}"/>
    <cellStyle name="AÞ¸¶_  A¾  CO  " xfId="1973" xr:uid="{00000000-0005-0000-0000-000044130000}"/>
    <cellStyle name="ÄÞ¸¶_¸ðÇü¸·" xfId="1974" xr:uid="{00000000-0005-0000-0000-000045130000}"/>
    <cellStyle name="AÞ¸¶_°ßAu¿ø°¡C￥" xfId="4250" xr:uid="{00000000-0005-0000-0000-000046130000}"/>
    <cellStyle name="ÄÞ¸¶_°ü¸®Ç×¸ñ_¾÷Á¾º° " xfId="4251" xr:uid="{00000000-0005-0000-0000-000047130000}"/>
    <cellStyle name="AÞ¸¶_¼oAI¼º " xfId="1975" xr:uid="{00000000-0005-0000-0000-000048130000}"/>
    <cellStyle name="ÄÞ¸¶_¾÷Á¾º° " xfId="1976" xr:uid="{00000000-0005-0000-0000-000049130000}"/>
    <cellStyle name="AÞ¸¶_¾c½A " xfId="1977" xr:uid="{00000000-0005-0000-0000-00004A130000}"/>
    <cellStyle name="ÄÞ¸¶_¹æÀ½º® " xfId="1978" xr:uid="{00000000-0005-0000-0000-00004B130000}"/>
    <cellStyle name="AÞ¸¶_95³aAN°y¼o·R " xfId="1979" xr:uid="{00000000-0005-0000-0000-00004C130000}"/>
    <cellStyle name="ÄÞ¸¶_Á¦Á¶1ºÎ1°ú ÇöÈ² " xfId="1980" xr:uid="{00000000-0005-0000-0000-00004D130000}"/>
    <cellStyle name="AÞ¸¶_A¾CO½A¼³ " xfId="1981" xr:uid="{00000000-0005-0000-0000-00004E130000}"/>
    <cellStyle name="ÄÞ¸¶_Á¾ÇÕ½Å¼³ " xfId="1982" xr:uid="{00000000-0005-0000-0000-00004F130000}"/>
    <cellStyle name="AÞ¸¶_A¾CO½A¼³  2" xfId="5142" xr:uid="{00000000-0005-0000-0000-000050130000}"/>
    <cellStyle name="ÄÞ¸¶_Á¾ÇÕÃ¶°ÅºÐ " xfId="1983" xr:uid="{00000000-0005-0000-0000-000051130000}"/>
    <cellStyle name="AÞ¸¶_A¹Aa" xfId="7262" xr:uid="{00000000-0005-0000-0000-000052130000}"/>
    <cellStyle name="ÄÞ¸¶_INQUIRY ¿µ¾÷ÃßÁø " xfId="5143" xr:uid="{00000000-0005-0000-0000-000053130000}"/>
    <cellStyle name="AÞ¸¶_INQUIRY ¿μ¾÷AßAø " xfId="1984" xr:uid="{00000000-0005-0000-0000-000054130000}"/>
    <cellStyle name="ÄÞ¸¶_laroux" xfId="1985" xr:uid="{00000000-0005-0000-0000-000055130000}"/>
    <cellStyle name="AÞ¸¶_º≫¼± ±æ¾i±uºI ¼o·R Ay°eC￥ " xfId="4252" xr:uid="{00000000-0005-0000-0000-000056130000}"/>
    <cellStyle name="ÄÞ¸¶_ºÙÀÓ2-1 " xfId="4253" xr:uid="{00000000-0005-0000-0000-000057130000}"/>
    <cellStyle name="Àú¸®¼ö" xfId="7263" xr:uid="{00000000-0005-0000-0000-000058130000}"/>
    <cellStyle name="Àú¸®¼ö0" xfId="7264" xr:uid="{00000000-0005-0000-0000-000059130000}"/>
    <cellStyle name="Au¸r " xfId="5144" xr:uid="{00000000-0005-0000-0000-00005A130000}"/>
    <cellStyle name="Au¸R¼o" xfId="1986" xr:uid="{00000000-0005-0000-0000-00005B130000}"/>
    <cellStyle name="Au¸R¼o0" xfId="1987" xr:uid="{00000000-0005-0000-0000-00005C130000}"/>
    <cellStyle name="_x0001_b" xfId="1988" xr:uid="{00000000-0005-0000-0000-00005D130000}"/>
    <cellStyle name="b?þ?b?þ?b?þ?b?þ?b?þ?b?þ?b?þ?b?þ?b?þ?b?þ?b灌þ?b?þ?&lt;?b?þ?b濬þ?b?þ?b?þ昰_x0018_?þ????_x0008_" xfId="1989" xr:uid="{00000000-0005-0000-0000-00005E130000}"/>
    <cellStyle name="b?þ?b?þ?b?þ?b灌þ?b?þ?&lt;?b?þ?b濬þ?b?þ?b?þ昰_x0018_?þ????_x0008_" xfId="1990" xr:uid="{00000000-0005-0000-0000-00005F130000}"/>
    <cellStyle name="b␌þකb濰þඪb瀠þයb灌þ්b炈þ宐&lt;෢b濈þෲb濬þขb瀐þฒb瀰þ昰_x0018_⋸þ㤕䰀ጤܕ_x0008_" xfId="1991" xr:uid="{00000000-0005-0000-0000-000060130000}"/>
    <cellStyle name="Bad" xfId="4254" xr:uid="{00000000-0005-0000-0000-000061130000}"/>
    <cellStyle name="body" xfId="1993" xr:uid="{00000000-0005-0000-0000-000062130000}"/>
    <cellStyle name="BOLD - Style1" xfId="4255" xr:uid="{00000000-0005-0000-0000-000063130000}"/>
    <cellStyle name="b椬ៜ_x000c_Comma_ODCOS " xfId="5145" xr:uid="{00000000-0005-0000-0000-000064130000}"/>
    <cellStyle name="b嬜þപb嬼þഺb孬þൊb⍜þ൚b⍼þ൪b⎨þൺb⏜þඊb␌þකb濰þඪb瀠þයb灌þ්b炈þ宐&lt;෢b濈þෲb濬þขb瀐þฒb瀰þ昰_x0018_⋸þ㤕䰀ጤܕ_x0008_" xfId="1992" xr:uid="{00000000-0005-0000-0000-000065130000}"/>
    <cellStyle name="C" xfId="1994" xr:uid="{00000000-0005-0000-0000-000066130000}"/>
    <cellStyle name="C_산출내역서(문발IC)(1)" xfId="1995" xr:uid="{00000000-0005-0000-0000-000067130000}"/>
    <cellStyle name="C_화곡 ~ 주천간 가로등설치공사" xfId="1996" xr:uid="{00000000-0005-0000-0000-000068130000}"/>
    <cellStyle name="C¡ERIA￠R¡×¡§¡I_¡ERic￠R¡×u¡ERA￠R¡×￠Rⓒ­I￠R¡×￠Rⓒ­¡ER¡§￠R AN¡ER¡§￠Re " xfId="1997" xr:uid="{00000000-0005-0000-0000-000069130000}"/>
    <cellStyle name="C¡ÍA¨ª_  FAB AIA¢´  " xfId="1998" xr:uid="{00000000-0005-0000-0000-00006A130000}"/>
    <cellStyle name="C¡IA¨ª_ 1-3 " xfId="1999" xr:uid="{00000000-0005-0000-0000-00006B130000}"/>
    <cellStyle name="C¡ÍA¨ª_¡Æ©øAI OXIDE " xfId="2000" xr:uid="{00000000-0005-0000-0000-00006C130000}"/>
    <cellStyle name="C¡IA¨ª_¡Æu￠￢RBS('98) " xfId="2001" xr:uid="{00000000-0005-0000-0000-00006D130000}"/>
    <cellStyle name="C¡ÍA¨ª_¡íoE©÷¡¾a¡¤IAo " xfId="2002" xr:uid="{00000000-0005-0000-0000-00006E130000}"/>
    <cellStyle name="C¡IA¨ª_¡ioEⓒ÷¡¾a¡¤IAo " xfId="2003" xr:uid="{00000000-0005-0000-0000-00006F130000}"/>
    <cellStyle name="C¡ÍA¨ª_03 " xfId="2004" xr:uid="{00000000-0005-0000-0000-000070130000}"/>
    <cellStyle name="C¡IA¨ª_12￠?u " xfId="2005" xr:uid="{00000000-0005-0000-0000-000071130000}"/>
    <cellStyle name="C¡ÍA¨ª_12AO " xfId="2006" xr:uid="{00000000-0005-0000-0000-000072130000}"/>
    <cellStyle name="C¡IA¨ª_Ac¡Æi¡Æu￠￢R " xfId="2007" xr:uid="{00000000-0005-0000-0000-000073130000}"/>
    <cellStyle name="C¡ÍA¨ª_C¡ÍAo " xfId="2008" xr:uid="{00000000-0005-0000-0000-000074130000}"/>
    <cellStyle name="C¡IA¨ª_CD-ROM " xfId="2009" xr:uid="{00000000-0005-0000-0000-000075130000}"/>
    <cellStyle name="C¡ÍA¨ª_Sheet1_4PART " xfId="2010" xr:uid="{00000000-0005-0000-0000-000076130000}"/>
    <cellStyle name="C¢®IA¡§¨£_AO¡§uRCN¢®¨úU " xfId="4256" xr:uid="{00000000-0005-0000-0000-000077130000}"/>
    <cellStyle name="C￠RIA¡§¨￡_  FAB AIA¡E￠￥  " xfId="2011" xr:uid="{00000000-0005-0000-0000-000078130000}"/>
    <cellStyle name="C￥" xfId="7265" xr:uid="{00000000-0005-0000-0000-000079130000}"/>
    <cellStyle name="Ç¥" xfId="2012" xr:uid="{00000000-0005-0000-0000-00007A130000}"/>
    <cellStyle name="C￥_마곡보완" xfId="7266" xr:uid="{00000000-0005-0000-0000-00007B130000}"/>
    <cellStyle name="Ç¥_마곡보완" xfId="7267" xr:uid="{00000000-0005-0000-0000-00007C130000}"/>
    <cellStyle name="C￥aø" xfId="2013" xr:uid="{00000000-0005-0000-0000-00007D130000}"/>
    <cellStyle name="Ç¥ÁØ_´ëºñÇ¥ (2)_1_ºÎ´ëÅä°ø " xfId="5146" xr:uid="{00000000-0005-0000-0000-00007E130000}"/>
    <cellStyle name="C￥AØ_´eºnC￥ (2)_ºI´eAa°ø " xfId="5147" xr:uid="{00000000-0005-0000-0000-00007F130000}"/>
    <cellStyle name="Ç¥ÁØ_´ëºñÇ¥ (2)_ºÎ´ëÅä°ø " xfId="5148" xr:uid="{00000000-0005-0000-0000-000080130000}"/>
    <cellStyle name="C￥AØ_¿ø°¡ºÐ¼R" xfId="2014" xr:uid="{00000000-0005-0000-0000-000081130000}"/>
    <cellStyle name="Ç¥ÁØ_¿ù½ÇÀû¸¶°¨ " xfId="2015" xr:uid="{00000000-0005-0000-0000-000082130000}"/>
    <cellStyle name="C￥AØ_¿μ¾÷CoE² " xfId="2016" xr:uid="{00000000-0005-0000-0000-000083130000}"/>
    <cellStyle name="Ç¥ÁØ_»ç¾÷ºÎº° ÃÑ°è " xfId="2017" xr:uid="{00000000-0005-0000-0000-000084130000}"/>
    <cellStyle name="C￥AØ_≫c¾÷°eE¹ºn±³(AIAI³Y)" xfId="4257" xr:uid="{00000000-0005-0000-0000-000085130000}"/>
    <cellStyle name="Ç¥ÁØ_°­´ç (2)" xfId="2018" xr:uid="{00000000-0005-0000-0000-000086130000}"/>
    <cellStyle name="C￥AØ_°³AI OXIDE " xfId="2019" xr:uid="{00000000-0005-0000-0000-000087130000}"/>
    <cellStyle name="Ç¥ÁØ_°ø¹®5 " xfId="5149" xr:uid="{00000000-0005-0000-0000-000088130000}"/>
    <cellStyle name="C￥AØ_0123" xfId="4258" xr:uid="{00000000-0005-0000-0000-000089130000}"/>
    <cellStyle name="Ç¥ÁØ_0N-HANDLING " xfId="2020" xr:uid="{00000000-0005-0000-0000-00008A130000}"/>
    <cellStyle name="C￥AØ_¼oAI¼º " xfId="2021" xr:uid="{00000000-0005-0000-0000-00008B130000}"/>
    <cellStyle name="Ç¥ÁØ_¼ÕÀÍÂ÷ÀÌ ¿øÀÎ " xfId="2022" xr:uid="{00000000-0005-0000-0000-00008C130000}"/>
    <cellStyle name="C￥AØ_¾c½A " xfId="2023" xr:uid="{00000000-0005-0000-0000-00008D130000}"/>
    <cellStyle name="Ç¥ÁØ_¾ç½Ä " xfId="2024" xr:uid="{00000000-0005-0000-0000-00008E130000}"/>
    <cellStyle name="C￥AØ_¾c½A _내역서(2007 일산로 교통신호기설치공사)계약(최종)" xfId="2025" xr:uid="{00000000-0005-0000-0000-00008F130000}"/>
    <cellStyle name="Ç¥ÁØ_¹æÀ½º® " xfId="2026" xr:uid="{00000000-0005-0000-0000-000090130000}"/>
    <cellStyle name="C￥AØ_³e¹≪" xfId="2027" xr:uid="{00000000-0005-0000-0000-000091130000}"/>
    <cellStyle name="Ç¥ÁØ_5-1±¤°í " xfId="4259" xr:uid="{00000000-0005-0000-0000-000092130000}"/>
    <cellStyle name="C￥AØ_5-1±¤°i  2" xfId="5150" xr:uid="{00000000-0005-0000-0000-000093130000}"/>
    <cellStyle name="Ç¥ÁØ_5-1±¤°í  2" xfId="5151" xr:uid="{00000000-0005-0000-0000-000094130000}"/>
    <cellStyle name="C￥AØ_53AO " xfId="4260" xr:uid="{00000000-0005-0000-0000-000095130000}"/>
    <cellStyle name="Ç¥ÁØ_Á¦Àâºñ(96³â)" xfId="2028" xr:uid="{00000000-0005-0000-0000-000096130000}"/>
    <cellStyle name="C￥AØ_A¾CO½A¼³ _광케이블피스표" xfId="4261" xr:uid="{00000000-0005-0000-0000-000097130000}"/>
    <cellStyle name="Ç¥ÁØ_Á¾ÇÕ½Å¼³ _광케이블피스표" xfId="4262" xr:uid="{00000000-0005-0000-0000-000098130000}"/>
    <cellStyle name="C￥AØ_A¾CO½A¼³ _기지국집계" xfId="4263" xr:uid="{00000000-0005-0000-0000-000099130000}"/>
    <cellStyle name="Ç¥ÁØ_Á¾ÇÕ½Å¼³ _기지국집계" xfId="4264" xr:uid="{00000000-0005-0000-0000-00009A130000}"/>
    <cellStyle name="C￥AØ_A¾CO½A¼³ _설계(sample-파워콤-수원-용인국사)" xfId="4265" xr:uid="{00000000-0005-0000-0000-00009B130000}"/>
    <cellStyle name="Ç¥ÁØ_Á¾ÇÕ½Å¼³ _설계(sample-파워콤-수원-용인국사)" xfId="4266" xr:uid="{00000000-0005-0000-0000-00009C130000}"/>
    <cellStyle name="C￥AØ_A¾CO½A¼³ _설계(sample-파워콤-수원-용인국사)_ADM16광단국설계" xfId="4267" xr:uid="{00000000-0005-0000-0000-00009D130000}"/>
    <cellStyle name="Ç¥ÁØ_Á¾ÇÕ½Å¼³ _설계(sample-파워콤-수원-용인국사)_ADM16광단국설계" xfId="4268" xr:uid="{00000000-0005-0000-0000-00009E130000}"/>
    <cellStyle name="C￥AØ_A¾CO½A¼³ºÐ" xfId="4269" xr:uid="{00000000-0005-0000-0000-00009F130000}"/>
    <cellStyle name="Ç¥ÁØ_Á¾ÇÕÃ¶°ÅºÐ " xfId="4270" xr:uid="{00000000-0005-0000-0000-0000A0130000}"/>
    <cellStyle name="C￥AØ_A¾COA¶°AºÐ _광케이블피스표" xfId="4271" xr:uid="{00000000-0005-0000-0000-0000A1130000}"/>
    <cellStyle name="Ç¥ÁØ_Á¾ÇÕÃ¶°ÅºÐ _광케이블피스표" xfId="4272" xr:uid="{00000000-0005-0000-0000-0000A2130000}"/>
    <cellStyle name="C￥AØ_A¾COA¶°AºÐ _기지국집계" xfId="4273" xr:uid="{00000000-0005-0000-0000-0000A3130000}"/>
    <cellStyle name="Ç¥ÁØ_Á¾ÇÕÃ¶°ÅºÐ _기지국집계" xfId="4274" xr:uid="{00000000-0005-0000-0000-0000A4130000}"/>
    <cellStyle name="C￥AØ_A¾COA¶°AºÐ _설계(sample-파워콤-수원-용인국사)" xfId="4275" xr:uid="{00000000-0005-0000-0000-0000A5130000}"/>
    <cellStyle name="Ç¥ÁØ_Á¾ÇÕÃ¶°ÅºÐ _설계(sample-파워콤-수원-용인국사)" xfId="4276" xr:uid="{00000000-0005-0000-0000-0000A6130000}"/>
    <cellStyle name="C￥AØ_A¾COA¶°AºÐ _설계(sample-파워콤-수원-용인국사)_ADM16광단국설계" xfId="4277" xr:uid="{00000000-0005-0000-0000-0000A7130000}"/>
    <cellStyle name="Ç¥ÁØ_Á¾ÇÕÃ¶°ÅºÐ _설계(sample-파워콤-수원-용인국사)_ADM16광단국설계" xfId="4278" xr:uid="{00000000-0005-0000-0000-0000A8130000}"/>
    <cellStyle name="C￥AØ_Æ?±a≫cC×" xfId="4279" xr:uid="{00000000-0005-0000-0000-0000A9130000}"/>
    <cellStyle name="Ç¥ÁØ_Àü·Â¼ÕÀÍºÐ¼®" xfId="2029" xr:uid="{00000000-0005-0000-0000-0000AA130000}"/>
    <cellStyle name="C￥AØ_Au·A¼OAIºÐ¼R" xfId="2030" xr:uid="{00000000-0005-0000-0000-0000AB130000}"/>
    <cellStyle name="Ç¥ÁØ_Áý°èÇ¥ " xfId="2031" xr:uid="{00000000-0005-0000-0000-0000AC130000}"/>
    <cellStyle name="C￥AØ_C￥Ao " xfId="2032" xr:uid="{00000000-0005-0000-0000-0000AD130000}"/>
    <cellStyle name="Ç¥ÁØ_CD-ROM " xfId="2033" xr:uid="{00000000-0005-0000-0000-0000AE130000}"/>
    <cellStyle name="C￥AØ_CoAa°u¸Rºn(Ao¹æ) " xfId="5152" xr:uid="{00000000-0005-0000-0000-0000AF130000}"/>
    <cellStyle name="Ç¥ÁØ_FAX¾ç½Ä " xfId="5153" xr:uid="{00000000-0005-0000-0000-0000B0130000}"/>
    <cellStyle name="C￥AØ_laroux_1_A¾COA¶°AºÐ " xfId="4280" xr:uid="{00000000-0005-0000-0000-0000B1130000}"/>
    <cellStyle name="Ç¥ÁØ_laroux_1_Á¾ÇÕÃ¶°ÅºÐ " xfId="2034" xr:uid="{00000000-0005-0000-0000-0000B2130000}"/>
    <cellStyle name="C￥AØ_laroux_A¾CO½A¼³ " xfId="4281" xr:uid="{00000000-0005-0000-0000-0000B3130000}"/>
    <cellStyle name="Ç¥ÁØ_laroux_Á¾ÇÕ½Å¼³ " xfId="4282" xr:uid="{00000000-0005-0000-0000-0000B4130000}"/>
    <cellStyle name="C￥AØ_laroux_A¾COA¶°AºÐ " xfId="2035" xr:uid="{00000000-0005-0000-0000-0000B5130000}"/>
    <cellStyle name="Ç¥ÁØ_laroux_Á¾ÇÕÃ¶°ÅºÐ " xfId="2036" xr:uid="{00000000-0005-0000-0000-0000B6130000}"/>
    <cellStyle name="C￥AØ_º≫ºI¼OAI " xfId="2037" xr:uid="{00000000-0005-0000-0000-0000B7130000}"/>
    <cellStyle name="Ç¥ÁØ_PERSONAL" xfId="2038" xr:uid="{00000000-0005-0000-0000-0000B8130000}"/>
    <cellStyle name="C￥AØ_Sheet1_4PART " xfId="5154" xr:uid="{00000000-0005-0000-0000-0000B9130000}"/>
    <cellStyle name="Calc Currency (0)" xfId="2039" xr:uid="{00000000-0005-0000-0000-0000BA130000}"/>
    <cellStyle name="Calc Currency (2)" xfId="4283" xr:uid="{00000000-0005-0000-0000-0000BB130000}"/>
    <cellStyle name="Calc Percent (0)" xfId="4284" xr:uid="{00000000-0005-0000-0000-0000BC130000}"/>
    <cellStyle name="Calc Percent (1)" xfId="4285" xr:uid="{00000000-0005-0000-0000-0000BD130000}"/>
    <cellStyle name="Calc Percent (2)" xfId="4286" xr:uid="{00000000-0005-0000-0000-0000BE130000}"/>
    <cellStyle name="Calc Units (0)" xfId="4287" xr:uid="{00000000-0005-0000-0000-0000BF130000}"/>
    <cellStyle name="Calc Units (1)" xfId="4288" xr:uid="{00000000-0005-0000-0000-0000C0130000}"/>
    <cellStyle name="Calc Units (2)" xfId="4289" xr:uid="{00000000-0005-0000-0000-0000C1130000}"/>
    <cellStyle name="Calculation" xfId="4290" xr:uid="{00000000-0005-0000-0000-0000C2130000}"/>
    <cellStyle name="category" xfId="2040" xr:uid="{00000000-0005-0000-0000-0000C3130000}"/>
    <cellStyle name="Check Cell" xfId="4291" xr:uid="{00000000-0005-0000-0000-0000C4130000}"/>
    <cellStyle name="CIAIÆU¸μAⓒ" xfId="2041" xr:uid="{00000000-0005-0000-0000-0000C5130000}"/>
    <cellStyle name="Cmma_을지 (2)_갑지 (2)_집계표 (2)_집계표 (3)_견적서 (2)" xfId="2042" xr:uid="{00000000-0005-0000-0000-0000C6130000}"/>
    <cellStyle name="ⓒo" xfId="2043" xr:uid="{00000000-0005-0000-0000-0000C7130000}"/>
    <cellStyle name="Çõ»ê" xfId="7268" xr:uid="{00000000-0005-0000-0000-0000C8130000}"/>
    <cellStyle name="Co≫e" xfId="2044" xr:uid="{00000000-0005-0000-0000-0000C9130000}"/>
    <cellStyle name="CODE" xfId="7269" xr:uid="{00000000-0005-0000-0000-0000CA130000}"/>
    <cellStyle name="ⓒøfⓒoo [0]_RESULTS" xfId="7270" xr:uid="{00000000-0005-0000-0000-0000CB130000}"/>
    <cellStyle name="ⓒøfⓒoo_RESULTS" xfId="7271" xr:uid="{00000000-0005-0000-0000-0000CC130000}"/>
    <cellStyle name="Column Headings" xfId="4292" xr:uid="{00000000-0005-0000-0000-0000CD130000}"/>
    <cellStyle name="columns_array" xfId="4293" xr:uid="{00000000-0005-0000-0000-0000CE130000}"/>
    <cellStyle name="Comma" xfId="2045" xr:uid="{00000000-0005-0000-0000-0000CF130000}"/>
    <cellStyle name="Comma [0]" xfId="2046" xr:uid="{00000000-0005-0000-0000-0000D0130000}"/>
    <cellStyle name="Comma [00]" xfId="4294" xr:uid="{00000000-0005-0000-0000-0000D1130000}"/>
    <cellStyle name="Comma [0⢰_SATOCPX" xfId="4295" xr:uid="{00000000-0005-0000-0000-0000D2130000}"/>
    <cellStyle name="Comma 10" xfId="5155" xr:uid="{00000000-0005-0000-0000-0000D3130000}"/>
    <cellStyle name="Comma 11" xfId="5156" xr:uid="{00000000-0005-0000-0000-0000D4130000}"/>
    <cellStyle name="Comma 12" xfId="5157" xr:uid="{00000000-0005-0000-0000-0000D5130000}"/>
    <cellStyle name="Comma 2" xfId="5158" xr:uid="{00000000-0005-0000-0000-0000D6130000}"/>
    <cellStyle name="Comma 3" xfId="5159" xr:uid="{00000000-0005-0000-0000-0000D7130000}"/>
    <cellStyle name="Comma 4" xfId="5160" xr:uid="{00000000-0005-0000-0000-0000D8130000}"/>
    <cellStyle name="Comma 5" xfId="5161" xr:uid="{00000000-0005-0000-0000-0000D9130000}"/>
    <cellStyle name="Comma 6" xfId="5162" xr:uid="{00000000-0005-0000-0000-0000DA130000}"/>
    <cellStyle name="Comma 7" xfId="5163" xr:uid="{00000000-0005-0000-0000-0000DB130000}"/>
    <cellStyle name="Comma 8" xfId="5164" xr:uid="{00000000-0005-0000-0000-0000DC130000}"/>
    <cellStyle name="Comma 9" xfId="5165" xr:uid="{00000000-0005-0000-0000-0000DD130000}"/>
    <cellStyle name="comma zerodec" xfId="2047" xr:uid="{00000000-0005-0000-0000-0000DE130000}"/>
    <cellStyle name="comma zerodec 2" xfId="7272" xr:uid="{00000000-0005-0000-0000-0000DF130000}"/>
    <cellStyle name="Comma_ " xfId="2048" xr:uid="{00000000-0005-0000-0000-0000E0130000}"/>
    <cellStyle name="Comma0" xfId="2049" xr:uid="{00000000-0005-0000-0000-0000E1130000}"/>
    <cellStyle name="Comm뼬_E&amp;ONW2" xfId="4296" xr:uid="{00000000-0005-0000-0000-0000E2130000}"/>
    <cellStyle name="Copied" xfId="2050" xr:uid="{00000000-0005-0000-0000-0000E3130000}"/>
    <cellStyle name="Cur_x0002_6怑" xfId="4297" xr:uid="{00000000-0005-0000-0000-0000E4130000}"/>
    <cellStyle name="Curren?_x0012_퐀_x0017_?" xfId="2051" xr:uid="{00000000-0005-0000-0000-0000E5130000}"/>
    <cellStyle name="Currency" xfId="2052" xr:uid="{00000000-0005-0000-0000-0000E6130000}"/>
    <cellStyle name="Currency [_x0010_]_mud plant bolted" xfId="4298" xr:uid="{00000000-0005-0000-0000-0000E7130000}"/>
    <cellStyle name="Currency [0]" xfId="2053" xr:uid="{00000000-0005-0000-0000-0000E8130000}"/>
    <cellStyle name="Currency [0] 10" xfId="5166" xr:uid="{00000000-0005-0000-0000-0000E9130000}"/>
    <cellStyle name="Currency [0] 11" xfId="5167" xr:uid="{00000000-0005-0000-0000-0000EA130000}"/>
    <cellStyle name="Currency [0] 12" xfId="5168" xr:uid="{00000000-0005-0000-0000-0000EB130000}"/>
    <cellStyle name="Currency [0] 2" xfId="5169" xr:uid="{00000000-0005-0000-0000-0000EC130000}"/>
    <cellStyle name="Currency [0] 3" xfId="5170" xr:uid="{00000000-0005-0000-0000-0000ED130000}"/>
    <cellStyle name="Currency [0] 4" xfId="5171" xr:uid="{00000000-0005-0000-0000-0000EE130000}"/>
    <cellStyle name="Currency [0] 5" xfId="5172" xr:uid="{00000000-0005-0000-0000-0000EF130000}"/>
    <cellStyle name="Currency [0] 6" xfId="5173" xr:uid="{00000000-0005-0000-0000-0000F0130000}"/>
    <cellStyle name="Currency [0] 7" xfId="5174" xr:uid="{00000000-0005-0000-0000-0000F1130000}"/>
    <cellStyle name="Currency [0] 8" xfId="5175" xr:uid="{00000000-0005-0000-0000-0000F2130000}"/>
    <cellStyle name="Currency [0] 9" xfId="5176" xr:uid="{00000000-0005-0000-0000-0000F3130000}"/>
    <cellStyle name="Currency [0]_ SG&amp;A Bridge " xfId="5177" xr:uid="{00000000-0005-0000-0000-0000F4130000}"/>
    <cellStyle name="Currency [00]" xfId="4299" xr:uid="{00000000-0005-0000-0000-0000F5130000}"/>
    <cellStyle name="Currency 10" xfId="5178" xr:uid="{00000000-0005-0000-0000-0000F6130000}"/>
    <cellStyle name="Currency 11" xfId="5179" xr:uid="{00000000-0005-0000-0000-0000F7130000}"/>
    <cellStyle name="Currency 12" xfId="5180" xr:uid="{00000000-0005-0000-0000-0000F8130000}"/>
    <cellStyle name="Currency 2" xfId="5181" xr:uid="{00000000-0005-0000-0000-0000F9130000}"/>
    <cellStyle name="Currency 3" xfId="5182" xr:uid="{00000000-0005-0000-0000-0000FA130000}"/>
    <cellStyle name="Currency 4" xfId="5183" xr:uid="{00000000-0005-0000-0000-0000FB130000}"/>
    <cellStyle name="Currency 5" xfId="5184" xr:uid="{00000000-0005-0000-0000-0000FC130000}"/>
    <cellStyle name="Currency 6" xfId="5185" xr:uid="{00000000-0005-0000-0000-0000FD130000}"/>
    <cellStyle name="Currency 7" xfId="5186" xr:uid="{00000000-0005-0000-0000-0000FE130000}"/>
    <cellStyle name="Currency 8" xfId="5187" xr:uid="{00000000-0005-0000-0000-0000FF130000}"/>
    <cellStyle name="Currency 9" xfId="5188" xr:uid="{00000000-0005-0000-0000-000000140000}"/>
    <cellStyle name="currency-$" xfId="4300" xr:uid="{00000000-0005-0000-0000-000001140000}"/>
    <cellStyle name="currency-$ 2" xfId="7273" xr:uid="{00000000-0005-0000-0000-000002140000}"/>
    <cellStyle name="currency-$_표지 " xfId="5189" xr:uid="{00000000-0005-0000-0000-000003140000}"/>
    <cellStyle name="Currency_ " xfId="2054" xr:uid="{00000000-0005-0000-0000-000004140000}"/>
    <cellStyle name="Currency0" xfId="2055" xr:uid="{00000000-0005-0000-0000-000005140000}"/>
    <cellStyle name="Currency1" xfId="2056" xr:uid="{00000000-0005-0000-0000-000006140000}"/>
    <cellStyle name="Currency1 2" xfId="7274" xr:uid="{00000000-0005-0000-0000-000007140000}"/>
    <cellStyle name="Curr技ncy [0]_Q4 FY96_PLDT" xfId="7275" xr:uid="{00000000-0005-0000-0000-000008140000}"/>
    <cellStyle name="Data" xfId="4301" xr:uid="{00000000-0005-0000-0000-000009140000}"/>
    <cellStyle name="Date" xfId="2057" xr:uid="{00000000-0005-0000-0000-00000A140000}"/>
    <cellStyle name="Date Short" xfId="4302" xr:uid="{00000000-0005-0000-0000-00000B140000}"/>
    <cellStyle name="Date_2006112628400-4" xfId="4303" xr:uid="{00000000-0005-0000-0000-00000C140000}"/>
    <cellStyle name="Dezimal [0]_Ausdruck RUND (D)" xfId="2058" xr:uid="{00000000-0005-0000-0000-00000D140000}"/>
    <cellStyle name="Dezimal_Ausdruck RUND (D)" xfId="2059" xr:uid="{00000000-0005-0000-0000-00000E140000}"/>
    <cellStyle name="Dollar (zero dec)" xfId="2060" xr:uid="{00000000-0005-0000-0000-00000F140000}"/>
    <cellStyle name="Dollar (zero dec) 2" xfId="7276" xr:uid="{00000000-0005-0000-0000-000010140000}"/>
    <cellStyle name="EA" xfId="2061" xr:uid="{00000000-0005-0000-0000-000011140000}"/>
    <cellStyle name="E­æo±ae￡" xfId="2062" xr:uid="{00000000-0005-0000-0000-000012140000}"/>
    <cellStyle name="È­æó±âè£" xfId="7277" xr:uid="{00000000-0005-0000-0000-000013140000}"/>
    <cellStyle name="E­æo±ae￡0" xfId="2063" xr:uid="{00000000-0005-0000-0000-000014140000}"/>
    <cellStyle name="È­æó±âè£0" xfId="7278" xr:uid="{00000000-0005-0000-0000-000015140000}"/>
    <cellStyle name="Enter Currency (0)" xfId="4304" xr:uid="{00000000-0005-0000-0000-000016140000}"/>
    <cellStyle name="Enter Currency (2)" xfId="4305" xr:uid="{00000000-0005-0000-0000-000017140000}"/>
    <cellStyle name="Enter Units (0)" xfId="4306" xr:uid="{00000000-0005-0000-0000-000018140000}"/>
    <cellStyle name="Enter Units (1)" xfId="4307" xr:uid="{00000000-0005-0000-0000-000019140000}"/>
    <cellStyle name="Enter Units (2)" xfId="4308" xr:uid="{00000000-0005-0000-0000-00001A140000}"/>
    <cellStyle name="Entered" xfId="2064" xr:uid="{00000000-0005-0000-0000-00001B140000}"/>
    <cellStyle name="Euro" xfId="2065" xr:uid="{00000000-0005-0000-0000-00001C140000}"/>
    <cellStyle name="Explanatory Text" xfId="4309" xr:uid="{00000000-0005-0000-0000-00001D140000}"/>
    <cellStyle name="F2" xfId="2066" xr:uid="{00000000-0005-0000-0000-00001E140000}"/>
    <cellStyle name="F3" xfId="2067" xr:uid="{00000000-0005-0000-0000-00001F140000}"/>
    <cellStyle name="F4" xfId="2068" xr:uid="{00000000-0005-0000-0000-000020140000}"/>
    <cellStyle name="F5" xfId="2069" xr:uid="{00000000-0005-0000-0000-000021140000}"/>
    <cellStyle name="F6" xfId="2070" xr:uid="{00000000-0005-0000-0000-000022140000}"/>
    <cellStyle name="F7" xfId="2071" xr:uid="{00000000-0005-0000-0000-000023140000}"/>
    <cellStyle name="F8" xfId="2072" xr:uid="{00000000-0005-0000-0000-000024140000}"/>
    <cellStyle name="Fixed" xfId="2073" xr:uid="{00000000-0005-0000-0000-000025140000}"/>
    <cellStyle name="Followed Hyperlink" xfId="2074" xr:uid="{00000000-0005-0000-0000-000026140000}"/>
    <cellStyle name="Followed Hyperlink 10" xfId="5190" xr:uid="{00000000-0005-0000-0000-000027140000}"/>
    <cellStyle name="Followed Hyperlink 11" xfId="5191" xr:uid="{00000000-0005-0000-0000-000028140000}"/>
    <cellStyle name="Followed Hyperlink 12" xfId="5192" xr:uid="{00000000-0005-0000-0000-000029140000}"/>
    <cellStyle name="Followed Hyperlink 2" xfId="5193" xr:uid="{00000000-0005-0000-0000-00002A140000}"/>
    <cellStyle name="Followed Hyperlink 3" xfId="5194" xr:uid="{00000000-0005-0000-0000-00002B140000}"/>
    <cellStyle name="Followed Hyperlink 4" xfId="5195" xr:uid="{00000000-0005-0000-0000-00002C140000}"/>
    <cellStyle name="Followed Hyperlink 5" xfId="5196" xr:uid="{00000000-0005-0000-0000-00002D140000}"/>
    <cellStyle name="Followed Hyperlink 6" xfId="5197" xr:uid="{00000000-0005-0000-0000-00002E140000}"/>
    <cellStyle name="Followed Hyperlink 7" xfId="5198" xr:uid="{00000000-0005-0000-0000-00002F140000}"/>
    <cellStyle name="Followed Hyperlink 8" xfId="5199" xr:uid="{00000000-0005-0000-0000-000030140000}"/>
    <cellStyle name="Followed Hyperlink 9" xfId="5200" xr:uid="{00000000-0005-0000-0000-000031140000}"/>
    <cellStyle name="G" xfId="4310" xr:uid="{00000000-0005-0000-0000-000032140000}"/>
    <cellStyle name="G/표준" xfId="2075" xr:uid="{00000000-0005-0000-0000-000033140000}"/>
    <cellStyle name="Good" xfId="4311" xr:uid="{00000000-0005-0000-0000-000034140000}"/>
    <cellStyle name="Grey" xfId="2076" xr:uid="{00000000-0005-0000-0000-000035140000}"/>
    <cellStyle name="head" xfId="2077" xr:uid="{00000000-0005-0000-0000-000036140000}"/>
    <cellStyle name="head 1" xfId="2078" xr:uid="{00000000-0005-0000-0000-000037140000}"/>
    <cellStyle name="head 1-1" xfId="2079" xr:uid="{00000000-0005-0000-0000-000038140000}"/>
    <cellStyle name="HEADER" xfId="2080" xr:uid="{00000000-0005-0000-0000-000039140000}"/>
    <cellStyle name="Header1" xfId="2081" xr:uid="{00000000-0005-0000-0000-00003A140000}"/>
    <cellStyle name="Header2" xfId="2082" xr:uid="{00000000-0005-0000-0000-00003B140000}"/>
    <cellStyle name="Heading 1" xfId="2083" xr:uid="{00000000-0005-0000-0000-00003C140000}"/>
    <cellStyle name="Heading 2" xfId="2084" xr:uid="{00000000-0005-0000-0000-00003D140000}"/>
    <cellStyle name="Heading 3" xfId="4312" xr:uid="{00000000-0005-0000-0000-00003E140000}"/>
    <cellStyle name="Heading 4" xfId="4313" xr:uid="{00000000-0005-0000-0000-00003F140000}"/>
    <cellStyle name="Heading1" xfId="2085" xr:uid="{00000000-0005-0000-0000-000040140000}"/>
    <cellStyle name="Heading2" xfId="2086" xr:uid="{00000000-0005-0000-0000-000041140000}"/>
    <cellStyle name="Helv8_PFD4.XLS" xfId="2087" xr:uid="{00000000-0005-0000-0000-000042140000}"/>
    <cellStyle name="HIGHLIGHT" xfId="2088" xr:uid="{00000000-0005-0000-0000-000043140000}"/>
    <cellStyle name="Hyperlink" xfId="2089" xr:uid="{00000000-0005-0000-0000-000044140000}"/>
    <cellStyle name="Hyperlink 10" xfId="5201" xr:uid="{00000000-0005-0000-0000-000045140000}"/>
    <cellStyle name="Hyperlink 11" xfId="5202" xr:uid="{00000000-0005-0000-0000-000046140000}"/>
    <cellStyle name="Hyperlink 12" xfId="5203" xr:uid="{00000000-0005-0000-0000-000047140000}"/>
    <cellStyle name="Hyperlink 2" xfId="5204" xr:uid="{00000000-0005-0000-0000-000048140000}"/>
    <cellStyle name="Hyperlink 3" xfId="5205" xr:uid="{00000000-0005-0000-0000-000049140000}"/>
    <cellStyle name="Hyperlink 4" xfId="5206" xr:uid="{00000000-0005-0000-0000-00004A140000}"/>
    <cellStyle name="Hyperlink 5" xfId="5207" xr:uid="{00000000-0005-0000-0000-00004B140000}"/>
    <cellStyle name="Hyperlink 6" xfId="5208" xr:uid="{00000000-0005-0000-0000-00004C140000}"/>
    <cellStyle name="Hyperlink 7" xfId="5209" xr:uid="{00000000-0005-0000-0000-00004D140000}"/>
    <cellStyle name="Hyperlink 8" xfId="5210" xr:uid="{00000000-0005-0000-0000-00004E140000}"/>
    <cellStyle name="Hyperlink 9" xfId="5211" xr:uid="{00000000-0005-0000-0000-00004F140000}"/>
    <cellStyle name="Îáû÷íûé_PERSONAL" xfId="4314" xr:uid="{00000000-0005-0000-0000-000050140000}"/>
    <cellStyle name="_x0004_ÌÐ_x0004_" xfId="2090" xr:uid="{00000000-0005-0000-0000-000051140000}"/>
    <cellStyle name="Input" xfId="4315" xr:uid="{00000000-0005-0000-0000-000052140000}"/>
    <cellStyle name="Input [yellow]" xfId="2091" xr:uid="{00000000-0005-0000-0000-000053140000}"/>
    <cellStyle name="Input_1차기성(2012.01~2012.04)" xfId="5212" xr:uid="{00000000-0005-0000-0000-000054140000}"/>
    <cellStyle name="kg" xfId="2092" xr:uid="{00000000-0005-0000-0000-000055140000}"/>
    <cellStyle name="ℓ" xfId="2093" xr:uid="{00000000-0005-0000-0000-000056140000}"/>
    <cellStyle name="ℓ_2_완충녹지203 " xfId="5213" xr:uid="{00000000-0005-0000-0000-000057140000}"/>
    <cellStyle name="Link Currency (0)" xfId="4316" xr:uid="{00000000-0005-0000-0000-000058140000}"/>
    <cellStyle name="Link Currency (2)" xfId="4317" xr:uid="{00000000-0005-0000-0000-000059140000}"/>
    <cellStyle name="Link Units (0)" xfId="4318" xr:uid="{00000000-0005-0000-0000-00005A140000}"/>
    <cellStyle name="Link Units (1)" xfId="4319" xr:uid="{00000000-0005-0000-0000-00005B140000}"/>
    <cellStyle name="Link Units (2)" xfId="4320" xr:uid="{00000000-0005-0000-0000-00005C140000}"/>
    <cellStyle name="Linked Cell" xfId="4321" xr:uid="{00000000-0005-0000-0000-00005D140000}"/>
    <cellStyle name="LItemHead" xfId="4322" xr:uid="{00000000-0005-0000-0000-00005E140000}"/>
    <cellStyle name="LongDesc" xfId="7279" xr:uid="{00000000-0005-0000-0000-00005F140000}"/>
    <cellStyle name="M" xfId="2094" xr:uid="{00000000-0005-0000-0000-000060140000}"/>
    <cellStyle name="M_2_완충녹지203 " xfId="5214" xr:uid="{00000000-0005-0000-0000-000061140000}"/>
    <cellStyle name="M2" xfId="2095" xr:uid="{00000000-0005-0000-0000-000062140000}"/>
    <cellStyle name="M3" xfId="2096" xr:uid="{00000000-0005-0000-0000-000063140000}"/>
    <cellStyle name="Milliers [0]_Arabian Spec" xfId="2097" xr:uid="{00000000-0005-0000-0000-000064140000}"/>
    <cellStyle name="Milliers_Arabian Spec" xfId="2098" xr:uid="{00000000-0005-0000-0000-000065140000}"/>
    <cellStyle name="Model" xfId="2099" xr:uid="{00000000-0005-0000-0000-000066140000}"/>
    <cellStyle name="Mon?aire [0]_Arabian Spec" xfId="2100" xr:uid="{00000000-0005-0000-0000-000067140000}"/>
    <cellStyle name="Mon?aire_Arabian Spec" xfId="2101" xr:uid="{00000000-0005-0000-0000-000068140000}"/>
    <cellStyle name="MS Proofing Tools" xfId="4323" xr:uid="{00000000-0005-0000-0000-000069140000}"/>
    <cellStyle name="Neutral" xfId="4324" xr:uid="{00000000-0005-0000-0000-00006A140000}"/>
    <cellStyle name="no dec" xfId="2102" xr:uid="{00000000-0005-0000-0000-00006B140000}"/>
    <cellStyle name="nohs" xfId="7280" xr:uid="{00000000-0005-0000-0000-00006C140000}"/>
    <cellStyle name="Norial_mud plant bolted_KD2" xfId="4325" xr:uid="{00000000-0005-0000-0000-00006D140000}"/>
    <cellStyle name="normal" xfId="4326" xr:uid="{00000000-0005-0000-0000-00006E140000}"/>
    <cellStyle name="Normal - Style1" xfId="2104" xr:uid="{00000000-0005-0000-0000-00006F140000}"/>
    <cellStyle name="Normal - Style1 2" xfId="7281" xr:uid="{00000000-0005-0000-0000-000070140000}"/>
    <cellStyle name="Normal - Style2" xfId="2105" xr:uid="{00000000-0005-0000-0000-000071140000}"/>
    <cellStyle name="Normal - Style3" xfId="2106" xr:uid="{00000000-0005-0000-0000-000072140000}"/>
    <cellStyle name="Normal - Style4" xfId="2107" xr:uid="{00000000-0005-0000-0000-000073140000}"/>
    <cellStyle name="Normal - Style5" xfId="2108" xr:uid="{00000000-0005-0000-0000-000074140000}"/>
    <cellStyle name="Normal - Style6" xfId="2109" xr:uid="{00000000-0005-0000-0000-000075140000}"/>
    <cellStyle name="Normal - Style7" xfId="2110" xr:uid="{00000000-0005-0000-0000-000076140000}"/>
    <cellStyle name="Normal - Style8" xfId="2111" xr:uid="{00000000-0005-0000-0000-000077140000}"/>
    <cellStyle name="Normal - 유형1" xfId="2103" xr:uid="{00000000-0005-0000-0000-000078140000}"/>
    <cellStyle name="Normal_ " xfId="2112" xr:uid="{00000000-0005-0000-0000-000079140000}"/>
    <cellStyle name="Note" xfId="4327" xr:uid="{00000000-0005-0000-0000-00007A140000}"/>
    <cellStyle name="_x0004_NR_x0004_" xfId="2113" xr:uid="{00000000-0005-0000-0000-00007B140000}"/>
    <cellStyle name="o¶eEYAI°[0]_RESULTS" xfId="7282" xr:uid="{00000000-0005-0000-0000-00007C140000}"/>
    <cellStyle name="o¶eEYAI°_RESULTS" xfId="7283" xr:uid="{00000000-0005-0000-0000-00007D140000}"/>
    <cellStyle name="Œ…?æ맖?e [0.00]_laroux" xfId="2114" xr:uid="{00000000-0005-0000-0000-00007E140000}"/>
    <cellStyle name="Œ…?æ맖?e_laroux" xfId="2115" xr:uid="{00000000-0005-0000-0000-00007F140000}"/>
    <cellStyle name="Œ…‹æØ‚è [0.00]_laroux" xfId="4328" xr:uid="{00000000-0005-0000-0000-000080140000}"/>
    <cellStyle name="Œ…‹æØ‚è_laroux" xfId="4329" xr:uid="{00000000-0005-0000-0000-000081140000}"/>
    <cellStyle name="Ôèíàíñîâûé [0]_PERSONAL" xfId="4330" xr:uid="{00000000-0005-0000-0000-000082140000}"/>
    <cellStyle name="Ôèíàíñîâûé_PERSONAL" xfId="4331" xr:uid="{00000000-0005-0000-0000-000083140000}"/>
    <cellStyle name="oft Excel]_x000d__x000a_Comment=The open=/f lines load custom functions into the Paste Function list._x000d__x000a_Maximized=3_x000d__x000a_AutoFormat=" xfId="2116" xr:uid="{00000000-0005-0000-0000-000084140000}"/>
    <cellStyle name="oh" xfId="2117" xr:uid="{00000000-0005-0000-0000-000085140000}"/>
    <cellStyle name="Output" xfId="4332" xr:uid="{00000000-0005-0000-0000-000086140000}"/>
    <cellStyle name="Percent" xfId="2118" xr:uid="{00000000-0005-0000-0000-000087140000}"/>
    <cellStyle name="Percent [0]" xfId="4333" xr:uid="{00000000-0005-0000-0000-000088140000}"/>
    <cellStyle name="Percent [00]" xfId="4334" xr:uid="{00000000-0005-0000-0000-000089140000}"/>
    <cellStyle name="Percent [2]" xfId="2119" xr:uid="{00000000-0005-0000-0000-00008A140000}"/>
    <cellStyle name="Percent 10" xfId="5215" xr:uid="{00000000-0005-0000-0000-00008B140000}"/>
    <cellStyle name="Percent 11" xfId="5216" xr:uid="{00000000-0005-0000-0000-00008C140000}"/>
    <cellStyle name="Percent 12" xfId="5217" xr:uid="{00000000-0005-0000-0000-00008D140000}"/>
    <cellStyle name="Percent 2" xfId="5218" xr:uid="{00000000-0005-0000-0000-00008E140000}"/>
    <cellStyle name="Percent 3" xfId="5219" xr:uid="{00000000-0005-0000-0000-00008F140000}"/>
    <cellStyle name="Percent 4" xfId="5220" xr:uid="{00000000-0005-0000-0000-000090140000}"/>
    <cellStyle name="Percent 5" xfId="5221" xr:uid="{00000000-0005-0000-0000-000091140000}"/>
    <cellStyle name="Percent 6" xfId="5222" xr:uid="{00000000-0005-0000-0000-000092140000}"/>
    <cellStyle name="Percent 7" xfId="5223" xr:uid="{00000000-0005-0000-0000-000093140000}"/>
    <cellStyle name="Percent 8" xfId="5224" xr:uid="{00000000-0005-0000-0000-000094140000}"/>
    <cellStyle name="Percent 9" xfId="5225" xr:uid="{00000000-0005-0000-0000-000095140000}"/>
    <cellStyle name="Percent_01-오수수량" xfId="5226" xr:uid="{00000000-0005-0000-0000-000096140000}"/>
    <cellStyle name="PrePop Currency (0)" xfId="4335" xr:uid="{00000000-0005-0000-0000-000097140000}"/>
    <cellStyle name="PrePop Currency (2)" xfId="4336" xr:uid="{00000000-0005-0000-0000-000098140000}"/>
    <cellStyle name="PrePop Units (0)" xfId="4337" xr:uid="{00000000-0005-0000-0000-000099140000}"/>
    <cellStyle name="PrePop Units (1)" xfId="4338" xr:uid="{00000000-0005-0000-0000-00009A140000}"/>
    <cellStyle name="PrePop Units (2)" xfId="4339" xr:uid="{00000000-0005-0000-0000-00009B140000}"/>
    <cellStyle name="PRICE2" xfId="2120" xr:uid="{00000000-0005-0000-0000-00009C140000}"/>
    <cellStyle name="PropGenCurrencyFormat" xfId="4340" xr:uid="{00000000-0005-0000-0000-00009D140000}"/>
    <cellStyle name="Released" xfId="7284" xr:uid="{00000000-0005-0000-0000-00009E140000}"/>
    <cellStyle name="Revenue" xfId="4341" xr:uid="{00000000-0005-0000-0000-00009F140000}"/>
    <cellStyle name="RevList" xfId="2121" xr:uid="{00000000-0005-0000-0000-0000A0140000}"/>
    <cellStyle name="S " xfId="5227" xr:uid="{00000000-0005-0000-0000-0000A1140000}"/>
    <cellStyle name="s]_x000d__x000a_run=c:\Hedgehog\app31.exe_x000d__x000a_spooler=yes_x000d__x000a_load=_x000d__x000a_run=_x000d__x000a_Beep=yes_x000d__x000a_NullPort=None_x000d__x000a_BorderWidth=3_x000d__x000a_CursorBlinkRate=530_x000d__x000a_D" xfId="2122" xr:uid="{00000000-0005-0000-0000-0000A2140000}"/>
    <cellStyle name="setup" xfId="2123" xr:uid="{00000000-0005-0000-0000-0000A3140000}"/>
    <cellStyle name="Shadow" xfId="7285" xr:uid="{00000000-0005-0000-0000-0000A4140000}"/>
    <cellStyle name="SHIM" xfId="2124" xr:uid="{00000000-0005-0000-0000-0000A5140000}"/>
    <cellStyle name="ßE?_RESULTS" xfId="7286" xr:uid="{00000000-0005-0000-0000-0000A6140000}"/>
    <cellStyle name="STANDARD" xfId="2125" xr:uid="{00000000-0005-0000-0000-0000A7140000}"/>
    <cellStyle name="STD" xfId="2126" xr:uid="{00000000-0005-0000-0000-0000A8140000}"/>
    <cellStyle name="Sub" xfId="2127" xr:uid="{00000000-0005-0000-0000-0000A9140000}"/>
    <cellStyle name="subhead" xfId="2128" xr:uid="{00000000-0005-0000-0000-0000AA140000}"/>
    <cellStyle name="Subtotal" xfId="2129" xr:uid="{00000000-0005-0000-0000-0000AB140000}"/>
    <cellStyle name="Text Indent A" xfId="4342" xr:uid="{00000000-0005-0000-0000-0000AC140000}"/>
    <cellStyle name="Text Indent B" xfId="4343" xr:uid="{00000000-0005-0000-0000-0000AD140000}"/>
    <cellStyle name="Text Indent C" xfId="4344" xr:uid="{00000000-0005-0000-0000-0000AE140000}"/>
    <cellStyle name="þ?b?þ?b?þ?b?þ?b?þ?b?þ?b?þ?b灌þ?b?þ?&lt;?b?þ?b濬þ?b?þ?b?þ昰_x0018_?þ????_x0008_" xfId="2130" xr:uid="{00000000-0005-0000-0000-0000AF140000}"/>
    <cellStyle name="þ൚b⍼þ൪b⎨þൺb⏜þඊb␌þකb濰þඪb瀠þයb灌þ්b炈þ宐&lt;෢b濈þෲb濬þขb瀐þฒb瀰þ昰_x0018_⋸þ㤕䰀ጤܕ_x0008_" xfId="2131" xr:uid="{00000000-0005-0000-0000-0000B0140000}"/>
    <cellStyle name="TITLE" xfId="2132" xr:uid="{00000000-0005-0000-0000-0000B1140000}"/>
    <cellStyle name="title [1]" xfId="2133" xr:uid="{00000000-0005-0000-0000-0000B2140000}"/>
    <cellStyle name="title [2]" xfId="2134" xr:uid="{00000000-0005-0000-0000-0000B3140000}"/>
    <cellStyle name="Title_22093743760001-2" xfId="7287" xr:uid="{00000000-0005-0000-0000-0000B4140000}"/>
    <cellStyle name="Title2" xfId="2135" xr:uid="{00000000-0005-0000-0000-0000B5140000}"/>
    <cellStyle name="TON" xfId="2136" xr:uid="{00000000-0005-0000-0000-0000B6140000}"/>
    <cellStyle name="Total" xfId="2137" xr:uid="{00000000-0005-0000-0000-0000B7140000}"/>
    <cellStyle name="UM" xfId="2138" xr:uid="{00000000-0005-0000-0000-0000B8140000}"/>
    <cellStyle name="Unprot" xfId="2139" xr:uid="{00000000-0005-0000-0000-0000B9140000}"/>
    <cellStyle name="Unprot$" xfId="2140" xr:uid="{00000000-0005-0000-0000-0000BA140000}"/>
    <cellStyle name="Unprotect" xfId="2141" xr:uid="{00000000-0005-0000-0000-0000BB140000}"/>
    <cellStyle name="W?rung [0]_Ausdruck RUND (D)" xfId="2142" xr:uid="{00000000-0005-0000-0000-0000BC140000}"/>
    <cellStyle name="W?rung_Ausdruck RUND (D)" xfId="2143" xr:uid="{00000000-0005-0000-0000-0000BD140000}"/>
    <cellStyle name="Warning Text" xfId="4345" xr:uid="{00000000-0005-0000-0000-0000BE140000}"/>
    <cellStyle name="Ͱ" xfId="4346" xr:uid="{00000000-0005-0000-0000-0000BF140000}"/>
    <cellStyle name="μU¿¡ ¿A´A CIAIÆU¸μAⓒ" xfId="2144" xr:uid="{00000000-0005-0000-0000-0000C0140000}"/>
    <cellStyle name="ハイパーリンク" xfId="2145" xr:uid="{00000000-0005-0000-0000-0000C1140000}"/>
    <cellStyle name="ଃਁȋ⤂Ā飰ˠ" xfId="4347" xr:uid="{00000000-0005-0000-0000-0000C2140000}"/>
    <cellStyle name=" [0.00]_sm001(kashiwa) " xfId="1870" xr:uid="{00000000-0005-0000-0000-0000C3140000}"/>
    <cellStyle name="_sm001(kashiwa) " xfId="1871" xr:uid="{00000000-0005-0000-0000-0000C4140000}"/>
    <cellStyle name="?_sm001(kashiwa) " xfId="1872" xr:uid="{00000000-0005-0000-0000-0000C5140000}"/>
    <cellStyle name="가." xfId="1577" xr:uid="{00000000-0005-0000-0000-0000C6140000}"/>
    <cellStyle name="가운데" xfId="1578" xr:uid="{00000000-0005-0000-0000-0000C7140000}"/>
    <cellStyle name="강조색1" xfId="1579" builtinId="29" customBuiltin="1"/>
    <cellStyle name="강조색1 10" xfId="5228" xr:uid="{00000000-0005-0000-0000-0000C9140000}"/>
    <cellStyle name="강조색1 11" xfId="5229" xr:uid="{00000000-0005-0000-0000-0000CA140000}"/>
    <cellStyle name="강조색1 12" xfId="5230" xr:uid="{00000000-0005-0000-0000-0000CB140000}"/>
    <cellStyle name="강조색1 2" xfId="4348" xr:uid="{00000000-0005-0000-0000-0000CC140000}"/>
    <cellStyle name="강조색1 2 2" xfId="4349" xr:uid="{00000000-0005-0000-0000-0000CD140000}"/>
    <cellStyle name="강조색1 2 3" xfId="4350" xr:uid="{00000000-0005-0000-0000-0000CE140000}"/>
    <cellStyle name="강조색1 3" xfId="4351" xr:uid="{00000000-0005-0000-0000-0000CF140000}"/>
    <cellStyle name="강조색1 4" xfId="4352" xr:uid="{00000000-0005-0000-0000-0000D0140000}"/>
    <cellStyle name="강조색1 5" xfId="4353" xr:uid="{00000000-0005-0000-0000-0000D1140000}"/>
    <cellStyle name="강조색1 6" xfId="5231" xr:uid="{00000000-0005-0000-0000-0000D2140000}"/>
    <cellStyle name="강조색1 7" xfId="5232" xr:uid="{00000000-0005-0000-0000-0000D3140000}"/>
    <cellStyle name="강조색1 8" xfId="5233" xr:uid="{00000000-0005-0000-0000-0000D4140000}"/>
    <cellStyle name="강조색1 9" xfId="5234" xr:uid="{00000000-0005-0000-0000-0000D5140000}"/>
    <cellStyle name="강조색2" xfId="1580" builtinId="33" customBuiltin="1"/>
    <cellStyle name="강조색2 10" xfId="5235" xr:uid="{00000000-0005-0000-0000-0000D7140000}"/>
    <cellStyle name="강조색2 11" xfId="5236" xr:uid="{00000000-0005-0000-0000-0000D8140000}"/>
    <cellStyle name="강조색2 12" xfId="5237" xr:uid="{00000000-0005-0000-0000-0000D9140000}"/>
    <cellStyle name="강조색2 2" xfId="4354" xr:uid="{00000000-0005-0000-0000-0000DA140000}"/>
    <cellStyle name="강조색2 2 2" xfId="4355" xr:uid="{00000000-0005-0000-0000-0000DB140000}"/>
    <cellStyle name="강조색2 2 3" xfId="4356" xr:uid="{00000000-0005-0000-0000-0000DC140000}"/>
    <cellStyle name="강조색2 3" xfId="4357" xr:uid="{00000000-0005-0000-0000-0000DD140000}"/>
    <cellStyle name="강조색2 4" xfId="4358" xr:uid="{00000000-0005-0000-0000-0000DE140000}"/>
    <cellStyle name="강조색2 5" xfId="4359" xr:uid="{00000000-0005-0000-0000-0000DF140000}"/>
    <cellStyle name="강조색2 6" xfId="5238" xr:uid="{00000000-0005-0000-0000-0000E0140000}"/>
    <cellStyle name="강조색2 7" xfId="5239" xr:uid="{00000000-0005-0000-0000-0000E1140000}"/>
    <cellStyle name="강조색2 8" xfId="5240" xr:uid="{00000000-0005-0000-0000-0000E2140000}"/>
    <cellStyle name="강조색2 9" xfId="5241" xr:uid="{00000000-0005-0000-0000-0000E3140000}"/>
    <cellStyle name="강조색3" xfId="1581" builtinId="37" customBuiltin="1"/>
    <cellStyle name="강조색3 10" xfId="5242" xr:uid="{00000000-0005-0000-0000-0000E5140000}"/>
    <cellStyle name="강조색3 11" xfId="5243" xr:uid="{00000000-0005-0000-0000-0000E6140000}"/>
    <cellStyle name="강조색3 12" xfId="5244" xr:uid="{00000000-0005-0000-0000-0000E7140000}"/>
    <cellStyle name="강조색3 2" xfId="4360" xr:uid="{00000000-0005-0000-0000-0000E8140000}"/>
    <cellStyle name="강조색3 2 2" xfId="4361" xr:uid="{00000000-0005-0000-0000-0000E9140000}"/>
    <cellStyle name="강조색3 2 3" xfId="4362" xr:uid="{00000000-0005-0000-0000-0000EA140000}"/>
    <cellStyle name="강조색3 3" xfId="4363" xr:uid="{00000000-0005-0000-0000-0000EB140000}"/>
    <cellStyle name="강조색3 4" xfId="4364" xr:uid="{00000000-0005-0000-0000-0000EC140000}"/>
    <cellStyle name="강조색3 5" xfId="4365" xr:uid="{00000000-0005-0000-0000-0000ED140000}"/>
    <cellStyle name="강조색3 6" xfId="5245" xr:uid="{00000000-0005-0000-0000-0000EE140000}"/>
    <cellStyle name="강조색3 7" xfId="5246" xr:uid="{00000000-0005-0000-0000-0000EF140000}"/>
    <cellStyle name="강조색3 8" xfId="5247" xr:uid="{00000000-0005-0000-0000-0000F0140000}"/>
    <cellStyle name="강조색3 9" xfId="5248" xr:uid="{00000000-0005-0000-0000-0000F1140000}"/>
    <cellStyle name="강조색4" xfId="1582" builtinId="41" customBuiltin="1"/>
    <cellStyle name="강조색4 10" xfId="5249" xr:uid="{00000000-0005-0000-0000-0000F3140000}"/>
    <cellStyle name="강조색4 11" xfId="5250" xr:uid="{00000000-0005-0000-0000-0000F4140000}"/>
    <cellStyle name="강조색4 12" xfId="5251" xr:uid="{00000000-0005-0000-0000-0000F5140000}"/>
    <cellStyle name="강조색4 2" xfId="4366" xr:uid="{00000000-0005-0000-0000-0000F6140000}"/>
    <cellStyle name="강조색4 2 2" xfId="4367" xr:uid="{00000000-0005-0000-0000-0000F7140000}"/>
    <cellStyle name="강조색4 2 3" xfId="4368" xr:uid="{00000000-0005-0000-0000-0000F8140000}"/>
    <cellStyle name="강조색4 3" xfId="4369" xr:uid="{00000000-0005-0000-0000-0000F9140000}"/>
    <cellStyle name="강조색4 4" xfId="4370" xr:uid="{00000000-0005-0000-0000-0000FA140000}"/>
    <cellStyle name="강조색4 5" xfId="4371" xr:uid="{00000000-0005-0000-0000-0000FB140000}"/>
    <cellStyle name="강조색4 6" xfId="5252" xr:uid="{00000000-0005-0000-0000-0000FC140000}"/>
    <cellStyle name="강조색4 7" xfId="5253" xr:uid="{00000000-0005-0000-0000-0000FD140000}"/>
    <cellStyle name="강조색4 8" xfId="5254" xr:uid="{00000000-0005-0000-0000-0000FE140000}"/>
    <cellStyle name="강조색4 9" xfId="5255" xr:uid="{00000000-0005-0000-0000-0000FF140000}"/>
    <cellStyle name="강조색5" xfId="1583" builtinId="45" customBuiltin="1"/>
    <cellStyle name="강조색5 10" xfId="5256" xr:uid="{00000000-0005-0000-0000-000001150000}"/>
    <cellStyle name="강조색5 11" xfId="5257" xr:uid="{00000000-0005-0000-0000-000002150000}"/>
    <cellStyle name="강조색5 12" xfId="5258" xr:uid="{00000000-0005-0000-0000-000003150000}"/>
    <cellStyle name="강조색5 2" xfId="4372" xr:uid="{00000000-0005-0000-0000-000004150000}"/>
    <cellStyle name="강조색5 2 2" xfId="4373" xr:uid="{00000000-0005-0000-0000-000005150000}"/>
    <cellStyle name="강조색5 2 3" xfId="4374" xr:uid="{00000000-0005-0000-0000-000006150000}"/>
    <cellStyle name="강조색5 3" xfId="4375" xr:uid="{00000000-0005-0000-0000-000007150000}"/>
    <cellStyle name="강조색5 4" xfId="4376" xr:uid="{00000000-0005-0000-0000-000008150000}"/>
    <cellStyle name="강조색5 5" xfId="4377" xr:uid="{00000000-0005-0000-0000-000009150000}"/>
    <cellStyle name="강조색5 6" xfId="5259" xr:uid="{00000000-0005-0000-0000-00000A150000}"/>
    <cellStyle name="강조색5 7" xfId="5260" xr:uid="{00000000-0005-0000-0000-00000B150000}"/>
    <cellStyle name="강조색5 8" xfId="5261" xr:uid="{00000000-0005-0000-0000-00000C150000}"/>
    <cellStyle name="강조색5 9" xfId="5262" xr:uid="{00000000-0005-0000-0000-00000D150000}"/>
    <cellStyle name="강조색6" xfId="1584" builtinId="49" customBuiltin="1"/>
    <cellStyle name="강조색6 10" xfId="5263" xr:uid="{00000000-0005-0000-0000-00000F150000}"/>
    <cellStyle name="강조색6 11" xfId="5264" xr:uid="{00000000-0005-0000-0000-000010150000}"/>
    <cellStyle name="강조색6 12" xfId="5265" xr:uid="{00000000-0005-0000-0000-000011150000}"/>
    <cellStyle name="강조색6 2" xfId="4378" xr:uid="{00000000-0005-0000-0000-000012150000}"/>
    <cellStyle name="강조색6 2 2" xfId="4379" xr:uid="{00000000-0005-0000-0000-000013150000}"/>
    <cellStyle name="강조색6 2 3" xfId="4380" xr:uid="{00000000-0005-0000-0000-000014150000}"/>
    <cellStyle name="강조색6 3" xfId="4381" xr:uid="{00000000-0005-0000-0000-000015150000}"/>
    <cellStyle name="강조색6 4" xfId="4382" xr:uid="{00000000-0005-0000-0000-000016150000}"/>
    <cellStyle name="강조색6 5" xfId="4383" xr:uid="{00000000-0005-0000-0000-000017150000}"/>
    <cellStyle name="강조색6 6" xfId="5266" xr:uid="{00000000-0005-0000-0000-000018150000}"/>
    <cellStyle name="강조색6 7" xfId="5267" xr:uid="{00000000-0005-0000-0000-000019150000}"/>
    <cellStyle name="강조색6 8" xfId="5268" xr:uid="{00000000-0005-0000-0000-00001A150000}"/>
    <cellStyle name="강조색6 9" xfId="5269" xr:uid="{00000000-0005-0000-0000-00001B150000}"/>
    <cellStyle name="개" xfId="1585" xr:uid="{00000000-0005-0000-0000-00001C150000}"/>
    <cellStyle name="개_02-포장-1" xfId="1586" xr:uid="{00000000-0005-0000-0000-00001D150000}"/>
    <cellStyle name="개_02-포장-1_2_완충녹지203 " xfId="5270" xr:uid="{00000000-0005-0000-0000-00001E150000}"/>
    <cellStyle name="개_2_완충녹지203 " xfId="5271" xr:uid="{00000000-0005-0000-0000-00001F150000}"/>
    <cellStyle name="개소" xfId="1587" xr:uid="{00000000-0005-0000-0000-000020150000}"/>
    <cellStyle name="경고문" xfId="1588" builtinId="11" customBuiltin="1"/>
    <cellStyle name="경고문 10" xfId="5272" xr:uid="{00000000-0005-0000-0000-000022150000}"/>
    <cellStyle name="경고문 11" xfId="5273" xr:uid="{00000000-0005-0000-0000-000023150000}"/>
    <cellStyle name="경고문 12" xfId="5274" xr:uid="{00000000-0005-0000-0000-000024150000}"/>
    <cellStyle name="경고문 2" xfId="4384" xr:uid="{00000000-0005-0000-0000-000025150000}"/>
    <cellStyle name="경고문 2 2" xfId="4385" xr:uid="{00000000-0005-0000-0000-000026150000}"/>
    <cellStyle name="경고문 2 3" xfId="4386" xr:uid="{00000000-0005-0000-0000-000027150000}"/>
    <cellStyle name="경고문 3" xfId="4387" xr:uid="{00000000-0005-0000-0000-000028150000}"/>
    <cellStyle name="경고문 4" xfId="4388" xr:uid="{00000000-0005-0000-0000-000029150000}"/>
    <cellStyle name="경고문 5" xfId="4389" xr:uid="{00000000-0005-0000-0000-00002A150000}"/>
    <cellStyle name="경고문 6" xfId="5275" xr:uid="{00000000-0005-0000-0000-00002B150000}"/>
    <cellStyle name="경고문 7" xfId="5276" xr:uid="{00000000-0005-0000-0000-00002C150000}"/>
    <cellStyle name="경고문 8" xfId="5277" xr:uid="{00000000-0005-0000-0000-00002D150000}"/>
    <cellStyle name="경고문 9" xfId="5278" xr:uid="{00000000-0005-0000-0000-00002E150000}"/>
    <cellStyle name="계" xfId="4390" xr:uid="{00000000-0005-0000-0000-00002F150000}"/>
    <cellStyle name="계_99상일위대가" xfId="4391" xr:uid="{00000000-0005-0000-0000-000030150000}"/>
    <cellStyle name="계_설계예산98.하" xfId="4392" xr:uid="{00000000-0005-0000-0000-000031150000}"/>
    <cellStyle name="계_일위대가증" xfId="4393" xr:uid="{00000000-0005-0000-0000-000032150000}"/>
    <cellStyle name="계산" xfId="1589" builtinId="22" customBuiltin="1"/>
    <cellStyle name="계산 10" xfId="5279" xr:uid="{00000000-0005-0000-0000-000034150000}"/>
    <cellStyle name="계산 11" xfId="5280" xr:uid="{00000000-0005-0000-0000-000035150000}"/>
    <cellStyle name="계산 12" xfId="5281" xr:uid="{00000000-0005-0000-0000-000036150000}"/>
    <cellStyle name="계산 2" xfId="4394" xr:uid="{00000000-0005-0000-0000-000037150000}"/>
    <cellStyle name="계산 2 2" xfId="4395" xr:uid="{00000000-0005-0000-0000-000038150000}"/>
    <cellStyle name="계산 2 3" xfId="4396" xr:uid="{00000000-0005-0000-0000-000039150000}"/>
    <cellStyle name="계산 3" xfId="4397" xr:uid="{00000000-0005-0000-0000-00003A150000}"/>
    <cellStyle name="계산 4" xfId="4398" xr:uid="{00000000-0005-0000-0000-00003B150000}"/>
    <cellStyle name="계산 5" xfId="4399" xr:uid="{00000000-0005-0000-0000-00003C150000}"/>
    <cellStyle name="계산 6" xfId="5282" xr:uid="{00000000-0005-0000-0000-00003D150000}"/>
    <cellStyle name="계산 7" xfId="5283" xr:uid="{00000000-0005-0000-0000-00003E150000}"/>
    <cellStyle name="계산 8" xfId="5284" xr:uid="{00000000-0005-0000-0000-00003F150000}"/>
    <cellStyle name="계산 9" xfId="5285" xr:uid="{00000000-0005-0000-0000-000040150000}"/>
    <cellStyle name="고정소숫점" xfId="1590" xr:uid="{00000000-0005-0000-0000-000041150000}"/>
    <cellStyle name="고정소숫점 2" xfId="7288" xr:uid="{00000000-0005-0000-0000-000042150000}"/>
    <cellStyle name="고정출력1" xfId="1591" xr:uid="{00000000-0005-0000-0000-000043150000}"/>
    <cellStyle name="고정출력1 2" xfId="7289" xr:uid="{00000000-0005-0000-0000-000044150000}"/>
    <cellStyle name="고정출력2" xfId="1592" xr:uid="{00000000-0005-0000-0000-000045150000}"/>
    <cellStyle name="고정출력2 2" xfId="7290" xr:uid="{00000000-0005-0000-0000-000046150000}"/>
    <cellStyle name="공백" xfId="7291" xr:uid="{00000000-0005-0000-0000-000047150000}"/>
    <cellStyle name="공백1" xfId="7292" xr:uid="{00000000-0005-0000-0000-000048150000}"/>
    <cellStyle name="공백1수" xfId="7293" xr:uid="{00000000-0005-0000-0000-000049150000}"/>
    <cellStyle name="공사원가계산서(조경)" xfId="1593" xr:uid="{00000000-0005-0000-0000-00004A150000}"/>
    <cellStyle name="공정제목" xfId="1594" xr:uid="{00000000-0005-0000-0000-00004B150000}"/>
    <cellStyle name="咬訌裝?INCOM1" xfId="1595" xr:uid="{00000000-0005-0000-0000-00004C150000}"/>
    <cellStyle name="咬訌裝?INCOM10" xfId="1596" xr:uid="{00000000-0005-0000-0000-00004D150000}"/>
    <cellStyle name="咬訌裝?INCOM2" xfId="1597" xr:uid="{00000000-0005-0000-0000-00004E150000}"/>
    <cellStyle name="咬訌裝?INCOM3" xfId="1598" xr:uid="{00000000-0005-0000-0000-00004F150000}"/>
    <cellStyle name="咬訌裝?INCOM4" xfId="1599" xr:uid="{00000000-0005-0000-0000-000050150000}"/>
    <cellStyle name="咬訌裝?INCOM5" xfId="1600" xr:uid="{00000000-0005-0000-0000-000051150000}"/>
    <cellStyle name="咬訌裝?INCOM6" xfId="1601" xr:uid="{00000000-0005-0000-0000-000052150000}"/>
    <cellStyle name="咬訌裝?INCOM7" xfId="1602" xr:uid="{00000000-0005-0000-0000-000053150000}"/>
    <cellStyle name="咬訌裝?INCOM8" xfId="1603" xr:uid="{00000000-0005-0000-0000-000054150000}"/>
    <cellStyle name="咬訌裝?INCOM9" xfId="1604" xr:uid="{00000000-0005-0000-0000-000055150000}"/>
    <cellStyle name="咬訌裝?PRIB11" xfId="1605" xr:uid="{00000000-0005-0000-0000-000056150000}"/>
    <cellStyle name="咬訌裝?report-2 " xfId="7294" xr:uid="{00000000-0005-0000-0000-000057150000}"/>
    <cellStyle name="글꼴" xfId="4400" xr:uid="{00000000-0005-0000-0000-000058150000}"/>
    <cellStyle name="금액" xfId="1606" xr:uid="{00000000-0005-0000-0000-000059150000}"/>
    <cellStyle name="기본내역서" xfId="7295" xr:uid="{00000000-0005-0000-0000-00005A150000}"/>
    <cellStyle name="김해전기" xfId="1607" xr:uid="{00000000-0005-0000-0000-00005B150000}"/>
    <cellStyle name="나쁨" xfId="1608" builtinId="27" customBuiltin="1"/>
    <cellStyle name="나쁨 10" xfId="5286" xr:uid="{00000000-0005-0000-0000-00005D150000}"/>
    <cellStyle name="나쁨 11" xfId="5287" xr:uid="{00000000-0005-0000-0000-00005E150000}"/>
    <cellStyle name="나쁨 12" xfId="5288" xr:uid="{00000000-0005-0000-0000-00005F150000}"/>
    <cellStyle name="나쁨 2" xfId="4401" xr:uid="{00000000-0005-0000-0000-000060150000}"/>
    <cellStyle name="나쁨 2 2" xfId="4402" xr:uid="{00000000-0005-0000-0000-000061150000}"/>
    <cellStyle name="나쁨 2 3" xfId="4403" xr:uid="{00000000-0005-0000-0000-000062150000}"/>
    <cellStyle name="나쁨 3" xfId="4404" xr:uid="{00000000-0005-0000-0000-000063150000}"/>
    <cellStyle name="나쁨 4" xfId="4405" xr:uid="{00000000-0005-0000-0000-000064150000}"/>
    <cellStyle name="나쁨 5" xfId="4406" xr:uid="{00000000-0005-0000-0000-000065150000}"/>
    <cellStyle name="나쁨 6" xfId="5289" xr:uid="{00000000-0005-0000-0000-000066150000}"/>
    <cellStyle name="나쁨 7" xfId="5290" xr:uid="{00000000-0005-0000-0000-000067150000}"/>
    <cellStyle name="나쁨 8" xfId="5291" xr:uid="{00000000-0005-0000-0000-000068150000}"/>
    <cellStyle name="나쁨 9" xfId="5292" xr:uid="{00000000-0005-0000-0000-000069150000}"/>
    <cellStyle name="날짜" xfId="1609" xr:uid="{00000000-0005-0000-0000-00006A150000}"/>
    <cellStyle name="날짜 2" xfId="7296" xr:uid="{00000000-0005-0000-0000-00006B150000}"/>
    <cellStyle name="내역" xfId="4407" xr:uid="{00000000-0005-0000-0000-00006C150000}"/>
    <cellStyle name="내역서" xfId="1610" xr:uid="{00000000-0005-0000-0000-00006D150000}"/>
    <cellStyle name="단위" xfId="4408" xr:uid="{00000000-0005-0000-0000-00006E150000}"/>
    <cellStyle name="단위(원)" xfId="1611" xr:uid="{00000000-0005-0000-0000-00006F150000}"/>
    <cellStyle name="단위_일위대가_현장장비(AVI)" xfId="7297" xr:uid="{00000000-0005-0000-0000-000070150000}"/>
    <cellStyle name="달러" xfId="1612" xr:uid="{00000000-0005-0000-0000-000071150000}"/>
    <cellStyle name="달러 2" xfId="7298" xr:uid="{00000000-0005-0000-0000-000072150000}"/>
    <cellStyle name="대" xfId="4409" xr:uid="{00000000-0005-0000-0000-000073150000}"/>
    <cellStyle name="대기" xfId="1613" xr:uid="{00000000-0005-0000-0000-000074150000}"/>
    <cellStyle name="뒤에 오는 하이퍼링크" xfId="1614" xr:uid="{00000000-0005-0000-0000-000075150000}"/>
    <cellStyle name="똿떓죶Ø괻 [0.00]_PRODUCT DETAIL Q1" xfId="4410" xr:uid="{00000000-0005-0000-0000-000076150000}"/>
    <cellStyle name="똿떓죶Ø괻_PRODUCT DETAIL Q1" xfId="4411" xr:uid="{00000000-0005-0000-0000-000077150000}"/>
    <cellStyle name="똿뗦먛귟 [0.00]_laroux" xfId="1615" xr:uid="{00000000-0005-0000-0000-000078150000}"/>
    <cellStyle name="똿뗦먛귟_laroux" xfId="1616" xr:uid="{00000000-0005-0000-0000-000079150000}"/>
    <cellStyle name="마이너스키" xfId="7299" xr:uid="{00000000-0005-0000-0000-00007A150000}"/>
    <cellStyle name="매" xfId="1617" xr:uid="{00000000-0005-0000-0000-00007B150000}"/>
    <cellStyle name="매_02-포장-1" xfId="1618" xr:uid="{00000000-0005-0000-0000-00007C150000}"/>
    <cellStyle name="매_02-포장-1_2_완충녹지203 " xfId="5293" xr:uid="{00000000-0005-0000-0000-00007D150000}"/>
    <cellStyle name="매_2_완충녹지203 " xfId="5294" xr:uid="{00000000-0005-0000-0000-00007E150000}"/>
    <cellStyle name="메모" xfId="1619" builtinId="10" customBuiltin="1"/>
    <cellStyle name="메모 10" xfId="5295" xr:uid="{00000000-0005-0000-0000-000080150000}"/>
    <cellStyle name="메모 11" xfId="5296" xr:uid="{00000000-0005-0000-0000-000081150000}"/>
    <cellStyle name="메모 12" xfId="5297" xr:uid="{00000000-0005-0000-0000-000082150000}"/>
    <cellStyle name="메모 2" xfId="4412" xr:uid="{00000000-0005-0000-0000-000083150000}"/>
    <cellStyle name="메모 2 2" xfId="4413" xr:uid="{00000000-0005-0000-0000-000084150000}"/>
    <cellStyle name="메모 2 3" xfId="4414" xr:uid="{00000000-0005-0000-0000-000085150000}"/>
    <cellStyle name="메모 3" xfId="4415" xr:uid="{00000000-0005-0000-0000-000086150000}"/>
    <cellStyle name="메모 4" xfId="4416" xr:uid="{00000000-0005-0000-0000-000087150000}"/>
    <cellStyle name="메모 5" xfId="4417" xr:uid="{00000000-0005-0000-0000-000088150000}"/>
    <cellStyle name="메모 6" xfId="5298" xr:uid="{00000000-0005-0000-0000-000089150000}"/>
    <cellStyle name="메모 7" xfId="5299" xr:uid="{00000000-0005-0000-0000-00008A150000}"/>
    <cellStyle name="메모 8" xfId="5300" xr:uid="{00000000-0005-0000-0000-00008B150000}"/>
    <cellStyle name="메모 9" xfId="5301" xr:uid="{00000000-0005-0000-0000-00008C150000}"/>
    <cellStyle name="묮뎋 [0.00]_PRODUCT DETAIL Q1" xfId="4418" xr:uid="{00000000-0005-0000-0000-00008D150000}"/>
    <cellStyle name="묮뎋_PRODUCT DETAIL Q1" xfId="4419" xr:uid="{00000000-0005-0000-0000-00008E150000}"/>
    <cellStyle name="믅됞 [0.00]_laroux" xfId="1620" xr:uid="{00000000-0005-0000-0000-00008F150000}"/>
    <cellStyle name="믅됞_laroux" xfId="1621" xr:uid="{00000000-0005-0000-0000-000090150000}"/>
    <cellStyle name="배분" xfId="1622" xr:uid="{00000000-0005-0000-0000-000091150000}"/>
    <cellStyle name="백" xfId="1623" xr:uid="{00000000-0005-0000-0000-000092150000}"/>
    <cellStyle name="백 " xfId="5302" xr:uid="{00000000-0005-0000-0000-000093150000}"/>
    <cellStyle name="백_산출내역서(문발IC)(1)" xfId="1624" xr:uid="{00000000-0005-0000-0000-000094150000}"/>
    <cellStyle name="백_화곡 ~ 주천간 가로등설치공사" xfId="1625" xr:uid="{00000000-0005-0000-0000-000095150000}"/>
    <cellStyle name="백분율 [△1]" xfId="1626" xr:uid="{00000000-0005-0000-0000-000096150000}"/>
    <cellStyle name="백분율 [△2]" xfId="1627" xr:uid="{00000000-0005-0000-0000-000097150000}"/>
    <cellStyle name="백분율 [0]" xfId="1628" xr:uid="{00000000-0005-0000-0000-000098150000}"/>
    <cellStyle name="백분율 [2]" xfId="1629" xr:uid="{00000000-0005-0000-0000-000099150000}"/>
    <cellStyle name="백분율 2" xfId="1630" xr:uid="{00000000-0005-0000-0000-00009A150000}"/>
    <cellStyle name="백분율 2 2" xfId="4420" xr:uid="{00000000-0005-0000-0000-00009B150000}"/>
    <cellStyle name="백분율 2 3" xfId="4421" xr:uid="{00000000-0005-0000-0000-00009C150000}"/>
    <cellStyle name="백분율 2 4" xfId="4422" xr:uid="{00000000-0005-0000-0000-00009D150000}"/>
    <cellStyle name="백분율 2 5" xfId="4423" xr:uid="{00000000-0005-0000-0000-00009E150000}"/>
    <cellStyle name="백분율 2 6" xfId="4424" xr:uid="{00000000-0005-0000-0000-00009F150000}"/>
    <cellStyle name="백분율 4" xfId="5303" xr:uid="{00000000-0005-0000-0000-0000A0150000}"/>
    <cellStyle name="백분율［△1］" xfId="1631" xr:uid="{00000000-0005-0000-0000-0000A1150000}"/>
    <cellStyle name="백분율［△2］" xfId="1632" xr:uid="{00000000-0005-0000-0000-0000A2150000}"/>
    <cellStyle name="보고서 제목" xfId="1633" xr:uid="{00000000-0005-0000-0000-0000A3150000}"/>
    <cellStyle name="보통" xfId="1634" builtinId="28" customBuiltin="1"/>
    <cellStyle name="보통 10" xfId="5304" xr:uid="{00000000-0005-0000-0000-0000A5150000}"/>
    <cellStyle name="보통 11" xfId="5305" xr:uid="{00000000-0005-0000-0000-0000A6150000}"/>
    <cellStyle name="보통 12" xfId="5306" xr:uid="{00000000-0005-0000-0000-0000A7150000}"/>
    <cellStyle name="보통 2" xfId="4425" xr:uid="{00000000-0005-0000-0000-0000A8150000}"/>
    <cellStyle name="보통 2 2" xfId="4426" xr:uid="{00000000-0005-0000-0000-0000A9150000}"/>
    <cellStyle name="보통 2 3" xfId="4427" xr:uid="{00000000-0005-0000-0000-0000AA150000}"/>
    <cellStyle name="보통 3" xfId="4428" xr:uid="{00000000-0005-0000-0000-0000AB150000}"/>
    <cellStyle name="보통 4" xfId="4429" xr:uid="{00000000-0005-0000-0000-0000AC150000}"/>
    <cellStyle name="보통 5" xfId="4430" xr:uid="{00000000-0005-0000-0000-0000AD150000}"/>
    <cellStyle name="보통 6" xfId="5307" xr:uid="{00000000-0005-0000-0000-0000AE150000}"/>
    <cellStyle name="보통 7" xfId="5308" xr:uid="{00000000-0005-0000-0000-0000AF150000}"/>
    <cellStyle name="보통 8" xfId="5309" xr:uid="{00000000-0005-0000-0000-0000B0150000}"/>
    <cellStyle name="보통 9" xfId="5310" xr:uid="{00000000-0005-0000-0000-0000B1150000}"/>
    <cellStyle name="분수" xfId="1635" xr:uid="{00000000-0005-0000-0000-0000B2150000}"/>
    <cellStyle name="뷭?" xfId="1636" xr:uid="{00000000-0005-0000-0000-0000B3150000}"/>
    <cellStyle name="븿뗦먛귟_PRODUCT DETAIL Q1" xfId="4431" xr:uid="{00000000-0005-0000-0000-0000B4150000}"/>
    <cellStyle name="常?_RESULTS" xfId="7300" xr:uid="{00000000-0005-0000-0000-0000B5150000}"/>
    <cellStyle name="선택영역의 가운데로" xfId="1637" xr:uid="{00000000-0005-0000-0000-0000B6150000}"/>
    <cellStyle name="설계변경" xfId="5311" xr:uid="{00000000-0005-0000-0000-0000B7150000}"/>
    <cellStyle name="설계서" xfId="1638" xr:uid="{00000000-0005-0000-0000-0000B8150000}"/>
    <cellStyle name="설계서-내용" xfId="1639" xr:uid="{00000000-0005-0000-0000-0000B9150000}"/>
    <cellStyle name="설계서-내용-소수점" xfId="1640" xr:uid="{00000000-0005-0000-0000-0000BA150000}"/>
    <cellStyle name="설계서-내용-우" xfId="1641" xr:uid="{00000000-0005-0000-0000-0000BB150000}"/>
    <cellStyle name="설계서-내용-좌" xfId="1642" xr:uid="{00000000-0005-0000-0000-0000BC150000}"/>
    <cellStyle name="설계서-소제목" xfId="1643" xr:uid="{00000000-0005-0000-0000-0000BD150000}"/>
    <cellStyle name="설계서-타이틀" xfId="1644" xr:uid="{00000000-0005-0000-0000-0000BE150000}"/>
    <cellStyle name="설계서-항목" xfId="1645" xr:uid="{00000000-0005-0000-0000-0000BF150000}"/>
    <cellStyle name="설명 텍스트" xfId="1646" builtinId="53" customBuiltin="1"/>
    <cellStyle name="설명 텍스트 10" xfId="5312" xr:uid="{00000000-0005-0000-0000-0000C1150000}"/>
    <cellStyle name="설명 텍스트 11" xfId="5313" xr:uid="{00000000-0005-0000-0000-0000C2150000}"/>
    <cellStyle name="설명 텍스트 12" xfId="5314" xr:uid="{00000000-0005-0000-0000-0000C3150000}"/>
    <cellStyle name="설명 텍스트 2" xfId="4432" xr:uid="{00000000-0005-0000-0000-0000C4150000}"/>
    <cellStyle name="설명 텍스트 2 2" xfId="4433" xr:uid="{00000000-0005-0000-0000-0000C5150000}"/>
    <cellStyle name="설명 텍스트 2 3" xfId="4434" xr:uid="{00000000-0005-0000-0000-0000C6150000}"/>
    <cellStyle name="설명 텍스트 3" xfId="4435" xr:uid="{00000000-0005-0000-0000-0000C7150000}"/>
    <cellStyle name="설명 텍스트 4" xfId="4436" xr:uid="{00000000-0005-0000-0000-0000C8150000}"/>
    <cellStyle name="설명 텍스트 5" xfId="4437" xr:uid="{00000000-0005-0000-0000-0000C9150000}"/>
    <cellStyle name="설명 텍스트 6" xfId="5315" xr:uid="{00000000-0005-0000-0000-0000CA150000}"/>
    <cellStyle name="설명 텍스트 7" xfId="5316" xr:uid="{00000000-0005-0000-0000-0000CB150000}"/>
    <cellStyle name="설명 텍스트 8" xfId="5317" xr:uid="{00000000-0005-0000-0000-0000CC150000}"/>
    <cellStyle name="설명 텍스트 9" xfId="5318" xr:uid="{00000000-0005-0000-0000-0000CD150000}"/>
    <cellStyle name="셀 확인" xfId="1647" builtinId="23" customBuiltin="1"/>
    <cellStyle name="셀 확인 10" xfId="5319" xr:uid="{00000000-0005-0000-0000-0000CF150000}"/>
    <cellStyle name="셀 확인 11" xfId="5320" xr:uid="{00000000-0005-0000-0000-0000D0150000}"/>
    <cellStyle name="셀 확인 12" xfId="5321" xr:uid="{00000000-0005-0000-0000-0000D1150000}"/>
    <cellStyle name="셀 확인 2" xfId="4438" xr:uid="{00000000-0005-0000-0000-0000D2150000}"/>
    <cellStyle name="셀 확인 2 2" xfId="4439" xr:uid="{00000000-0005-0000-0000-0000D3150000}"/>
    <cellStyle name="셀 확인 2 3" xfId="4440" xr:uid="{00000000-0005-0000-0000-0000D4150000}"/>
    <cellStyle name="셀 확인 3" xfId="4441" xr:uid="{00000000-0005-0000-0000-0000D5150000}"/>
    <cellStyle name="셀 확인 4" xfId="4442" xr:uid="{00000000-0005-0000-0000-0000D6150000}"/>
    <cellStyle name="셀 확인 5" xfId="4443" xr:uid="{00000000-0005-0000-0000-0000D7150000}"/>
    <cellStyle name="셀 확인 6" xfId="5322" xr:uid="{00000000-0005-0000-0000-0000D8150000}"/>
    <cellStyle name="셀 확인 7" xfId="5323" xr:uid="{00000000-0005-0000-0000-0000D9150000}"/>
    <cellStyle name="셀 확인 8" xfId="5324" xr:uid="{00000000-0005-0000-0000-0000DA150000}"/>
    <cellStyle name="셀 확인 9" xfId="5325" xr:uid="{00000000-0005-0000-0000-0000DB150000}"/>
    <cellStyle name="소숫점" xfId="7301" xr:uid="{00000000-0005-0000-0000-0000DC150000}"/>
    <cellStyle name="수당" xfId="1648" xr:uid="{00000000-0005-0000-0000-0000DD150000}"/>
    <cellStyle name="수당2" xfId="1649" xr:uid="{00000000-0005-0000-0000-0000DE150000}"/>
    <cellStyle name="수량" xfId="1650" xr:uid="{00000000-0005-0000-0000-0000DF150000}"/>
    <cellStyle name="수산" xfId="1651" xr:uid="{00000000-0005-0000-0000-0000E0150000}"/>
    <cellStyle name="숫자" xfId="4444" xr:uid="{00000000-0005-0000-0000-0000E1150000}"/>
    <cellStyle name="숫자(R)" xfId="1652" xr:uid="{00000000-0005-0000-0000-0000E2150000}"/>
    <cellStyle name="숫자(R) 2" xfId="7302" xr:uid="{00000000-0005-0000-0000-0000E3150000}"/>
    <cellStyle name="숫자_강교제작및가설계획" xfId="4445" xr:uid="{00000000-0005-0000-0000-0000E4150000}"/>
    <cellStyle name="쉼표 [0]" xfId="1653" builtinId="6"/>
    <cellStyle name="쉼표 [0] 10" xfId="4446" xr:uid="{00000000-0005-0000-0000-0000E6150000}"/>
    <cellStyle name="쉼표 [0] 100" xfId="5326" xr:uid="{00000000-0005-0000-0000-0000E7150000}"/>
    <cellStyle name="쉼표 [0] 101" xfId="5327" xr:uid="{00000000-0005-0000-0000-0000E8150000}"/>
    <cellStyle name="쉼표 [0] 102" xfId="5328" xr:uid="{00000000-0005-0000-0000-0000E9150000}"/>
    <cellStyle name="쉼표 [0] 103" xfId="5329" xr:uid="{00000000-0005-0000-0000-0000EA150000}"/>
    <cellStyle name="쉼표 [0] 104" xfId="5330" xr:uid="{00000000-0005-0000-0000-0000EB150000}"/>
    <cellStyle name="쉼표 [0] 105" xfId="5331" xr:uid="{00000000-0005-0000-0000-0000EC150000}"/>
    <cellStyle name="쉼표 [0] 106" xfId="5332" xr:uid="{00000000-0005-0000-0000-0000ED150000}"/>
    <cellStyle name="쉼표 [0] 107" xfId="5333" xr:uid="{00000000-0005-0000-0000-0000EE150000}"/>
    <cellStyle name="쉼표 [0] 108" xfId="5334" xr:uid="{00000000-0005-0000-0000-0000EF150000}"/>
    <cellStyle name="쉼표 [0] 109" xfId="5335" xr:uid="{00000000-0005-0000-0000-0000F0150000}"/>
    <cellStyle name="쉼표 [0] 111" xfId="5336" xr:uid="{00000000-0005-0000-0000-0000F1150000}"/>
    <cellStyle name="쉼표 [0] 112" xfId="5337" xr:uid="{00000000-0005-0000-0000-0000F2150000}"/>
    <cellStyle name="쉼표 [0] 113" xfId="5338" xr:uid="{00000000-0005-0000-0000-0000F3150000}"/>
    <cellStyle name="쉼표 [0] 114" xfId="5339" xr:uid="{00000000-0005-0000-0000-0000F4150000}"/>
    <cellStyle name="쉼표 [0] 115" xfId="5340" xr:uid="{00000000-0005-0000-0000-0000F5150000}"/>
    <cellStyle name="쉼표 [0] 116" xfId="5341" xr:uid="{00000000-0005-0000-0000-0000F6150000}"/>
    <cellStyle name="쉼표 [0] 117" xfId="5342" xr:uid="{00000000-0005-0000-0000-0000F7150000}"/>
    <cellStyle name="쉼표 [0] 118" xfId="5343" xr:uid="{00000000-0005-0000-0000-0000F8150000}"/>
    <cellStyle name="쉼표 [0] 119" xfId="5344" xr:uid="{00000000-0005-0000-0000-0000F9150000}"/>
    <cellStyle name="쉼표 [0] 12" xfId="4447" xr:uid="{00000000-0005-0000-0000-0000FA150000}"/>
    <cellStyle name="쉼표 [0] 120" xfId="5345" xr:uid="{00000000-0005-0000-0000-0000FB150000}"/>
    <cellStyle name="쉼표 [0] 122" xfId="5346" xr:uid="{00000000-0005-0000-0000-0000FC150000}"/>
    <cellStyle name="쉼표 [0] 123" xfId="5347" xr:uid="{00000000-0005-0000-0000-0000FD150000}"/>
    <cellStyle name="쉼표 [0] 124" xfId="5348" xr:uid="{00000000-0005-0000-0000-0000FE150000}"/>
    <cellStyle name="쉼표 [0] 125" xfId="5349" xr:uid="{00000000-0005-0000-0000-0000FF150000}"/>
    <cellStyle name="쉼표 [0] 126" xfId="5350" xr:uid="{00000000-0005-0000-0000-000000160000}"/>
    <cellStyle name="쉼표 [0] 127" xfId="5351" xr:uid="{00000000-0005-0000-0000-000001160000}"/>
    <cellStyle name="쉼표 [0] 128" xfId="5352" xr:uid="{00000000-0005-0000-0000-000002160000}"/>
    <cellStyle name="쉼표 [0] 129" xfId="5353" xr:uid="{00000000-0005-0000-0000-000003160000}"/>
    <cellStyle name="쉼표 [0] 130" xfId="5354" xr:uid="{00000000-0005-0000-0000-000004160000}"/>
    <cellStyle name="쉼표 [0] 131" xfId="5355" xr:uid="{00000000-0005-0000-0000-000005160000}"/>
    <cellStyle name="쉼표 [0] 132" xfId="5356" xr:uid="{00000000-0005-0000-0000-000006160000}"/>
    <cellStyle name="쉼표 [0] 133" xfId="5357" xr:uid="{00000000-0005-0000-0000-000007160000}"/>
    <cellStyle name="쉼표 [0] 134" xfId="5358" xr:uid="{00000000-0005-0000-0000-000008160000}"/>
    <cellStyle name="쉼표 [0] 135" xfId="5359" xr:uid="{00000000-0005-0000-0000-000009160000}"/>
    <cellStyle name="쉼표 [0] 136" xfId="5360" xr:uid="{00000000-0005-0000-0000-00000A160000}"/>
    <cellStyle name="쉼표 [0] 137" xfId="5361" xr:uid="{00000000-0005-0000-0000-00000B160000}"/>
    <cellStyle name="쉼표 [0] 138" xfId="5362" xr:uid="{00000000-0005-0000-0000-00000C160000}"/>
    <cellStyle name="쉼표 [0] 139" xfId="5363" xr:uid="{00000000-0005-0000-0000-00000D160000}"/>
    <cellStyle name="쉼표 [0] 140" xfId="5364" xr:uid="{00000000-0005-0000-0000-00000E160000}"/>
    <cellStyle name="쉼표 [0] 141" xfId="5365" xr:uid="{00000000-0005-0000-0000-00000F160000}"/>
    <cellStyle name="쉼표 [0] 142" xfId="5366" xr:uid="{00000000-0005-0000-0000-000010160000}"/>
    <cellStyle name="쉼표 [0] 143" xfId="5367" xr:uid="{00000000-0005-0000-0000-000011160000}"/>
    <cellStyle name="쉼표 [0] 144" xfId="5368" xr:uid="{00000000-0005-0000-0000-000012160000}"/>
    <cellStyle name="쉼표 [0] 145" xfId="5369" xr:uid="{00000000-0005-0000-0000-000013160000}"/>
    <cellStyle name="쉼표 [0] 146" xfId="5370" xr:uid="{00000000-0005-0000-0000-000014160000}"/>
    <cellStyle name="쉼표 [0] 147" xfId="5371" xr:uid="{00000000-0005-0000-0000-000015160000}"/>
    <cellStyle name="쉼표 [0] 148" xfId="5372" xr:uid="{00000000-0005-0000-0000-000016160000}"/>
    <cellStyle name="쉼표 [0] 160 10" xfId="5373" xr:uid="{00000000-0005-0000-0000-000017160000}"/>
    <cellStyle name="쉼표 [0] 160 11" xfId="5374" xr:uid="{00000000-0005-0000-0000-000018160000}"/>
    <cellStyle name="쉼표 [0] 160 12" xfId="5375" xr:uid="{00000000-0005-0000-0000-000019160000}"/>
    <cellStyle name="쉼표 [0] 160 13" xfId="5376" xr:uid="{00000000-0005-0000-0000-00001A160000}"/>
    <cellStyle name="쉼표 [0] 160 14" xfId="5377" xr:uid="{00000000-0005-0000-0000-00001B160000}"/>
    <cellStyle name="쉼표 [0] 160 15" xfId="5378" xr:uid="{00000000-0005-0000-0000-00001C160000}"/>
    <cellStyle name="쉼표 [0] 160 16" xfId="5379" xr:uid="{00000000-0005-0000-0000-00001D160000}"/>
    <cellStyle name="쉼표 [0] 160 17" xfId="5380" xr:uid="{00000000-0005-0000-0000-00001E160000}"/>
    <cellStyle name="쉼표 [0] 160 18" xfId="5381" xr:uid="{00000000-0005-0000-0000-00001F160000}"/>
    <cellStyle name="쉼표 [0] 160 19" xfId="5382" xr:uid="{00000000-0005-0000-0000-000020160000}"/>
    <cellStyle name="쉼표 [0] 160 2" xfId="5383" xr:uid="{00000000-0005-0000-0000-000021160000}"/>
    <cellStyle name="쉼표 [0] 160 20" xfId="5384" xr:uid="{00000000-0005-0000-0000-000022160000}"/>
    <cellStyle name="쉼표 [0] 160 21" xfId="5385" xr:uid="{00000000-0005-0000-0000-000023160000}"/>
    <cellStyle name="쉼표 [0] 160 22" xfId="5386" xr:uid="{00000000-0005-0000-0000-000024160000}"/>
    <cellStyle name="쉼표 [0] 160 23" xfId="5387" xr:uid="{00000000-0005-0000-0000-000025160000}"/>
    <cellStyle name="쉼표 [0] 160 24" xfId="5388" xr:uid="{00000000-0005-0000-0000-000026160000}"/>
    <cellStyle name="쉼표 [0] 160 25" xfId="5389" xr:uid="{00000000-0005-0000-0000-000027160000}"/>
    <cellStyle name="쉼표 [0] 160 26" xfId="5390" xr:uid="{00000000-0005-0000-0000-000028160000}"/>
    <cellStyle name="쉼표 [0] 160 27" xfId="5391" xr:uid="{00000000-0005-0000-0000-000029160000}"/>
    <cellStyle name="쉼표 [0] 160 28" xfId="5392" xr:uid="{00000000-0005-0000-0000-00002A160000}"/>
    <cellStyle name="쉼표 [0] 160 29" xfId="5393" xr:uid="{00000000-0005-0000-0000-00002B160000}"/>
    <cellStyle name="쉼표 [0] 160 3" xfId="5394" xr:uid="{00000000-0005-0000-0000-00002C160000}"/>
    <cellStyle name="쉼표 [0] 160 30" xfId="5395" xr:uid="{00000000-0005-0000-0000-00002D160000}"/>
    <cellStyle name="쉼표 [0] 160 31" xfId="5396" xr:uid="{00000000-0005-0000-0000-00002E160000}"/>
    <cellStyle name="쉼표 [0] 160 32" xfId="5397" xr:uid="{00000000-0005-0000-0000-00002F160000}"/>
    <cellStyle name="쉼표 [0] 160 33" xfId="5398" xr:uid="{00000000-0005-0000-0000-000030160000}"/>
    <cellStyle name="쉼표 [0] 160 34" xfId="5399" xr:uid="{00000000-0005-0000-0000-000031160000}"/>
    <cellStyle name="쉼표 [0] 160 35" xfId="5400" xr:uid="{00000000-0005-0000-0000-000032160000}"/>
    <cellStyle name="쉼표 [0] 160 36" xfId="5401" xr:uid="{00000000-0005-0000-0000-000033160000}"/>
    <cellStyle name="쉼표 [0] 160 37" xfId="5402" xr:uid="{00000000-0005-0000-0000-000034160000}"/>
    <cellStyle name="쉼표 [0] 160 4" xfId="5403" xr:uid="{00000000-0005-0000-0000-000035160000}"/>
    <cellStyle name="쉼표 [0] 160 5" xfId="5404" xr:uid="{00000000-0005-0000-0000-000036160000}"/>
    <cellStyle name="쉼표 [0] 160 6" xfId="5405" xr:uid="{00000000-0005-0000-0000-000037160000}"/>
    <cellStyle name="쉼표 [0] 160 7" xfId="5406" xr:uid="{00000000-0005-0000-0000-000038160000}"/>
    <cellStyle name="쉼표 [0] 160 8" xfId="5407" xr:uid="{00000000-0005-0000-0000-000039160000}"/>
    <cellStyle name="쉼표 [0] 160 9" xfId="5408" xr:uid="{00000000-0005-0000-0000-00003A160000}"/>
    <cellStyle name="쉼표 [0] 161" xfId="5409" xr:uid="{00000000-0005-0000-0000-00003B160000}"/>
    <cellStyle name="쉼표 [0] 161 10" xfId="5410" xr:uid="{00000000-0005-0000-0000-00003C160000}"/>
    <cellStyle name="쉼표 [0] 161 11" xfId="5411" xr:uid="{00000000-0005-0000-0000-00003D160000}"/>
    <cellStyle name="쉼표 [0] 161 12" xfId="5412" xr:uid="{00000000-0005-0000-0000-00003E160000}"/>
    <cellStyle name="쉼표 [0] 161 13" xfId="5413" xr:uid="{00000000-0005-0000-0000-00003F160000}"/>
    <cellStyle name="쉼표 [0] 161 14" xfId="5414" xr:uid="{00000000-0005-0000-0000-000040160000}"/>
    <cellStyle name="쉼표 [0] 161 15" xfId="5415" xr:uid="{00000000-0005-0000-0000-000041160000}"/>
    <cellStyle name="쉼표 [0] 161 16" xfId="5416" xr:uid="{00000000-0005-0000-0000-000042160000}"/>
    <cellStyle name="쉼표 [0] 161 17" xfId="5417" xr:uid="{00000000-0005-0000-0000-000043160000}"/>
    <cellStyle name="쉼표 [0] 161 18" xfId="5418" xr:uid="{00000000-0005-0000-0000-000044160000}"/>
    <cellStyle name="쉼표 [0] 161 19" xfId="5419" xr:uid="{00000000-0005-0000-0000-000045160000}"/>
    <cellStyle name="쉼표 [0] 161 2" xfId="5420" xr:uid="{00000000-0005-0000-0000-000046160000}"/>
    <cellStyle name="쉼표 [0] 161 20" xfId="5421" xr:uid="{00000000-0005-0000-0000-000047160000}"/>
    <cellStyle name="쉼표 [0] 161 21" xfId="5422" xr:uid="{00000000-0005-0000-0000-000048160000}"/>
    <cellStyle name="쉼표 [0] 161 22" xfId="5423" xr:uid="{00000000-0005-0000-0000-000049160000}"/>
    <cellStyle name="쉼표 [0] 161 23" xfId="5424" xr:uid="{00000000-0005-0000-0000-00004A160000}"/>
    <cellStyle name="쉼표 [0] 161 24" xfId="5425" xr:uid="{00000000-0005-0000-0000-00004B160000}"/>
    <cellStyle name="쉼표 [0] 161 25" xfId="5426" xr:uid="{00000000-0005-0000-0000-00004C160000}"/>
    <cellStyle name="쉼표 [0] 161 26" xfId="5427" xr:uid="{00000000-0005-0000-0000-00004D160000}"/>
    <cellStyle name="쉼표 [0] 161 27" xfId="5428" xr:uid="{00000000-0005-0000-0000-00004E160000}"/>
    <cellStyle name="쉼표 [0] 161 28" xfId="5429" xr:uid="{00000000-0005-0000-0000-00004F160000}"/>
    <cellStyle name="쉼표 [0] 161 29" xfId="5430" xr:uid="{00000000-0005-0000-0000-000050160000}"/>
    <cellStyle name="쉼표 [0] 161 3" xfId="5431" xr:uid="{00000000-0005-0000-0000-000051160000}"/>
    <cellStyle name="쉼표 [0] 161 30" xfId="5432" xr:uid="{00000000-0005-0000-0000-000052160000}"/>
    <cellStyle name="쉼표 [0] 161 31" xfId="5433" xr:uid="{00000000-0005-0000-0000-000053160000}"/>
    <cellStyle name="쉼표 [0] 161 32" xfId="5434" xr:uid="{00000000-0005-0000-0000-000054160000}"/>
    <cellStyle name="쉼표 [0] 161 33" xfId="5435" xr:uid="{00000000-0005-0000-0000-000055160000}"/>
    <cellStyle name="쉼표 [0] 161 34" xfId="5436" xr:uid="{00000000-0005-0000-0000-000056160000}"/>
    <cellStyle name="쉼표 [0] 161 35" xfId="5437" xr:uid="{00000000-0005-0000-0000-000057160000}"/>
    <cellStyle name="쉼표 [0] 161 36" xfId="5438" xr:uid="{00000000-0005-0000-0000-000058160000}"/>
    <cellStyle name="쉼표 [0] 161 37" xfId="5439" xr:uid="{00000000-0005-0000-0000-000059160000}"/>
    <cellStyle name="쉼표 [0] 161 38" xfId="5440" xr:uid="{00000000-0005-0000-0000-00005A160000}"/>
    <cellStyle name="쉼표 [0] 161 39" xfId="5441" xr:uid="{00000000-0005-0000-0000-00005B160000}"/>
    <cellStyle name="쉼표 [0] 161 4" xfId="5442" xr:uid="{00000000-0005-0000-0000-00005C160000}"/>
    <cellStyle name="쉼표 [0] 161 40" xfId="5443" xr:uid="{00000000-0005-0000-0000-00005D160000}"/>
    <cellStyle name="쉼표 [0] 161 41" xfId="5444" xr:uid="{00000000-0005-0000-0000-00005E160000}"/>
    <cellStyle name="쉼표 [0] 161 42" xfId="5445" xr:uid="{00000000-0005-0000-0000-00005F160000}"/>
    <cellStyle name="쉼표 [0] 161 43" xfId="5446" xr:uid="{00000000-0005-0000-0000-000060160000}"/>
    <cellStyle name="쉼표 [0] 161 44" xfId="5447" xr:uid="{00000000-0005-0000-0000-000061160000}"/>
    <cellStyle name="쉼표 [0] 161 45" xfId="5448" xr:uid="{00000000-0005-0000-0000-000062160000}"/>
    <cellStyle name="쉼표 [0] 161 46" xfId="5449" xr:uid="{00000000-0005-0000-0000-000063160000}"/>
    <cellStyle name="쉼표 [0] 161 47" xfId="5450" xr:uid="{00000000-0005-0000-0000-000064160000}"/>
    <cellStyle name="쉼표 [0] 161 48" xfId="5451" xr:uid="{00000000-0005-0000-0000-000065160000}"/>
    <cellStyle name="쉼표 [0] 161 49" xfId="5452" xr:uid="{00000000-0005-0000-0000-000066160000}"/>
    <cellStyle name="쉼표 [0] 161 5" xfId="5453" xr:uid="{00000000-0005-0000-0000-000067160000}"/>
    <cellStyle name="쉼표 [0] 161 50" xfId="5454" xr:uid="{00000000-0005-0000-0000-000068160000}"/>
    <cellStyle name="쉼표 [0] 161 51" xfId="5455" xr:uid="{00000000-0005-0000-0000-000069160000}"/>
    <cellStyle name="쉼표 [0] 161 52" xfId="5456" xr:uid="{00000000-0005-0000-0000-00006A160000}"/>
    <cellStyle name="쉼표 [0] 161 53" xfId="5457" xr:uid="{00000000-0005-0000-0000-00006B160000}"/>
    <cellStyle name="쉼표 [0] 161 54" xfId="5458" xr:uid="{00000000-0005-0000-0000-00006C160000}"/>
    <cellStyle name="쉼표 [0] 161 55" xfId="5459" xr:uid="{00000000-0005-0000-0000-00006D160000}"/>
    <cellStyle name="쉼표 [0] 161 56" xfId="5460" xr:uid="{00000000-0005-0000-0000-00006E160000}"/>
    <cellStyle name="쉼표 [0] 161 57" xfId="5461" xr:uid="{00000000-0005-0000-0000-00006F160000}"/>
    <cellStyle name="쉼표 [0] 161 58" xfId="5462" xr:uid="{00000000-0005-0000-0000-000070160000}"/>
    <cellStyle name="쉼표 [0] 161 59" xfId="5463" xr:uid="{00000000-0005-0000-0000-000071160000}"/>
    <cellStyle name="쉼표 [0] 161 6" xfId="5464" xr:uid="{00000000-0005-0000-0000-000072160000}"/>
    <cellStyle name="쉼표 [0] 161 60" xfId="5465" xr:uid="{00000000-0005-0000-0000-000073160000}"/>
    <cellStyle name="쉼표 [0] 161 61" xfId="5466" xr:uid="{00000000-0005-0000-0000-000074160000}"/>
    <cellStyle name="쉼표 [0] 161 62" xfId="5467" xr:uid="{00000000-0005-0000-0000-000075160000}"/>
    <cellStyle name="쉼표 [0] 161 63" xfId="5468" xr:uid="{00000000-0005-0000-0000-000076160000}"/>
    <cellStyle name="쉼표 [0] 161 64" xfId="5469" xr:uid="{00000000-0005-0000-0000-000077160000}"/>
    <cellStyle name="쉼표 [0] 161 65" xfId="5470" xr:uid="{00000000-0005-0000-0000-000078160000}"/>
    <cellStyle name="쉼표 [0] 161 66" xfId="5471" xr:uid="{00000000-0005-0000-0000-000079160000}"/>
    <cellStyle name="쉼표 [0] 161 67" xfId="5472" xr:uid="{00000000-0005-0000-0000-00007A160000}"/>
    <cellStyle name="쉼표 [0] 161 68" xfId="5473" xr:uid="{00000000-0005-0000-0000-00007B160000}"/>
    <cellStyle name="쉼표 [0] 161 69" xfId="5474" xr:uid="{00000000-0005-0000-0000-00007C160000}"/>
    <cellStyle name="쉼표 [0] 161 7" xfId="5475" xr:uid="{00000000-0005-0000-0000-00007D160000}"/>
    <cellStyle name="쉼표 [0] 161 70" xfId="5476" xr:uid="{00000000-0005-0000-0000-00007E160000}"/>
    <cellStyle name="쉼표 [0] 161 71" xfId="5477" xr:uid="{00000000-0005-0000-0000-00007F160000}"/>
    <cellStyle name="쉼표 [0] 161 72" xfId="5478" xr:uid="{00000000-0005-0000-0000-000080160000}"/>
    <cellStyle name="쉼표 [0] 161 73" xfId="5479" xr:uid="{00000000-0005-0000-0000-000081160000}"/>
    <cellStyle name="쉼표 [0] 161 74" xfId="5480" xr:uid="{00000000-0005-0000-0000-000082160000}"/>
    <cellStyle name="쉼표 [0] 161 75" xfId="5481" xr:uid="{00000000-0005-0000-0000-000083160000}"/>
    <cellStyle name="쉼표 [0] 161 76" xfId="5482" xr:uid="{00000000-0005-0000-0000-000084160000}"/>
    <cellStyle name="쉼표 [0] 161 77" xfId="5483" xr:uid="{00000000-0005-0000-0000-000085160000}"/>
    <cellStyle name="쉼표 [0] 161 78" xfId="5484" xr:uid="{00000000-0005-0000-0000-000086160000}"/>
    <cellStyle name="쉼표 [0] 161 79" xfId="5485" xr:uid="{00000000-0005-0000-0000-000087160000}"/>
    <cellStyle name="쉼표 [0] 161 8" xfId="5486" xr:uid="{00000000-0005-0000-0000-000088160000}"/>
    <cellStyle name="쉼표 [0] 161 80" xfId="5487" xr:uid="{00000000-0005-0000-0000-000089160000}"/>
    <cellStyle name="쉼표 [0] 161 81" xfId="5488" xr:uid="{00000000-0005-0000-0000-00008A160000}"/>
    <cellStyle name="쉼표 [0] 161 82" xfId="5489" xr:uid="{00000000-0005-0000-0000-00008B160000}"/>
    <cellStyle name="쉼표 [0] 161 83" xfId="5490" xr:uid="{00000000-0005-0000-0000-00008C160000}"/>
    <cellStyle name="쉼표 [0] 161 84" xfId="5491" xr:uid="{00000000-0005-0000-0000-00008D160000}"/>
    <cellStyle name="쉼표 [0] 161 85" xfId="5492" xr:uid="{00000000-0005-0000-0000-00008E160000}"/>
    <cellStyle name="쉼표 [0] 161 86" xfId="5493" xr:uid="{00000000-0005-0000-0000-00008F160000}"/>
    <cellStyle name="쉼표 [0] 161 87" xfId="5494" xr:uid="{00000000-0005-0000-0000-000090160000}"/>
    <cellStyle name="쉼표 [0] 161 88" xfId="5495" xr:uid="{00000000-0005-0000-0000-000091160000}"/>
    <cellStyle name="쉼표 [0] 161 89" xfId="5496" xr:uid="{00000000-0005-0000-0000-000092160000}"/>
    <cellStyle name="쉼표 [0] 161 9" xfId="5497" xr:uid="{00000000-0005-0000-0000-000093160000}"/>
    <cellStyle name="쉼표 [0] 161 90" xfId="5498" xr:uid="{00000000-0005-0000-0000-000094160000}"/>
    <cellStyle name="쉼표 [0] 161 91" xfId="5499" xr:uid="{00000000-0005-0000-0000-000095160000}"/>
    <cellStyle name="쉼표 [0] 161 92" xfId="5500" xr:uid="{00000000-0005-0000-0000-000096160000}"/>
    <cellStyle name="쉼표 [0] 161 93" xfId="5501" xr:uid="{00000000-0005-0000-0000-000097160000}"/>
    <cellStyle name="쉼표 [0] 162" xfId="5502" xr:uid="{00000000-0005-0000-0000-000098160000}"/>
    <cellStyle name="쉼표 [0] 162 10" xfId="5503" xr:uid="{00000000-0005-0000-0000-000099160000}"/>
    <cellStyle name="쉼표 [0] 162 11" xfId="5504" xr:uid="{00000000-0005-0000-0000-00009A160000}"/>
    <cellStyle name="쉼표 [0] 162 12" xfId="5505" xr:uid="{00000000-0005-0000-0000-00009B160000}"/>
    <cellStyle name="쉼표 [0] 162 13" xfId="5506" xr:uid="{00000000-0005-0000-0000-00009C160000}"/>
    <cellStyle name="쉼표 [0] 162 14" xfId="5507" xr:uid="{00000000-0005-0000-0000-00009D160000}"/>
    <cellStyle name="쉼표 [0] 162 15" xfId="5508" xr:uid="{00000000-0005-0000-0000-00009E160000}"/>
    <cellStyle name="쉼표 [0] 162 16" xfId="5509" xr:uid="{00000000-0005-0000-0000-00009F160000}"/>
    <cellStyle name="쉼표 [0] 162 17" xfId="5510" xr:uid="{00000000-0005-0000-0000-0000A0160000}"/>
    <cellStyle name="쉼표 [0] 162 18" xfId="5511" xr:uid="{00000000-0005-0000-0000-0000A1160000}"/>
    <cellStyle name="쉼표 [0] 162 19" xfId="5512" xr:uid="{00000000-0005-0000-0000-0000A2160000}"/>
    <cellStyle name="쉼표 [0] 162 2" xfId="5513" xr:uid="{00000000-0005-0000-0000-0000A3160000}"/>
    <cellStyle name="쉼표 [0] 162 20" xfId="5514" xr:uid="{00000000-0005-0000-0000-0000A4160000}"/>
    <cellStyle name="쉼표 [0] 162 21" xfId="5515" xr:uid="{00000000-0005-0000-0000-0000A5160000}"/>
    <cellStyle name="쉼표 [0] 162 22" xfId="5516" xr:uid="{00000000-0005-0000-0000-0000A6160000}"/>
    <cellStyle name="쉼표 [0] 162 23" xfId="5517" xr:uid="{00000000-0005-0000-0000-0000A7160000}"/>
    <cellStyle name="쉼표 [0] 162 24" xfId="5518" xr:uid="{00000000-0005-0000-0000-0000A8160000}"/>
    <cellStyle name="쉼표 [0] 162 25" xfId="5519" xr:uid="{00000000-0005-0000-0000-0000A9160000}"/>
    <cellStyle name="쉼표 [0] 162 26" xfId="5520" xr:uid="{00000000-0005-0000-0000-0000AA160000}"/>
    <cellStyle name="쉼표 [0] 162 27" xfId="5521" xr:uid="{00000000-0005-0000-0000-0000AB160000}"/>
    <cellStyle name="쉼표 [0] 162 28" xfId="5522" xr:uid="{00000000-0005-0000-0000-0000AC160000}"/>
    <cellStyle name="쉼표 [0] 162 29" xfId="5523" xr:uid="{00000000-0005-0000-0000-0000AD160000}"/>
    <cellStyle name="쉼표 [0] 162 3" xfId="5524" xr:uid="{00000000-0005-0000-0000-0000AE160000}"/>
    <cellStyle name="쉼표 [0] 162 30" xfId="5525" xr:uid="{00000000-0005-0000-0000-0000AF160000}"/>
    <cellStyle name="쉼표 [0] 162 31" xfId="5526" xr:uid="{00000000-0005-0000-0000-0000B0160000}"/>
    <cellStyle name="쉼표 [0] 162 32" xfId="5527" xr:uid="{00000000-0005-0000-0000-0000B1160000}"/>
    <cellStyle name="쉼표 [0] 162 33" xfId="5528" xr:uid="{00000000-0005-0000-0000-0000B2160000}"/>
    <cellStyle name="쉼표 [0] 162 34" xfId="5529" xr:uid="{00000000-0005-0000-0000-0000B3160000}"/>
    <cellStyle name="쉼표 [0] 162 35" xfId="5530" xr:uid="{00000000-0005-0000-0000-0000B4160000}"/>
    <cellStyle name="쉼표 [0] 162 36" xfId="5531" xr:uid="{00000000-0005-0000-0000-0000B5160000}"/>
    <cellStyle name="쉼표 [0] 162 37" xfId="5532" xr:uid="{00000000-0005-0000-0000-0000B6160000}"/>
    <cellStyle name="쉼표 [0] 162 38" xfId="5533" xr:uid="{00000000-0005-0000-0000-0000B7160000}"/>
    <cellStyle name="쉼표 [0] 162 39" xfId="5534" xr:uid="{00000000-0005-0000-0000-0000B8160000}"/>
    <cellStyle name="쉼표 [0] 162 4" xfId="5535" xr:uid="{00000000-0005-0000-0000-0000B9160000}"/>
    <cellStyle name="쉼표 [0] 162 40" xfId="5536" xr:uid="{00000000-0005-0000-0000-0000BA160000}"/>
    <cellStyle name="쉼표 [0] 162 41" xfId="5537" xr:uid="{00000000-0005-0000-0000-0000BB160000}"/>
    <cellStyle name="쉼표 [0] 162 42" xfId="5538" xr:uid="{00000000-0005-0000-0000-0000BC160000}"/>
    <cellStyle name="쉼표 [0] 162 43" xfId="5539" xr:uid="{00000000-0005-0000-0000-0000BD160000}"/>
    <cellStyle name="쉼표 [0] 162 44" xfId="5540" xr:uid="{00000000-0005-0000-0000-0000BE160000}"/>
    <cellStyle name="쉼표 [0] 162 45" xfId="5541" xr:uid="{00000000-0005-0000-0000-0000BF160000}"/>
    <cellStyle name="쉼표 [0] 162 46" xfId="5542" xr:uid="{00000000-0005-0000-0000-0000C0160000}"/>
    <cellStyle name="쉼표 [0] 162 47" xfId="5543" xr:uid="{00000000-0005-0000-0000-0000C1160000}"/>
    <cellStyle name="쉼표 [0] 162 48" xfId="5544" xr:uid="{00000000-0005-0000-0000-0000C2160000}"/>
    <cellStyle name="쉼표 [0] 162 49" xfId="5545" xr:uid="{00000000-0005-0000-0000-0000C3160000}"/>
    <cellStyle name="쉼표 [0] 162 5" xfId="5546" xr:uid="{00000000-0005-0000-0000-0000C4160000}"/>
    <cellStyle name="쉼표 [0] 162 50" xfId="5547" xr:uid="{00000000-0005-0000-0000-0000C5160000}"/>
    <cellStyle name="쉼표 [0] 162 51" xfId="5548" xr:uid="{00000000-0005-0000-0000-0000C6160000}"/>
    <cellStyle name="쉼표 [0] 162 52" xfId="5549" xr:uid="{00000000-0005-0000-0000-0000C7160000}"/>
    <cellStyle name="쉼표 [0] 162 53" xfId="5550" xr:uid="{00000000-0005-0000-0000-0000C8160000}"/>
    <cellStyle name="쉼표 [0] 162 54" xfId="5551" xr:uid="{00000000-0005-0000-0000-0000C9160000}"/>
    <cellStyle name="쉼표 [0] 162 55" xfId="5552" xr:uid="{00000000-0005-0000-0000-0000CA160000}"/>
    <cellStyle name="쉼표 [0] 162 56" xfId="5553" xr:uid="{00000000-0005-0000-0000-0000CB160000}"/>
    <cellStyle name="쉼표 [0] 162 57" xfId="5554" xr:uid="{00000000-0005-0000-0000-0000CC160000}"/>
    <cellStyle name="쉼표 [0] 162 58" xfId="5555" xr:uid="{00000000-0005-0000-0000-0000CD160000}"/>
    <cellStyle name="쉼표 [0] 162 59" xfId="5556" xr:uid="{00000000-0005-0000-0000-0000CE160000}"/>
    <cellStyle name="쉼표 [0] 162 6" xfId="5557" xr:uid="{00000000-0005-0000-0000-0000CF160000}"/>
    <cellStyle name="쉼표 [0] 162 60" xfId="5558" xr:uid="{00000000-0005-0000-0000-0000D0160000}"/>
    <cellStyle name="쉼표 [0] 162 61" xfId="5559" xr:uid="{00000000-0005-0000-0000-0000D1160000}"/>
    <cellStyle name="쉼표 [0] 162 62" xfId="5560" xr:uid="{00000000-0005-0000-0000-0000D2160000}"/>
    <cellStyle name="쉼표 [0] 162 63" xfId="5561" xr:uid="{00000000-0005-0000-0000-0000D3160000}"/>
    <cellStyle name="쉼표 [0] 162 64" xfId="5562" xr:uid="{00000000-0005-0000-0000-0000D4160000}"/>
    <cellStyle name="쉼표 [0] 162 65" xfId="5563" xr:uid="{00000000-0005-0000-0000-0000D5160000}"/>
    <cellStyle name="쉼표 [0] 162 66" xfId="5564" xr:uid="{00000000-0005-0000-0000-0000D6160000}"/>
    <cellStyle name="쉼표 [0] 162 67" xfId="5565" xr:uid="{00000000-0005-0000-0000-0000D7160000}"/>
    <cellStyle name="쉼표 [0] 162 68" xfId="5566" xr:uid="{00000000-0005-0000-0000-0000D8160000}"/>
    <cellStyle name="쉼표 [0] 162 69" xfId="5567" xr:uid="{00000000-0005-0000-0000-0000D9160000}"/>
    <cellStyle name="쉼표 [0] 162 7" xfId="5568" xr:uid="{00000000-0005-0000-0000-0000DA160000}"/>
    <cellStyle name="쉼표 [0] 162 70" xfId="5569" xr:uid="{00000000-0005-0000-0000-0000DB160000}"/>
    <cellStyle name="쉼표 [0] 162 71" xfId="5570" xr:uid="{00000000-0005-0000-0000-0000DC160000}"/>
    <cellStyle name="쉼표 [0] 162 72" xfId="5571" xr:uid="{00000000-0005-0000-0000-0000DD160000}"/>
    <cellStyle name="쉼표 [0] 162 73" xfId="5572" xr:uid="{00000000-0005-0000-0000-0000DE160000}"/>
    <cellStyle name="쉼표 [0] 162 74" xfId="5573" xr:uid="{00000000-0005-0000-0000-0000DF160000}"/>
    <cellStyle name="쉼표 [0] 162 75" xfId="5574" xr:uid="{00000000-0005-0000-0000-0000E0160000}"/>
    <cellStyle name="쉼표 [0] 162 76" xfId="5575" xr:uid="{00000000-0005-0000-0000-0000E1160000}"/>
    <cellStyle name="쉼표 [0] 162 77" xfId="5576" xr:uid="{00000000-0005-0000-0000-0000E2160000}"/>
    <cellStyle name="쉼표 [0] 162 78" xfId="5577" xr:uid="{00000000-0005-0000-0000-0000E3160000}"/>
    <cellStyle name="쉼표 [0] 162 79" xfId="5578" xr:uid="{00000000-0005-0000-0000-0000E4160000}"/>
    <cellStyle name="쉼표 [0] 162 8" xfId="5579" xr:uid="{00000000-0005-0000-0000-0000E5160000}"/>
    <cellStyle name="쉼표 [0] 162 80" xfId="5580" xr:uid="{00000000-0005-0000-0000-0000E6160000}"/>
    <cellStyle name="쉼표 [0] 162 81" xfId="5581" xr:uid="{00000000-0005-0000-0000-0000E7160000}"/>
    <cellStyle name="쉼표 [0] 162 82" xfId="5582" xr:uid="{00000000-0005-0000-0000-0000E8160000}"/>
    <cellStyle name="쉼표 [0] 162 83" xfId="5583" xr:uid="{00000000-0005-0000-0000-0000E9160000}"/>
    <cellStyle name="쉼표 [0] 162 84" xfId="5584" xr:uid="{00000000-0005-0000-0000-0000EA160000}"/>
    <cellStyle name="쉼표 [0] 162 85" xfId="5585" xr:uid="{00000000-0005-0000-0000-0000EB160000}"/>
    <cellStyle name="쉼표 [0] 162 86" xfId="5586" xr:uid="{00000000-0005-0000-0000-0000EC160000}"/>
    <cellStyle name="쉼표 [0] 162 87" xfId="5587" xr:uid="{00000000-0005-0000-0000-0000ED160000}"/>
    <cellStyle name="쉼표 [0] 162 88" xfId="5588" xr:uid="{00000000-0005-0000-0000-0000EE160000}"/>
    <cellStyle name="쉼표 [0] 162 89" xfId="5589" xr:uid="{00000000-0005-0000-0000-0000EF160000}"/>
    <cellStyle name="쉼표 [0] 162 9" xfId="5590" xr:uid="{00000000-0005-0000-0000-0000F0160000}"/>
    <cellStyle name="쉼표 [0] 162 90" xfId="5591" xr:uid="{00000000-0005-0000-0000-0000F1160000}"/>
    <cellStyle name="쉼표 [0] 162 91" xfId="5592" xr:uid="{00000000-0005-0000-0000-0000F2160000}"/>
    <cellStyle name="쉼표 [0] 162 92" xfId="5593" xr:uid="{00000000-0005-0000-0000-0000F3160000}"/>
    <cellStyle name="쉼표 [0] 162 93" xfId="5594" xr:uid="{00000000-0005-0000-0000-0000F4160000}"/>
    <cellStyle name="쉼표 [0] 163 10" xfId="5595" xr:uid="{00000000-0005-0000-0000-0000F5160000}"/>
    <cellStyle name="쉼표 [0] 163 11" xfId="5596" xr:uid="{00000000-0005-0000-0000-0000F6160000}"/>
    <cellStyle name="쉼표 [0] 163 12" xfId="5597" xr:uid="{00000000-0005-0000-0000-0000F7160000}"/>
    <cellStyle name="쉼표 [0] 163 13" xfId="5598" xr:uid="{00000000-0005-0000-0000-0000F8160000}"/>
    <cellStyle name="쉼표 [0] 163 14" xfId="5599" xr:uid="{00000000-0005-0000-0000-0000F9160000}"/>
    <cellStyle name="쉼표 [0] 163 15" xfId="5600" xr:uid="{00000000-0005-0000-0000-0000FA160000}"/>
    <cellStyle name="쉼표 [0] 163 16" xfId="5601" xr:uid="{00000000-0005-0000-0000-0000FB160000}"/>
    <cellStyle name="쉼표 [0] 163 17" xfId="5602" xr:uid="{00000000-0005-0000-0000-0000FC160000}"/>
    <cellStyle name="쉼표 [0] 163 18" xfId="5603" xr:uid="{00000000-0005-0000-0000-0000FD160000}"/>
    <cellStyle name="쉼표 [0] 163 19" xfId="5604" xr:uid="{00000000-0005-0000-0000-0000FE160000}"/>
    <cellStyle name="쉼표 [0] 163 2" xfId="5605" xr:uid="{00000000-0005-0000-0000-0000FF160000}"/>
    <cellStyle name="쉼표 [0] 163 20" xfId="5606" xr:uid="{00000000-0005-0000-0000-000000170000}"/>
    <cellStyle name="쉼표 [0] 163 21" xfId="5607" xr:uid="{00000000-0005-0000-0000-000001170000}"/>
    <cellStyle name="쉼표 [0] 163 22" xfId="5608" xr:uid="{00000000-0005-0000-0000-000002170000}"/>
    <cellStyle name="쉼표 [0] 163 23" xfId="5609" xr:uid="{00000000-0005-0000-0000-000003170000}"/>
    <cellStyle name="쉼표 [0] 163 24" xfId="5610" xr:uid="{00000000-0005-0000-0000-000004170000}"/>
    <cellStyle name="쉼표 [0] 163 25" xfId="5611" xr:uid="{00000000-0005-0000-0000-000005170000}"/>
    <cellStyle name="쉼표 [0] 163 26" xfId="5612" xr:uid="{00000000-0005-0000-0000-000006170000}"/>
    <cellStyle name="쉼표 [0] 163 27" xfId="5613" xr:uid="{00000000-0005-0000-0000-000007170000}"/>
    <cellStyle name="쉼표 [0] 163 28" xfId="5614" xr:uid="{00000000-0005-0000-0000-000008170000}"/>
    <cellStyle name="쉼표 [0] 163 29" xfId="5615" xr:uid="{00000000-0005-0000-0000-000009170000}"/>
    <cellStyle name="쉼표 [0] 163 3" xfId="5616" xr:uid="{00000000-0005-0000-0000-00000A170000}"/>
    <cellStyle name="쉼표 [0] 163 30" xfId="5617" xr:uid="{00000000-0005-0000-0000-00000B170000}"/>
    <cellStyle name="쉼표 [0] 163 31" xfId="5618" xr:uid="{00000000-0005-0000-0000-00000C170000}"/>
    <cellStyle name="쉼표 [0] 163 32" xfId="5619" xr:uid="{00000000-0005-0000-0000-00000D170000}"/>
    <cellStyle name="쉼표 [0] 163 33" xfId="5620" xr:uid="{00000000-0005-0000-0000-00000E170000}"/>
    <cellStyle name="쉼표 [0] 163 34" xfId="5621" xr:uid="{00000000-0005-0000-0000-00000F170000}"/>
    <cellStyle name="쉼표 [0] 163 35" xfId="5622" xr:uid="{00000000-0005-0000-0000-000010170000}"/>
    <cellStyle name="쉼표 [0] 163 36" xfId="5623" xr:uid="{00000000-0005-0000-0000-000011170000}"/>
    <cellStyle name="쉼표 [0] 163 37" xfId="5624" xr:uid="{00000000-0005-0000-0000-000012170000}"/>
    <cellStyle name="쉼표 [0] 163 38" xfId="5625" xr:uid="{00000000-0005-0000-0000-000013170000}"/>
    <cellStyle name="쉼표 [0] 163 39" xfId="5626" xr:uid="{00000000-0005-0000-0000-000014170000}"/>
    <cellStyle name="쉼표 [0] 163 4" xfId="5627" xr:uid="{00000000-0005-0000-0000-000015170000}"/>
    <cellStyle name="쉼표 [0] 163 40" xfId="5628" xr:uid="{00000000-0005-0000-0000-000016170000}"/>
    <cellStyle name="쉼표 [0] 163 41" xfId="5629" xr:uid="{00000000-0005-0000-0000-000017170000}"/>
    <cellStyle name="쉼표 [0] 163 42" xfId="5630" xr:uid="{00000000-0005-0000-0000-000018170000}"/>
    <cellStyle name="쉼표 [0] 163 43" xfId="5631" xr:uid="{00000000-0005-0000-0000-000019170000}"/>
    <cellStyle name="쉼표 [0] 163 44" xfId="5632" xr:uid="{00000000-0005-0000-0000-00001A170000}"/>
    <cellStyle name="쉼표 [0] 163 45" xfId="5633" xr:uid="{00000000-0005-0000-0000-00001B170000}"/>
    <cellStyle name="쉼표 [0] 163 46" xfId="5634" xr:uid="{00000000-0005-0000-0000-00001C170000}"/>
    <cellStyle name="쉼표 [0] 163 47" xfId="5635" xr:uid="{00000000-0005-0000-0000-00001D170000}"/>
    <cellStyle name="쉼표 [0] 163 48" xfId="5636" xr:uid="{00000000-0005-0000-0000-00001E170000}"/>
    <cellStyle name="쉼표 [0] 163 49" xfId="5637" xr:uid="{00000000-0005-0000-0000-00001F170000}"/>
    <cellStyle name="쉼표 [0] 163 5" xfId="5638" xr:uid="{00000000-0005-0000-0000-000020170000}"/>
    <cellStyle name="쉼표 [0] 163 50" xfId="5639" xr:uid="{00000000-0005-0000-0000-000021170000}"/>
    <cellStyle name="쉼표 [0] 163 51" xfId="5640" xr:uid="{00000000-0005-0000-0000-000022170000}"/>
    <cellStyle name="쉼표 [0] 163 52" xfId="5641" xr:uid="{00000000-0005-0000-0000-000023170000}"/>
    <cellStyle name="쉼표 [0] 163 53" xfId="5642" xr:uid="{00000000-0005-0000-0000-000024170000}"/>
    <cellStyle name="쉼표 [0] 163 54" xfId="5643" xr:uid="{00000000-0005-0000-0000-000025170000}"/>
    <cellStyle name="쉼표 [0] 163 55" xfId="5644" xr:uid="{00000000-0005-0000-0000-000026170000}"/>
    <cellStyle name="쉼표 [0] 163 56" xfId="5645" xr:uid="{00000000-0005-0000-0000-000027170000}"/>
    <cellStyle name="쉼표 [0] 163 57" xfId="5646" xr:uid="{00000000-0005-0000-0000-000028170000}"/>
    <cellStyle name="쉼표 [0] 163 58" xfId="5647" xr:uid="{00000000-0005-0000-0000-000029170000}"/>
    <cellStyle name="쉼표 [0] 163 59" xfId="5648" xr:uid="{00000000-0005-0000-0000-00002A170000}"/>
    <cellStyle name="쉼표 [0] 163 6" xfId="5649" xr:uid="{00000000-0005-0000-0000-00002B170000}"/>
    <cellStyle name="쉼표 [0] 163 60" xfId="5650" xr:uid="{00000000-0005-0000-0000-00002C170000}"/>
    <cellStyle name="쉼표 [0] 163 61" xfId="5651" xr:uid="{00000000-0005-0000-0000-00002D170000}"/>
    <cellStyle name="쉼표 [0] 163 62" xfId="5652" xr:uid="{00000000-0005-0000-0000-00002E170000}"/>
    <cellStyle name="쉼표 [0] 163 63" xfId="5653" xr:uid="{00000000-0005-0000-0000-00002F170000}"/>
    <cellStyle name="쉼표 [0] 163 64" xfId="5654" xr:uid="{00000000-0005-0000-0000-000030170000}"/>
    <cellStyle name="쉼표 [0] 163 65" xfId="5655" xr:uid="{00000000-0005-0000-0000-000031170000}"/>
    <cellStyle name="쉼표 [0] 163 66" xfId="5656" xr:uid="{00000000-0005-0000-0000-000032170000}"/>
    <cellStyle name="쉼표 [0] 163 67" xfId="5657" xr:uid="{00000000-0005-0000-0000-000033170000}"/>
    <cellStyle name="쉼표 [0] 163 68" xfId="5658" xr:uid="{00000000-0005-0000-0000-000034170000}"/>
    <cellStyle name="쉼표 [0] 163 69" xfId="5659" xr:uid="{00000000-0005-0000-0000-000035170000}"/>
    <cellStyle name="쉼표 [0] 163 7" xfId="5660" xr:uid="{00000000-0005-0000-0000-000036170000}"/>
    <cellStyle name="쉼표 [0] 163 70" xfId="5661" xr:uid="{00000000-0005-0000-0000-000037170000}"/>
    <cellStyle name="쉼표 [0] 163 71" xfId="5662" xr:uid="{00000000-0005-0000-0000-000038170000}"/>
    <cellStyle name="쉼표 [0] 163 72" xfId="5663" xr:uid="{00000000-0005-0000-0000-000039170000}"/>
    <cellStyle name="쉼표 [0] 163 73" xfId="5664" xr:uid="{00000000-0005-0000-0000-00003A170000}"/>
    <cellStyle name="쉼표 [0] 163 74" xfId="5665" xr:uid="{00000000-0005-0000-0000-00003B170000}"/>
    <cellStyle name="쉼표 [0] 163 75" xfId="5666" xr:uid="{00000000-0005-0000-0000-00003C170000}"/>
    <cellStyle name="쉼표 [0] 163 76" xfId="5667" xr:uid="{00000000-0005-0000-0000-00003D170000}"/>
    <cellStyle name="쉼표 [0] 163 77" xfId="5668" xr:uid="{00000000-0005-0000-0000-00003E170000}"/>
    <cellStyle name="쉼표 [0] 163 78" xfId="5669" xr:uid="{00000000-0005-0000-0000-00003F170000}"/>
    <cellStyle name="쉼표 [0] 163 8" xfId="5670" xr:uid="{00000000-0005-0000-0000-000040170000}"/>
    <cellStyle name="쉼표 [0] 163 9" xfId="5671" xr:uid="{00000000-0005-0000-0000-000041170000}"/>
    <cellStyle name="쉼표 [0] 164" xfId="5672" xr:uid="{00000000-0005-0000-0000-000042170000}"/>
    <cellStyle name="쉼표 [0] 164 10" xfId="5673" xr:uid="{00000000-0005-0000-0000-000043170000}"/>
    <cellStyle name="쉼표 [0] 164 11" xfId="5674" xr:uid="{00000000-0005-0000-0000-000044170000}"/>
    <cellStyle name="쉼표 [0] 164 12" xfId="5675" xr:uid="{00000000-0005-0000-0000-000045170000}"/>
    <cellStyle name="쉼표 [0] 164 13" xfId="5676" xr:uid="{00000000-0005-0000-0000-000046170000}"/>
    <cellStyle name="쉼표 [0] 164 14" xfId="5677" xr:uid="{00000000-0005-0000-0000-000047170000}"/>
    <cellStyle name="쉼표 [0] 164 15" xfId="5678" xr:uid="{00000000-0005-0000-0000-000048170000}"/>
    <cellStyle name="쉼표 [0] 164 16" xfId="5679" xr:uid="{00000000-0005-0000-0000-000049170000}"/>
    <cellStyle name="쉼표 [0] 164 17" xfId="5680" xr:uid="{00000000-0005-0000-0000-00004A170000}"/>
    <cellStyle name="쉼표 [0] 164 18" xfId="5681" xr:uid="{00000000-0005-0000-0000-00004B170000}"/>
    <cellStyle name="쉼표 [0] 164 19" xfId="5682" xr:uid="{00000000-0005-0000-0000-00004C170000}"/>
    <cellStyle name="쉼표 [0] 164 2" xfId="5683" xr:uid="{00000000-0005-0000-0000-00004D170000}"/>
    <cellStyle name="쉼표 [0] 164 20" xfId="5684" xr:uid="{00000000-0005-0000-0000-00004E170000}"/>
    <cellStyle name="쉼표 [0] 164 21" xfId="5685" xr:uid="{00000000-0005-0000-0000-00004F170000}"/>
    <cellStyle name="쉼표 [0] 164 22" xfId="5686" xr:uid="{00000000-0005-0000-0000-000050170000}"/>
    <cellStyle name="쉼표 [0] 164 23" xfId="5687" xr:uid="{00000000-0005-0000-0000-000051170000}"/>
    <cellStyle name="쉼표 [0] 164 24" xfId="5688" xr:uid="{00000000-0005-0000-0000-000052170000}"/>
    <cellStyle name="쉼표 [0] 164 25" xfId="5689" xr:uid="{00000000-0005-0000-0000-000053170000}"/>
    <cellStyle name="쉼표 [0] 164 26" xfId="5690" xr:uid="{00000000-0005-0000-0000-000054170000}"/>
    <cellStyle name="쉼표 [0] 164 27" xfId="5691" xr:uid="{00000000-0005-0000-0000-000055170000}"/>
    <cellStyle name="쉼표 [0] 164 28" xfId="5692" xr:uid="{00000000-0005-0000-0000-000056170000}"/>
    <cellStyle name="쉼표 [0] 164 29" xfId="5693" xr:uid="{00000000-0005-0000-0000-000057170000}"/>
    <cellStyle name="쉼표 [0] 164 3" xfId="5694" xr:uid="{00000000-0005-0000-0000-000058170000}"/>
    <cellStyle name="쉼표 [0] 164 30" xfId="5695" xr:uid="{00000000-0005-0000-0000-000059170000}"/>
    <cellStyle name="쉼표 [0] 164 31" xfId="5696" xr:uid="{00000000-0005-0000-0000-00005A170000}"/>
    <cellStyle name="쉼표 [0] 164 32" xfId="5697" xr:uid="{00000000-0005-0000-0000-00005B170000}"/>
    <cellStyle name="쉼표 [0] 164 33" xfId="5698" xr:uid="{00000000-0005-0000-0000-00005C170000}"/>
    <cellStyle name="쉼표 [0] 164 34" xfId="5699" xr:uid="{00000000-0005-0000-0000-00005D170000}"/>
    <cellStyle name="쉼표 [0] 164 35" xfId="5700" xr:uid="{00000000-0005-0000-0000-00005E170000}"/>
    <cellStyle name="쉼표 [0] 164 36" xfId="5701" xr:uid="{00000000-0005-0000-0000-00005F170000}"/>
    <cellStyle name="쉼표 [0] 164 37" xfId="5702" xr:uid="{00000000-0005-0000-0000-000060170000}"/>
    <cellStyle name="쉼표 [0] 164 38" xfId="5703" xr:uid="{00000000-0005-0000-0000-000061170000}"/>
    <cellStyle name="쉼표 [0] 164 39" xfId="5704" xr:uid="{00000000-0005-0000-0000-000062170000}"/>
    <cellStyle name="쉼표 [0] 164 4" xfId="5705" xr:uid="{00000000-0005-0000-0000-000063170000}"/>
    <cellStyle name="쉼표 [0] 164 40" xfId="5706" xr:uid="{00000000-0005-0000-0000-000064170000}"/>
    <cellStyle name="쉼표 [0] 164 41" xfId="5707" xr:uid="{00000000-0005-0000-0000-000065170000}"/>
    <cellStyle name="쉼표 [0] 164 42" xfId="5708" xr:uid="{00000000-0005-0000-0000-000066170000}"/>
    <cellStyle name="쉼표 [0] 164 43" xfId="5709" xr:uid="{00000000-0005-0000-0000-000067170000}"/>
    <cellStyle name="쉼표 [0] 164 44" xfId="5710" xr:uid="{00000000-0005-0000-0000-000068170000}"/>
    <cellStyle name="쉼표 [0] 164 45" xfId="5711" xr:uid="{00000000-0005-0000-0000-000069170000}"/>
    <cellStyle name="쉼표 [0] 164 46" xfId="5712" xr:uid="{00000000-0005-0000-0000-00006A170000}"/>
    <cellStyle name="쉼표 [0] 164 47" xfId="5713" xr:uid="{00000000-0005-0000-0000-00006B170000}"/>
    <cellStyle name="쉼표 [0] 164 48" xfId="5714" xr:uid="{00000000-0005-0000-0000-00006C170000}"/>
    <cellStyle name="쉼표 [0] 164 49" xfId="5715" xr:uid="{00000000-0005-0000-0000-00006D170000}"/>
    <cellStyle name="쉼표 [0] 164 5" xfId="5716" xr:uid="{00000000-0005-0000-0000-00006E170000}"/>
    <cellStyle name="쉼표 [0] 164 50" xfId="5717" xr:uid="{00000000-0005-0000-0000-00006F170000}"/>
    <cellStyle name="쉼표 [0] 164 51" xfId="5718" xr:uid="{00000000-0005-0000-0000-000070170000}"/>
    <cellStyle name="쉼표 [0] 164 52" xfId="5719" xr:uid="{00000000-0005-0000-0000-000071170000}"/>
    <cellStyle name="쉼표 [0] 164 53" xfId="5720" xr:uid="{00000000-0005-0000-0000-000072170000}"/>
    <cellStyle name="쉼표 [0] 164 54" xfId="5721" xr:uid="{00000000-0005-0000-0000-000073170000}"/>
    <cellStyle name="쉼표 [0] 164 55" xfId="5722" xr:uid="{00000000-0005-0000-0000-000074170000}"/>
    <cellStyle name="쉼표 [0] 164 56" xfId="5723" xr:uid="{00000000-0005-0000-0000-000075170000}"/>
    <cellStyle name="쉼표 [0] 164 57" xfId="5724" xr:uid="{00000000-0005-0000-0000-000076170000}"/>
    <cellStyle name="쉼표 [0] 164 58" xfId="5725" xr:uid="{00000000-0005-0000-0000-000077170000}"/>
    <cellStyle name="쉼표 [0] 164 59" xfId="5726" xr:uid="{00000000-0005-0000-0000-000078170000}"/>
    <cellStyle name="쉼표 [0] 164 6" xfId="5727" xr:uid="{00000000-0005-0000-0000-000079170000}"/>
    <cellStyle name="쉼표 [0] 164 60" xfId="5728" xr:uid="{00000000-0005-0000-0000-00007A170000}"/>
    <cellStyle name="쉼표 [0] 164 61" xfId="5729" xr:uid="{00000000-0005-0000-0000-00007B170000}"/>
    <cellStyle name="쉼표 [0] 164 62" xfId="5730" xr:uid="{00000000-0005-0000-0000-00007C170000}"/>
    <cellStyle name="쉼표 [0] 164 63" xfId="5731" xr:uid="{00000000-0005-0000-0000-00007D170000}"/>
    <cellStyle name="쉼표 [0] 164 64" xfId="5732" xr:uid="{00000000-0005-0000-0000-00007E170000}"/>
    <cellStyle name="쉼표 [0] 164 65" xfId="5733" xr:uid="{00000000-0005-0000-0000-00007F170000}"/>
    <cellStyle name="쉼표 [0] 164 66" xfId="5734" xr:uid="{00000000-0005-0000-0000-000080170000}"/>
    <cellStyle name="쉼표 [0] 164 67" xfId="5735" xr:uid="{00000000-0005-0000-0000-000081170000}"/>
    <cellStyle name="쉼표 [0] 164 68" xfId="5736" xr:uid="{00000000-0005-0000-0000-000082170000}"/>
    <cellStyle name="쉼표 [0] 164 69" xfId="5737" xr:uid="{00000000-0005-0000-0000-000083170000}"/>
    <cellStyle name="쉼표 [0] 164 7" xfId="5738" xr:uid="{00000000-0005-0000-0000-000084170000}"/>
    <cellStyle name="쉼표 [0] 164 70" xfId="5739" xr:uid="{00000000-0005-0000-0000-000085170000}"/>
    <cellStyle name="쉼표 [0] 164 71" xfId="5740" xr:uid="{00000000-0005-0000-0000-000086170000}"/>
    <cellStyle name="쉼표 [0] 164 72" xfId="5741" xr:uid="{00000000-0005-0000-0000-000087170000}"/>
    <cellStyle name="쉼표 [0] 164 73" xfId="5742" xr:uid="{00000000-0005-0000-0000-000088170000}"/>
    <cellStyle name="쉼표 [0] 164 74" xfId="5743" xr:uid="{00000000-0005-0000-0000-000089170000}"/>
    <cellStyle name="쉼표 [0] 164 75" xfId="5744" xr:uid="{00000000-0005-0000-0000-00008A170000}"/>
    <cellStyle name="쉼표 [0] 164 76" xfId="5745" xr:uid="{00000000-0005-0000-0000-00008B170000}"/>
    <cellStyle name="쉼표 [0] 164 77" xfId="5746" xr:uid="{00000000-0005-0000-0000-00008C170000}"/>
    <cellStyle name="쉼표 [0] 164 78" xfId="5747" xr:uid="{00000000-0005-0000-0000-00008D170000}"/>
    <cellStyle name="쉼표 [0] 164 79" xfId="5748" xr:uid="{00000000-0005-0000-0000-00008E170000}"/>
    <cellStyle name="쉼표 [0] 164 8" xfId="5749" xr:uid="{00000000-0005-0000-0000-00008F170000}"/>
    <cellStyle name="쉼표 [0] 164 80" xfId="5750" xr:uid="{00000000-0005-0000-0000-000090170000}"/>
    <cellStyle name="쉼표 [0] 164 81" xfId="5751" xr:uid="{00000000-0005-0000-0000-000091170000}"/>
    <cellStyle name="쉼표 [0] 164 82" xfId="5752" xr:uid="{00000000-0005-0000-0000-000092170000}"/>
    <cellStyle name="쉼표 [0] 164 83" xfId="5753" xr:uid="{00000000-0005-0000-0000-000093170000}"/>
    <cellStyle name="쉼표 [0] 164 84" xfId="5754" xr:uid="{00000000-0005-0000-0000-000094170000}"/>
    <cellStyle name="쉼표 [0] 164 85" xfId="5755" xr:uid="{00000000-0005-0000-0000-000095170000}"/>
    <cellStyle name="쉼표 [0] 164 86" xfId="5756" xr:uid="{00000000-0005-0000-0000-000096170000}"/>
    <cellStyle name="쉼표 [0] 164 87" xfId="5757" xr:uid="{00000000-0005-0000-0000-000097170000}"/>
    <cellStyle name="쉼표 [0] 164 88" xfId="5758" xr:uid="{00000000-0005-0000-0000-000098170000}"/>
    <cellStyle name="쉼표 [0] 164 89" xfId="5759" xr:uid="{00000000-0005-0000-0000-000099170000}"/>
    <cellStyle name="쉼표 [0] 164 9" xfId="5760" xr:uid="{00000000-0005-0000-0000-00009A170000}"/>
    <cellStyle name="쉼표 [0] 164 90" xfId="5761" xr:uid="{00000000-0005-0000-0000-00009B170000}"/>
    <cellStyle name="쉼표 [0] 164 91" xfId="5762" xr:uid="{00000000-0005-0000-0000-00009C170000}"/>
    <cellStyle name="쉼표 [0] 164 92" xfId="5763" xr:uid="{00000000-0005-0000-0000-00009D170000}"/>
    <cellStyle name="쉼표 [0] 164 93" xfId="5764" xr:uid="{00000000-0005-0000-0000-00009E170000}"/>
    <cellStyle name="쉼표 [0] 165 10" xfId="5765" xr:uid="{00000000-0005-0000-0000-00009F170000}"/>
    <cellStyle name="쉼표 [0] 165 11" xfId="5766" xr:uid="{00000000-0005-0000-0000-0000A0170000}"/>
    <cellStyle name="쉼표 [0] 165 12" xfId="5767" xr:uid="{00000000-0005-0000-0000-0000A1170000}"/>
    <cellStyle name="쉼표 [0] 165 13" xfId="5768" xr:uid="{00000000-0005-0000-0000-0000A2170000}"/>
    <cellStyle name="쉼표 [0] 165 14" xfId="5769" xr:uid="{00000000-0005-0000-0000-0000A3170000}"/>
    <cellStyle name="쉼표 [0] 165 15" xfId="5770" xr:uid="{00000000-0005-0000-0000-0000A4170000}"/>
    <cellStyle name="쉼표 [0] 165 16" xfId="5771" xr:uid="{00000000-0005-0000-0000-0000A5170000}"/>
    <cellStyle name="쉼표 [0] 165 17" xfId="5772" xr:uid="{00000000-0005-0000-0000-0000A6170000}"/>
    <cellStyle name="쉼표 [0] 165 18" xfId="5773" xr:uid="{00000000-0005-0000-0000-0000A7170000}"/>
    <cellStyle name="쉼표 [0] 165 19" xfId="5774" xr:uid="{00000000-0005-0000-0000-0000A8170000}"/>
    <cellStyle name="쉼표 [0] 165 2" xfId="5775" xr:uid="{00000000-0005-0000-0000-0000A9170000}"/>
    <cellStyle name="쉼표 [0] 165 20" xfId="5776" xr:uid="{00000000-0005-0000-0000-0000AA170000}"/>
    <cellStyle name="쉼표 [0] 165 21" xfId="5777" xr:uid="{00000000-0005-0000-0000-0000AB170000}"/>
    <cellStyle name="쉼표 [0] 165 22" xfId="5778" xr:uid="{00000000-0005-0000-0000-0000AC170000}"/>
    <cellStyle name="쉼표 [0] 165 23" xfId="5779" xr:uid="{00000000-0005-0000-0000-0000AD170000}"/>
    <cellStyle name="쉼표 [0] 165 24" xfId="5780" xr:uid="{00000000-0005-0000-0000-0000AE170000}"/>
    <cellStyle name="쉼표 [0] 165 25" xfId="5781" xr:uid="{00000000-0005-0000-0000-0000AF170000}"/>
    <cellStyle name="쉼표 [0] 165 26" xfId="5782" xr:uid="{00000000-0005-0000-0000-0000B0170000}"/>
    <cellStyle name="쉼표 [0] 165 27" xfId="5783" xr:uid="{00000000-0005-0000-0000-0000B1170000}"/>
    <cellStyle name="쉼표 [0] 165 28" xfId="5784" xr:uid="{00000000-0005-0000-0000-0000B2170000}"/>
    <cellStyle name="쉼표 [0] 165 29" xfId="5785" xr:uid="{00000000-0005-0000-0000-0000B3170000}"/>
    <cellStyle name="쉼표 [0] 165 3" xfId="5786" xr:uid="{00000000-0005-0000-0000-0000B4170000}"/>
    <cellStyle name="쉼표 [0] 165 30" xfId="5787" xr:uid="{00000000-0005-0000-0000-0000B5170000}"/>
    <cellStyle name="쉼표 [0] 165 31" xfId="5788" xr:uid="{00000000-0005-0000-0000-0000B6170000}"/>
    <cellStyle name="쉼표 [0] 165 32" xfId="5789" xr:uid="{00000000-0005-0000-0000-0000B7170000}"/>
    <cellStyle name="쉼표 [0] 165 33" xfId="5790" xr:uid="{00000000-0005-0000-0000-0000B8170000}"/>
    <cellStyle name="쉼표 [0] 165 34" xfId="5791" xr:uid="{00000000-0005-0000-0000-0000B9170000}"/>
    <cellStyle name="쉼표 [0] 165 35" xfId="5792" xr:uid="{00000000-0005-0000-0000-0000BA170000}"/>
    <cellStyle name="쉼표 [0] 165 36" xfId="5793" xr:uid="{00000000-0005-0000-0000-0000BB170000}"/>
    <cellStyle name="쉼표 [0] 165 37" xfId="5794" xr:uid="{00000000-0005-0000-0000-0000BC170000}"/>
    <cellStyle name="쉼표 [0] 165 38" xfId="5795" xr:uid="{00000000-0005-0000-0000-0000BD170000}"/>
    <cellStyle name="쉼표 [0] 165 39" xfId="5796" xr:uid="{00000000-0005-0000-0000-0000BE170000}"/>
    <cellStyle name="쉼표 [0] 165 4" xfId="5797" xr:uid="{00000000-0005-0000-0000-0000BF170000}"/>
    <cellStyle name="쉼표 [0] 165 40" xfId="5798" xr:uid="{00000000-0005-0000-0000-0000C0170000}"/>
    <cellStyle name="쉼표 [0] 165 41" xfId="5799" xr:uid="{00000000-0005-0000-0000-0000C1170000}"/>
    <cellStyle name="쉼표 [0] 165 42" xfId="5800" xr:uid="{00000000-0005-0000-0000-0000C2170000}"/>
    <cellStyle name="쉼표 [0] 165 43" xfId="5801" xr:uid="{00000000-0005-0000-0000-0000C3170000}"/>
    <cellStyle name="쉼표 [0] 165 44" xfId="5802" xr:uid="{00000000-0005-0000-0000-0000C4170000}"/>
    <cellStyle name="쉼표 [0] 165 45" xfId="5803" xr:uid="{00000000-0005-0000-0000-0000C5170000}"/>
    <cellStyle name="쉼표 [0] 165 46" xfId="5804" xr:uid="{00000000-0005-0000-0000-0000C6170000}"/>
    <cellStyle name="쉼표 [0] 165 5" xfId="5805" xr:uid="{00000000-0005-0000-0000-0000C7170000}"/>
    <cellStyle name="쉼표 [0] 165 6" xfId="5806" xr:uid="{00000000-0005-0000-0000-0000C8170000}"/>
    <cellStyle name="쉼표 [0] 165 7" xfId="5807" xr:uid="{00000000-0005-0000-0000-0000C9170000}"/>
    <cellStyle name="쉼표 [0] 165 8" xfId="5808" xr:uid="{00000000-0005-0000-0000-0000CA170000}"/>
    <cellStyle name="쉼표 [0] 165 9" xfId="5809" xr:uid="{00000000-0005-0000-0000-0000CB170000}"/>
    <cellStyle name="쉼표 [0] 166 2" xfId="5810" xr:uid="{00000000-0005-0000-0000-0000CC170000}"/>
    <cellStyle name="쉼표 [0] 166 3" xfId="5811" xr:uid="{00000000-0005-0000-0000-0000CD170000}"/>
    <cellStyle name="쉼표 [0] 166 4" xfId="5812" xr:uid="{00000000-0005-0000-0000-0000CE170000}"/>
    <cellStyle name="쉼표 [0] 166 5" xfId="5813" xr:uid="{00000000-0005-0000-0000-0000CF170000}"/>
    <cellStyle name="쉼표 [0] 166 6" xfId="5814" xr:uid="{00000000-0005-0000-0000-0000D0170000}"/>
    <cellStyle name="쉼표 [0] 167 2" xfId="5815" xr:uid="{00000000-0005-0000-0000-0000D1170000}"/>
    <cellStyle name="쉼표 [0] 167 3" xfId="5816" xr:uid="{00000000-0005-0000-0000-0000D2170000}"/>
    <cellStyle name="쉼표 [0] 167 4" xfId="5817" xr:uid="{00000000-0005-0000-0000-0000D3170000}"/>
    <cellStyle name="쉼표 [0] 167 5" xfId="5818" xr:uid="{00000000-0005-0000-0000-0000D4170000}"/>
    <cellStyle name="쉼표 [0] 167 6" xfId="5819" xr:uid="{00000000-0005-0000-0000-0000D5170000}"/>
    <cellStyle name="쉼표 [0] 168 10" xfId="5820" xr:uid="{00000000-0005-0000-0000-0000D6170000}"/>
    <cellStyle name="쉼표 [0] 168 11" xfId="5821" xr:uid="{00000000-0005-0000-0000-0000D7170000}"/>
    <cellStyle name="쉼표 [0] 168 12" xfId="5822" xr:uid="{00000000-0005-0000-0000-0000D8170000}"/>
    <cellStyle name="쉼표 [0] 168 13" xfId="5823" xr:uid="{00000000-0005-0000-0000-0000D9170000}"/>
    <cellStyle name="쉼표 [0] 168 14" xfId="5824" xr:uid="{00000000-0005-0000-0000-0000DA170000}"/>
    <cellStyle name="쉼표 [0] 168 15" xfId="5825" xr:uid="{00000000-0005-0000-0000-0000DB170000}"/>
    <cellStyle name="쉼표 [0] 168 16" xfId="5826" xr:uid="{00000000-0005-0000-0000-0000DC170000}"/>
    <cellStyle name="쉼표 [0] 168 17" xfId="5827" xr:uid="{00000000-0005-0000-0000-0000DD170000}"/>
    <cellStyle name="쉼표 [0] 168 18" xfId="5828" xr:uid="{00000000-0005-0000-0000-0000DE170000}"/>
    <cellStyle name="쉼표 [0] 168 19" xfId="5829" xr:uid="{00000000-0005-0000-0000-0000DF170000}"/>
    <cellStyle name="쉼표 [0] 168 2" xfId="5830" xr:uid="{00000000-0005-0000-0000-0000E0170000}"/>
    <cellStyle name="쉼표 [0] 168 20" xfId="5831" xr:uid="{00000000-0005-0000-0000-0000E1170000}"/>
    <cellStyle name="쉼표 [0] 168 21" xfId="5832" xr:uid="{00000000-0005-0000-0000-0000E2170000}"/>
    <cellStyle name="쉼표 [0] 168 22" xfId="5833" xr:uid="{00000000-0005-0000-0000-0000E3170000}"/>
    <cellStyle name="쉼표 [0] 168 23" xfId="5834" xr:uid="{00000000-0005-0000-0000-0000E4170000}"/>
    <cellStyle name="쉼표 [0] 168 24" xfId="5835" xr:uid="{00000000-0005-0000-0000-0000E5170000}"/>
    <cellStyle name="쉼표 [0] 168 25" xfId="5836" xr:uid="{00000000-0005-0000-0000-0000E6170000}"/>
    <cellStyle name="쉼표 [0] 168 26" xfId="5837" xr:uid="{00000000-0005-0000-0000-0000E7170000}"/>
    <cellStyle name="쉼표 [0] 168 27" xfId="5838" xr:uid="{00000000-0005-0000-0000-0000E8170000}"/>
    <cellStyle name="쉼표 [0] 168 28" xfId="5839" xr:uid="{00000000-0005-0000-0000-0000E9170000}"/>
    <cellStyle name="쉼표 [0] 168 29" xfId="5840" xr:uid="{00000000-0005-0000-0000-0000EA170000}"/>
    <cellStyle name="쉼표 [0] 168 3" xfId="5841" xr:uid="{00000000-0005-0000-0000-0000EB170000}"/>
    <cellStyle name="쉼표 [0] 168 30" xfId="5842" xr:uid="{00000000-0005-0000-0000-0000EC170000}"/>
    <cellStyle name="쉼표 [0] 168 31" xfId="5843" xr:uid="{00000000-0005-0000-0000-0000ED170000}"/>
    <cellStyle name="쉼표 [0] 168 32" xfId="5844" xr:uid="{00000000-0005-0000-0000-0000EE170000}"/>
    <cellStyle name="쉼표 [0] 168 33" xfId="5845" xr:uid="{00000000-0005-0000-0000-0000EF170000}"/>
    <cellStyle name="쉼표 [0] 168 34" xfId="5846" xr:uid="{00000000-0005-0000-0000-0000F0170000}"/>
    <cellStyle name="쉼표 [0] 168 35" xfId="5847" xr:uid="{00000000-0005-0000-0000-0000F1170000}"/>
    <cellStyle name="쉼표 [0] 168 36" xfId="5848" xr:uid="{00000000-0005-0000-0000-0000F2170000}"/>
    <cellStyle name="쉼표 [0] 168 37" xfId="5849" xr:uid="{00000000-0005-0000-0000-0000F3170000}"/>
    <cellStyle name="쉼표 [0] 168 38" xfId="5850" xr:uid="{00000000-0005-0000-0000-0000F4170000}"/>
    <cellStyle name="쉼표 [0] 168 39" xfId="5851" xr:uid="{00000000-0005-0000-0000-0000F5170000}"/>
    <cellStyle name="쉼표 [0] 168 4" xfId="5852" xr:uid="{00000000-0005-0000-0000-0000F6170000}"/>
    <cellStyle name="쉼표 [0] 168 40" xfId="5853" xr:uid="{00000000-0005-0000-0000-0000F7170000}"/>
    <cellStyle name="쉼표 [0] 168 41" xfId="5854" xr:uid="{00000000-0005-0000-0000-0000F8170000}"/>
    <cellStyle name="쉼표 [0] 168 42" xfId="5855" xr:uid="{00000000-0005-0000-0000-0000F9170000}"/>
    <cellStyle name="쉼표 [0] 168 43" xfId="5856" xr:uid="{00000000-0005-0000-0000-0000FA170000}"/>
    <cellStyle name="쉼표 [0] 168 5" xfId="5857" xr:uid="{00000000-0005-0000-0000-0000FB170000}"/>
    <cellStyle name="쉼표 [0] 168 6" xfId="5858" xr:uid="{00000000-0005-0000-0000-0000FC170000}"/>
    <cellStyle name="쉼표 [0] 168 7" xfId="5859" xr:uid="{00000000-0005-0000-0000-0000FD170000}"/>
    <cellStyle name="쉼표 [0] 168 8" xfId="5860" xr:uid="{00000000-0005-0000-0000-0000FE170000}"/>
    <cellStyle name="쉼표 [0] 168 9" xfId="5861" xr:uid="{00000000-0005-0000-0000-0000FF170000}"/>
    <cellStyle name="쉼표 [0] 169 2" xfId="5862" xr:uid="{00000000-0005-0000-0000-000000180000}"/>
    <cellStyle name="쉼표 [0] 169 3" xfId="5863" xr:uid="{00000000-0005-0000-0000-000001180000}"/>
    <cellStyle name="쉼표 [0] 169 4" xfId="5864" xr:uid="{00000000-0005-0000-0000-000002180000}"/>
    <cellStyle name="쉼표 [0] 169 5" xfId="5865" xr:uid="{00000000-0005-0000-0000-000003180000}"/>
    <cellStyle name="쉼표 [0] 169 6" xfId="5866" xr:uid="{00000000-0005-0000-0000-000004180000}"/>
    <cellStyle name="쉼표 [0] 170" xfId="5867" xr:uid="{00000000-0005-0000-0000-000005180000}"/>
    <cellStyle name="쉼표 [0] 172" xfId="5868" xr:uid="{00000000-0005-0000-0000-000006180000}"/>
    <cellStyle name="쉼표 [0] 173 2" xfId="5869" xr:uid="{00000000-0005-0000-0000-000007180000}"/>
    <cellStyle name="쉼표 [0] 173 3" xfId="5870" xr:uid="{00000000-0005-0000-0000-000008180000}"/>
    <cellStyle name="쉼표 [0] 173 4" xfId="5871" xr:uid="{00000000-0005-0000-0000-000009180000}"/>
    <cellStyle name="쉼표 [0] 173 5" xfId="5872" xr:uid="{00000000-0005-0000-0000-00000A180000}"/>
    <cellStyle name="쉼표 [0] 173 6" xfId="5873" xr:uid="{00000000-0005-0000-0000-00000B180000}"/>
    <cellStyle name="쉼표 [0] 174" xfId="5874" xr:uid="{00000000-0005-0000-0000-00000C180000}"/>
    <cellStyle name="쉼표 [0] 176" xfId="5875" xr:uid="{00000000-0005-0000-0000-00000D180000}"/>
    <cellStyle name="쉼표 [0] 177 2" xfId="5876" xr:uid="{00000000-0005-0000-0000-00000E180000}"/>
    <cellStyle name="쉼표 [0] 177 3" xfId="5877" xr:uid="{00000000-0005-0000-0000-00000F180000}"/>
    <cellStyle name="쉼표 [0] 177 4" xfId="5878" xr:uid="{00000000-0005-0000-0000-000010180000}"/>
    <cellStyle name="쉼표 [0] 177 5" xfId="5879" xr:uid="{00000000-0005-0000-0000-000011180000}"/>
    <cellStyle name="쉼표 [0] 177 6" xfId="5880" xr:uid="{00000000-0005-0000-0000-000012180000}"/>
    <cellStyle name="쉼표 [0] 178" xfId="5881" xr:uid="{00000000-0005-0000-0000-000013180000}"/>
    <cellStyle name="쉼표 [0] 18" xfId="5882" xr:uid="{00000000-0005-0000-0000-000014180000}"/>
    <cellStyle name="쉼표 [0] 180" xfId="5883" xr:uid="{00000000-0005-0000-0000-000015180000}"/>
    <cellStyle name="쉼표 [0] 181" xfId="5884" xr:uid="{00000000-0005-0000-0000-000016180000}"/>
    <cellStyle name="쉼표 [0] 182" xfId="5885" xr:uid="{00000000-0005-0000-0000-000017180000}"/>
    <cellStyle name="쉼표 [0] 184" xfId="5886" xr:uid="{00000000-0005-0000-0000-000018180000}"/>
    <cellStyle name="쉼표 [0] 185" xfId="5887" xr:uid="{00000000-0005-0000-0000-000019180000}"/>
    <cellStyle name="쉼표 [0] 186" xfId="5888" xr:uid="{00000000-0005-0000-0000-00001A180000}"/>
    <cellStyle name="쉼표 [0] 188" xfId="5889" xr:uid="{00000000-0005-0000-0000-00001B180000}"/>
    <cellStyle name="쉼표 [0] 189" xfId="5890" xr:uid="{00000000-0005-0000-0000-00001C180000}"/>
    <cellStyle name="쉼표 [0] 19" xfId="5891" xr:uid="{00000000-0005-0000-0000-00001D180000}"/>
    <cellStyle name="쉼표 [0] 190" xfId="5892" xr:uid="{00000000-0005-0000-0000-00001E180000}"/>
    <cellStyle name="쉼표 [0] 192" xfId="5893" xr:uid="{00000000-0005-0000-0000-00001F180000}"/>
    <cellStyle name="쉼표 [0] 193" xfId="5894" xr:uid="{00000000-0005-0000-0000-000020180000}"/>
    <cellStyle name="쉼표 [0] 194" xfId="5895" xr:uid="{00000000-0005-0000-0000-000021180000}"/>
    <cellStyle name="쉼표 [0] 196" xfId="5896" xr:uid="{00000000-0005-0000-0000-000022180000}"/>
    <cellStyle name="쉼표 [0] 197" xfId="5897" xr:uid="{00000000-0005-0000-0000-000023180000}"/>
    <cellStyle name="쉼표 [0] 198" xfId="5898" xr:uid="{00000000-0005-0000-0000-000024180000}"/>
    <cellStyle name="쉼표 [0] 199" xfId="5899" xr:uid="{00000000-0005-0000-0000-000025180000}"/>
    <cellStyle name="쉼표 [0] 2" xfId="1654" xr:uid="{00000000-0005-0000-0000-000026180000}"/>
    <cellStyle name="쉼표 [0] 2 10" xfId="5900" xr:uid="{00000000-0005-0000-0000-000027180000}"/>
    <cellStyle name="쉼표 [0] 2 11" xfId="5901" xr:uid="{00000000-0005-0000-0000-000028180000}"/>
    <cellStyle name="쉼표 [0] 2 12" xfId="5902" xr:uid="{00000000-0005-0000-0000-000029180000}"/>
    <cellStyle name="쉼표 [0] 2 13" xfId="5903" xr:uid="{00000000-0005-0000-0000-00002A180000}"/>
    <cellStyle name="쉼표 [0] 2 14" xfId="5904" xr:uid="{00000000-0005-0000-0000-00002B180000}"/>
    <cellStyle name="쉼표 [0] 2 15" xfId="5905" xr:uid="{00000000-0005-0000-0000-00002C180000}"/>
    <cellStyle name="쉼표 [0] 2 16" xfId="5906" xr:uid="{00000000-0005-0000-0000-00002D180000}"/>
    <cellStyle name="쉼표 [0] 2 17" xfId="5907" xr:uid="{00000000-0005-0000-0000-00002E180000}"/>
    <cellStyle name="쉼표 [0] 2 18" xfId="5908" xr:uid="{00000000-0005-0000-0000-00002F180000}"/>
    <cellStyle name="쉼표 [0] 2 19" xfId="5909" xr:uid="{00000000-0005-0000-0000-000030180000}"/>
    <cellStyle name="쉼표 [0] 2 2" xfId="4448" xr:uid="{00000000-0005-0000-0000-000031180000}"/>
    <cellStyle name="쉼표 [0] 2 2 10" xfId="5910" xr:uid="{00000000-0005-0000-0000-000032180000}"/>
    <cellStyle name="쉼표 [0] 2 2 100" xfId="5911" xr:uid="{00000000-0005-0000-0000-000033180000}"/>
    <cellStyle name="쉼표 [0] 2 2 101" xfId="5912" xr:uid="{00000000-0005-0000-0000-000034180000}"/>
    <cellStyle name="쉼표 [0] 2 2 102" xfId="5913" xr:uid="{00000000-0005-0000-0000-000035180000}"/>
    <cellStyle name="쉼표 [0] 2 2 103" xfId="5914" xr:uid="{00000000-0005-0000-0000-000036180000}"/>
    <cellStyle name="쉼표 [0] 2 2 104" xfId="5915" xr:uid="{00000000-0005-0000-0000-000037180000}"/>
    <cellStyle name="쉼표 [0] 2 2 105" xfId="5916" xr:uid="{00000000-0005-0000-0000-000038180000}"/>
    <cellStyle name="쉼표 [0] 2 2 106" xfId="5917" xr:uid="{00000000-0005-0000-0000-000039180000}"/>
    <cellStyle name="쉼표 [0] 2 2 107" xfId="5918" xr:uid="{00000000-0005-0000-0000-00003A180000}"/>
    <cellStyle name="쉼표 [0] 2 2 108" xfId="5919" xr:uid="{00000000-0005-0000-0000-00003B180000}"/>
    <cellStyle name="쉼표 [0] 2 2 109" xfId="5920" xr:uid="{00000000-0005-0000-0000-00003C180000}"/>
    <cellStyle name="쉼표 [0] 2 2 11" xfId="5921" xr:uid="{00000000-0005-0000-0000-00003D180000}"/>
    <cellStyle name="쉼표 [0] 2 2 110" xfId="5922" xr:uid="{00000000-0005-0000-0000-00003E180000}"/>
    <cellStyle name="쉼표 [0] 2 2 111" xfId="5923" xr:uid="{00000000-0005-0000-0000-00003F180000}"/>
    <cellStyle name="쉼표 [0] 2 2 112" xfId="5924" xr:uid="{00000000-0005-0000-0000-000040180000}"/>
    <cellStyle name="쉼표 [0] 2 2 113" xfId="5925" xr:uid="{00000000-0005-0000-0000-000041180000}"/>
    <cellStyle name="쉼표 [0] 2 2 114" xfId="5926" xr:uid="{00000000-0005-0000-0000-000042180000}"/>
    <cellStyle name="쉼표 [0] 2 2 115" xfId="5927" xr:uid="{00000000-0005-0000-0000-000043180000}"/>
    <cellStyle name="쉼표 [0] 2 2 116" xfId="5928" xr:uid="{00000000-0005-0000-0000-000044180000}"/>
    <cellStyle name="쉼표 [0] 2 2 117" xfId="5929" xr:uid="{00000000-0005-0000-0000-000045180000}"/>
    <cellStyle name="쉼표 [0] 2 2 118" xfId="5930" xr:uid="{00000000-0005-0000-0000-000046180000}"/>
    <cellStyle name="쉼표 [0] 2 2 119" xfId="5931" xr:uid="{00000000-0005-0000-0000-000047180000}"/>
    <cellStyle name="쉼표 [0] 2 2 12" xfId="5932" xr:uid="{00000000-0005-0000-0000-000048180000}"/>
    <cellStyle name="쉼표 [0] 2 2 120" xfId="5933" xr:uid="{00000000-0005-0000-0000-000049180000}"/>
    <cellStyle name="쉼표 [0] 2 2 121" xfId="5934" xr:uid="{00000000-0005-0000-0000-00004A180000}"/>
    <cellStyle name="쉼표 [0] 2 2 122" xfId="5935" xr:uid="{00000000-0005-0000-0000-00004B180000}"/>
    <cellStyle name="쉼표 [0] 2 2 123" xfId="5936" xr:uid="{00000000-0005-0000-0000-00004C180000}"/>
    <cellStyle name="쉼표 [0] 2 2 124" xfId="5937" xr:uid="{00000000-0005-0000-0000-00004D180000}"/>
    <cellStyle name="쉼표 [0] 2 2 125" xfId="5938" xr:uid="{00000000-0005-0000-0000-00004E180000}"/>
    <cellStyle name="쉼표 [0] 2 2 126" xfId="5939" xr:uid="{00000000-0005-0000-0000-00004F180000}"/>
    <cellStyle name="쉼표 [0] 2 2 127" xfId="5940" xr:uid="{00000000-0005-0000-0000-000050180000}"/>
    <cellStyle name="쉼표 [0] 2 2 128" xfId="5941" xr:uid="{00000000-0005-0000-0000-000051180000}"/>
    <cellStyle name="쉼표 [0] 2 2 129" xfId="5942" xr:uid="{00000000-0005-0000-0000-000052180000}"/>
    <cellStyle name="쉼표 [0] 2 2 13" xfId="5943" xr:uid="{00000000-0005-0000-0000-000053180000}"/>
    <cellStyle name="쉼표 [0] 2 2 130" xfId="5944" xr:uid="{00000000-0005-0000-0000-000054180000}"/>
    <cellStyle name="쉼표 [0] 2 2 131" xfId="5945" xr:uid="{00000000-0005-0000-0000-000055180000}"/>
    <cellStyle name="쉼표 [0] 2 2 132" xfId="5946" xr:uid="{00000000-0005-0000-0000-000056180000}"/>
    <cellStyle name="쉼표 [0] 2 2 133" xfId="5947" xr:uid="{00000000-0005-0000-0000-000057180000}"/>
    <cellStyle name="쉼표 [0] 2 2 134" xfId="5948" xr:uid="{00000000-0005-0000-0000-000058180000}"/>
    <cellStyle name="쉼표 [0] 2 2 135" xfId="5949" xr:uid="{00000000-0005-0000-0000-000059180000}"/>
    <cellStyle name="쉼표 [0] 2 2 136" xfId="5950" xr:uid="{00000000-0005-0000-0000-00005A180000}"/>
    <cellStyle name="쉼표 [0] 2 2 137" xfId="5951" xr:uid="{00000000-0005-0000-0000-00005B180000}"/>
    <cellStyle name="쉼표 [0] 2 2 14" xfId="5952" xr:uid="{00000000-0005-0000-0000-00005C180000}"/>
    <cellStyle name="쉼표 [0] 2 2 15" xfId="5953" xr:uid="{00000000-0005-0000-0000-00005D180000}"/>
    <cellStyle name="쉼표 [0] 2 2 16" xfId="5954" xr:uid="{00000000-0005-0000-0000-00005E180000}"/>
    <cellStyle name="쉼표 [0] 2 2 17" xfId="5955" xr:uid="{00000000-0005-0000-0000-00005F180000}"/>
    <cellStyle name="쉼표 [0] 2 2 18" xfId="5956" xr:uid="{00000000-0005-0000-0000-000060180000}"/>
    <cellStyle name="쉼표 [0] 2 2 19" xfId="5957" xr:uid="{00000000-0005-0000-0000-000061180000}"/>
    <cellStyle name="쉼표 [0] 2 2 2" xfId="5958" xr:uid="{00000000-0005-0000-0000-000062180000}"/>
    <cellStyle name="쉼표 [0] 2 2 2 2" xfId="5959" xr:uid="{00000000-0005-0000-0000-000063180000}"/>
    <cellStyle name="쉼표 [0] 2 2 2 3" xfId="5960" xr:uid="{00000000-0005-0000-0000-000064180000}"/>
    <cellStyle name="쉼표 [0] 2 2 20" xfId="5961" xr:uid="{00000000-0005-0000-0000-000065180000}"/>
    <cellStyle name="쉼표 [0] 2 2 21" xfId="5962" xr:uid="{00000000-0005-0000-0000-000066180000}"/>
    <cellStyle name="쉼표 [0] 2 2 22" xfId="5963" xr:uid="{00000000-0005-0000-0000-000067180000}"/>
    <cellStyle name="쉼표 [0] 2 2 23" xfId="5964" xr:uid="{00000000-0005-0000-0000-000068180000}"/>
    <cellStyle name="쉼표 [0] 2 2 24" xfId="5965" xr:uid="{00000000-0005-0000-0000-000069180000}"/>
    <cellStyle name="쉼표 [0] 2 2 25" xfId="5966" xr:uid="{00000000-0005-0000-0000-00006A180000}"/>
    <cellStyle name="쉼표 [0] 2 2 26" xfId="5967" xr:uid="{00000000-0005-0000-0000-00006B180000}"/>
    <cellStyle name="쉼표 [0] 2 2 27" xfId="5968" xr:uid="{00000000-0005-0000-0000-00006C180000}"/>
    <cellStyle name="쉼표 [0] 2 2 28" xfId="5969" xr:uid="{00000000-0005-0000-0000-00006D180000}"/>
    <cellStyle name="쉼표 [0] 2 2 29" xfId="5970" xr:uid="{00000000-0005-0000-0000-00006E180000}"/>
    <cellStyle name="쉼표 [0] 2 2 3" xfId="5971" xr:uid="{00000000-0005-0000-0000-00006F180000}"/>
    <cellStyle name="쉼표 [0] 2 2 30" xfId="5972" xr:uid="{00000000-0005-0000-0000-000070180000}"/>
    <cellStyle name="쉼표 [0] 2 2 31" xfId="5973" xr:uid="{00000000-0005-0000-0000-000071180000}"/>
    <cellStyle name="쉼표 [0] 2 2 32" xfId="5974" xr:uid="{00000000-0005-0000-0000-000072180000}"/>
    <cellStyle name="쉼표 [0] 2 2 33" xfId="5975" xr:uid="{00000000-0005-0000-0000-000073180000}"/>
    <cellStyle name="쉼표 [0] 2 2 34" xfId="5976" xr:uid="{00000000-0005-0000-0000-000074180000}"/>
    <cellStyle name="쉼표 [0] 2 2 35" xfId="5977" xr:uid="{00000000-0005-0000-0000-000075180000}"/>
    <cellStyle name="쉼표 [0] 2 2 36" xfId="5978" xr:uid="{00000000-0005-0000-0000-000076180000}"/>
    <cellStyle name="쉼표 [0] 2 2 37" xfId="5979" xr:uid="{00000000-0005-0000-0000-000077180000}"/>
    <cellStyle name="쉼표 [0] 2 2 38" xfId="5980" xr:uid="{00000000-0005-0000-0000-000078180000}"/>
    <cellStyle name="쉼표 [0] 2 2 39" xfId="5981" xr:uid="{00000000-0005-0000-0000-000079180000}"/>
    <cellStyle name="쉼표 [0] 2 2 4" xfId="5982" xr:uid="{00000000-0005-0000-0000-00007A180000}"/>
    <cellStyle name="쉼표 [0] 2 2 40" xfId="5983" xr:uid="{00000000-0005-0000-0000-00007B180000}"/>
    <cellStyle name="쉼표 [0] 2 2 41" xfId="5984" xr:uid="{00000000-0005-0000-0000-00007C180000}"/>
    <cellStyle name="쉼표 [0] 2 2 42" xfId="5985" xr:uid="{00000000-0005-0000-0000-00007D180000}"/>
    <cellStyle name="쉼표 [0] 2 2 43" xfId="5986" xr:uid="{00000000-0005-0000-0000-00007E180000}"/>
    <cellStyle name="쉼표 [0] 2 2 44" xfId="5987" xr:uid="{00000000-0005-0000-0000-00007F180000}"/>
    <cellStyle name="쉼표 [0] 2 2 45" xfId="5988" xr:uid="{00000000-0005-0000-0000-000080180000}"/>
    <cellStyle name="쉼표 [0] 2 2 46" xfId="5989" xr:uid="{00000000-0005-0000-0000-000081180000}"/>
    <cellStyle name="쉼표 [0] 2 2 47" xfId="5990" xr:uid="{00000000-0005-0000-0000-000082180000}"/>
    <cellStyle name="쉼표 [0] 2 2 48" xfId="5991" xr:uid="{00000000-0005-0000-0000-000083180000}"/>
    <cellStyle name="쉼표 [0] 2 2 49" xfId="5992" xr:uid="{00000000-0005-0000-0000-000084180000}"/>
    <cellStyle name="쉼표 [0] 2 2 5" xfId="5993" xr:uid="{00000000-0005-0000-0000-000085180000}"/>
    <cellStyle name="쉼표 [0] 2 2 50" xfId="5994" xr:uid="{00000000-0005-0000-0000-000086180000}"/>
    <cellStyle name="쉼표 [0] 2 2 51" xfId="5995" xr:uid="{00000000-0005-0000-0000-000087180000}"/>
    <cellStyle name="쉼표 [0] 2 2 52" xfId="5996" xr:uid="{00000000-0005-0000-0000-000088180000}"/>
    <cellStyle name="쉼표 [0] 2 2 53" xfId="5997" xr:uid="{00000000-0005-0000-0000-000089180000}"/>
    <cellStyle name="쉼표 [0] 2 2 54" xfId="5998" xr:uid="{00000000-0005-0000-0000-00008A180000}"/>
    <cellStyle name="쉼표 [0] 2 2 55" xfId="5999" xr:uid="{00000000-0005-0000-0000-00008B180000}"/>
    <cellStyle name="쉼표 [0] 2 2 56" xfId="6000" xr:uid="{00000000-0005-0000-0000-00008C180000}"/>
    <cellStyle name="쉼표 [0] 2 2 57" xfId="6001" xr:uid="{00000000-0005-0000-0000-00008D180000}"/>
    <cellStyle name="쉼표 [0] 2 2 58" xfId="6002" xr:uid="{00000000-0005-0000-0000-00008E180000}"/>
    <cellStyle name="쉼표 [0] 2 2 59" xfId="6003" xr:uid="{00000000-0005-0000-0000-00008F180000}"/>
    <cellStyle name="쉼표 [0] 2 2 6" xfId="6004" xr:uid="{00000000-0005-0000-0000-000090180000}"/>
    <cellStyle name="쉼표 [0] 2 2 60" xfId="6005" xr:uid="{00000000-0005-0000-0000-000091180000}"/>
    <cellStyle name="쉼표 [0] 2 2 61" xfId="6006" xr:uid="{00000000-0005-0000-0000-000092180000}"/>
    <cellStyle name="쉼표 [0] 2 2 62" xfId="6007" xr:uid="{00000000-0005-0000-0000-000093180000}"/>
    <cellStyle name="쉼표 [0] 2 2 63" xfId="6008" xr:uid="{00000000-0005-0000-0000-000094180000}"/>
    <cellStyle name="쉼표 [0] 2 2 64" xfId="6009" xr:uid="{00000000-0005-0000-0000-000095180000}"/>
    <cellStyle name="쉼표 [0] 2 2 65" xfId="6010" xr:uid="{00000000-0005-0000-0000-000096180000}"/>
    <cellStyle name="쉼표 [0] 2 2 66" xfId="6011" xr:uid="{00000000-0005-0000-0000-000097180000}"/>
    <cellStyle name="쉼표 [0] 2 2 67" xfId="6012" xr:uid="{00000000-0005-0000-0000-000098180000}"/>
    <cellStyle name="쉼표 [0] 2 2 68" xfId="6013" xr:uid="{00000000-0005-0000-0000-000099180000}"/>
    <cellStyle name="쉼표 [0] 2 2 69" xfId="6014" xr:uid="{00000000-0005-0000-0000-00009A180000}"/>
    <cellStyle name="쉼표 [0] 2 2 7" xfId="6015" xr:uid="{00000000-0005-0000-0000-00009B180000}"/>
    <cellStyle name="쉼표 [0] 2 2 70" xfId="6016" xr:uid="{00000000-0005-0000-0000-00009C180000}"/>
    <cellStyle name="쉼표 [0] 2 2 71" xfId="6017" xr:uid="{00000000-0005-0000-0000-00009D180000}"/>
    <cellStyle name="쉼표 [0] 2 2 72" xfId="6018" xr:uid="{00000000-0005-0000-0000-00009E180000}"/>
    <cellStyle name="쉼표 [0] 2 2 73" xfId="6019" xr:uid="{00000000-0005-0000-0000-00009F180000}"/>
    <cellStyle name="쉼표 [0] 2 2 74" xfId="6020" xr:uid="{00000000-0005-0000-0000-0000A0180000}"/>
    <cellStyle name="쉼표 [0] 2 2 75" xfId="6021" xr:uid="{00000000-0005-0000-0000-0000A1180000}"/>
    <cellStyle name="쉼표 [0] 2 2 76" xfId="6022" xr:uid="{00000000-0005-0000-0000-0000A2180000}"/>
    <cellStyle name="쉼표 [0] 2 2 77" xfId="6023" xr:uid="{00000000-0005-0000-0000-0000A3180000}"/>
    <cellStyle name="쉼표 [0] 2 2 78" xfId="6024" xr:uid="{00000000-0005-0000-0000-0000A4180000}"/>
    <cellStyle name="쉼표 [0] 2 2 79" xfId="6025" xr:uid="{00000000-0005-0000-0000-0000A5180000}"/>
    <cellStyle name="쉼표 [0] 2 2 8" xfId="6026" xr:uid="{00000000-0005-0000-0000-0000A6180000}"/>
    <cellStyle name="쉼표 [0] 2 2 80" xfId="6027" xr:uid="{00000000-0005-0000-0000-0000A7180000}"/>
    <cellStyle name="쉼표 [0] 2 2 81" xfId="6028" xr:uid="{00000000-0005-0000-0000-0000A8180000}"/>
    <cellStyle name="쉼표 [0] 2 2 82" xfId="6029" xr:uid="{00000000-0005-0000-0000-0000A9180000}"/>
    <cellStyle name="쉼표 [0] 2 2 83" xfId="6030" xr:uid="{00000000-0005-0000-0000-0000AA180000}"/>
    <cellStyle name="쉼표 [0] 2 2 84" xfId="6031" xr:uid="{00000000-0005-0000-0000-0000AB180000}"/>
    <cellStyle name="쉼표 [0] 2 2 85" xfId="6032" xr:uid="{00000000-0005-0000-0000-0000AC180000}"/>
    <cellStyle name="쉼표 [0] 2 2 86" xfId="6033" xr:uid="{00000000-0005-0000-0000-0000AD180000}"/>
    <cellStyle name="쉼표 [0] 2 2 87" xfId="6034" xr:uid="{00000000-0005-0000-0000-0000AE180000}"/>
    <cellStyle name="쉼표 [0] 2 2 88" xfId="6035" xr:uid="{00000000-0005-0000-0000-0000AF180000}"/>
    <cellStyle name="쉼표 [0] 2 2 89" xfId="6036" xr:uid="{00000000-0005-0000-0000-0000B0180000}"/>
    <cellStyle name="쉼표 [0] 2 2 9" xfId="6037" xr:uid="{00000000-0005-0000-0000-0000B1180000}"/>
    <cellStyle name="쉼표 [0] 2 2 90" xfId="6038" xr:uid="{00000000-0005-0000-0000-0000B2180000}"/>
    <cellStyle name="쉼표 [0] 2 2 91" xfId="6039" xr:uid="{00000000-0005-0000-0000-0000B3180000}"/>
    <cellStyle name="쉼표 [0] 2 2 92" xfId="6040" xr:uid="{00000000-0005-0000-0000-0000B4180000}"/>
    <cellStyle name="쉼표 [0] 2 2 93" xfId="6041" xr:uid="{00000000-0005-0000-0000-0000B5180000}"/>
    <cellStyle name="쉼표 [0] 2 2 94" xfId="6042" xr:uid="{00000000-0005-0000-0000-0000B6180000}"/>
    <cellStyle name="쉼표 [0] 2 2 95" xfId="6043" xr:uid="{00000000-0005-0000-0000-0000B7180000}"/>
    <cellStyle name="쉼표 [0] 2 2 96" xfId="6044" xr:uid="{00000000-0005-0000-0000-0000B8180000}"/>
    <cellStyle name="쉼표 [0] 2 2 97" xfId="6045" xr:uid="{00000000-0005-0000-0000-0000B9180000}"/>
    <cellStyle name="쉼표 [0] 2 2 98" xfId="6046" xr:uid="{00000000-0005-0000-0000-0000BA180000}"/>
    <cellStyle name="쉼표 [0] 2 2 99" xfId="6047" xr:uid="{00000000-0005-0000-0000-0000BB180000}"/>
    <cellStyle name="쉼표 [0] 2 20" xfId="6048" xr:uid="{00000000-0005-0000-0000-0000BC180000}"/>
    <cellStyle name="쉼표 [0] 2 21" xfId="6049" xr:uid="{00000000-0005-0000-0000-0000BD180000}"/>
    <cellStyle name="쉼표 [0] 2 22" xfId="6050" xr:uid="{00000000-0005-0000-0000-0000BE180000}"/>
    <cellStyle name="쉼표 [0] 2 23" xfId="6051" xr:uid="{00000000-0005-0000-0000-0000BF180000}"/>
    <cellStyle name="쉼표 [0] 2 24" xfId="6052" xr:uid="{00000000-0005-0000-0000-0000C0180000}"/>
    <cellStyle name="쉼표 [0] 2 25" xfId="6053" xr:uid="{00000000-0005-0000-0000-0000C1180000}"/>
    <cellStyle name="쉼표 [0] 2 26" xfId="6054" xr:uid="{00000000-0005-0000-0000-0000C2180000}"/>
    <cellStyle name="쉼표 [0] 2 27" xfId="6055" xr:uid="{00000000-0005-0000-0000-0000C3180000}"/>
    <cellStyle name="쉼표 [0] 2 28" xfId="6056" xr:uid="{00000000-0005-0000-0000-0000C4180000}"/>
    <cellStyle name="쉼표 [0] 2 29" xfId="6057" xr:uid="{00000000-0005-0000-0000-0000C5180000}"/>
    <cellStyle name="쉼표 [0] 2 3" xfId="4449" xr:uid="{00000000-0005-0000-0000-0000C6180000}"/>
    <cellStyle name="쉼표 [0] 2 3 2" xfId="7348" xr:uid="{00000000-0005-0000-0000-0000C7180000}"/>
    <cellStyle name="쉼표 [0] 2 30" xfId="6058" xr:uid="{00000000-0005-0000-0000-0000C8180000}"/>
    <cellStyle name="쉼표 [0] 2 31" xfId="6059" xr:uid="{00000000-0005-0000-0000-0000C9180000}"/>
    <cellStyle name="쉼표 [0] 2 32" xfId="6060" xr:uid="{00000000-0005-0000-0000-0000CA180000}"/>
    <cellStyle name="쉼표 [0] 2 33" xfId="6061" xr:uid="{00000000-0005-0000-0000-0000CB180000}"/>
    <cellStyle name="쉼표 [0] 2 34" xfId="6062" xr:uid="{00000000-0005-0000-0000-0000CC180000}"/>
    <cellStyle name="쉼표 [0] 2 35" xfId="6063" xr:uid="{00000000-0005-0000-0000-0000CD180000}"/>
    <cellStyle name="쉼표 [0] 2 36" xfId="6064" xr:uid="{00000000-0005-0000-0000-0000CE180000}"/>
    <cellStyle name="쉼표 [0] 2 37" xfId="6065" xr:uid="{00000000-0005-0000-0000-0000CF180000}"/>
    <cellStyle name="쉼표 [0] 2 38" xfId="6066" xr:uid="{00000000-0005-0000-0000-0000D0180000}"/>
    <cellStyle name="쉼표 [0] 2 39" xfId="6067" xr:uid="{00000000-0005-0000-0000-0000D1180000}"/>
    <cellStyle name="쉼표 [0] 2 4" xfId="4450" xr:uid="{00000000-0005-0000-0000-0000D2180000}"/>
    <cellStyle name="쉼표 [0] 2 40" xfId="6068" xr:uid="{00000000-0005-0000-0000-0000D3180000}"/>
    <cellStyle name="쉼표 [0] 2 41" xfId="6069" xr:uid="{00000000-0005-0000-0000-0000D4180000}"/>
    <cellStyle name="쉼표 [0] 2 42" xfId="6070" xr:uid="{00000000-0005-0000-0000-0000D5180000}"/>
    <cellStyle name="쉼표 [0] 2 43" xfId="6071" xr:uid="{00000000-0005-0000-0000-0000D6180000}"/>
    <cellStyle name="쉼표 [0] 2 44" xfId="6072" xr:uid="{00000000-0005-0000-0000-0000D7180000}"/>
    <cellStyle name="쉼표 [0] 2 45" xfId="6073" xr:uid="{00000000-0005-0000-0000-0000D8180000}"/>
    <cellStyle name="쉼표 [0] 2 46" xfId="6074" xr:uid="{00000000-0005-0000-0000-0000D9180000}"/>
    <cellStyle name="쉼표 [0] 2 47" xfId="6075" xr:uid="{00000000-0005-0000-0000-0000DA180000}"/>
    <cellStyle name="쉼표 [0] 2 48" xfId="6076" xr:uid="{00000000-0005-0000-0000-0000DB180000}"/>
    <cellStyle name="쉼표 [0] 2 49" xfId="6077" xr:uid="{00000000-0005-0000-0000-0000DC180000}"/>
    <cellStyle name="쉼표 [0] 2 5" xfId="4451" xr:uid="{00000000-0005-0000-0000-0000DD180000}"/>
    <cellStyle name="쉼표 [0] 2 50" xfId="6078" xr:uid="{00000000-0005-0000-0000-0000DE180000}"/>
    <cellStyle name="쉼표 [0] 2 51" xfId="6079" xr:uid="{00000000-0005-0000-0000-0000DF180000}"/>
    <cellStyle name="쉼표 [0] 2 6" xfId="4452" xr:uid="{00000000-0005-0000-0000-0000E0180000}"/>
    <cellStyle name="쉼표 [0] 2 7" xfId="6080" xr:uid="{00000000-0005-0000-0000-0000E1180000}"/>
    <cellStyle name="쉼표 [0] 2 8" xfId="6081" xr:uid="{00000000-0005-0000-0000-0000E2180000}"/>
    <cellStyle name="쉼표 [0] 2 9" xfId="6082" xr:uid="{00000000-0005-0000-0000-0000E3180000}"/>
    <cellStyle name="쉼표 [0] 201" xfId="6083" xr:uid="{00000000-0005-0000-0000-0000E4180000}"/>
    <cellStyle name="쉼표 [0] 203" xfId="6084" xr:uid="{00000000-0005-0000-0000-0000E5180000}"/>
    <cellStyle name="쉼표 [0] 205" xfId="6085" xr:uid="{00000000-0005-0000-0000-0000E6180000}"/>
    <cellStyle name="쉼표 [0] 207" xfId="6086" xr:uid="{00000000-0005-0000-0000-0000E7180000}"/>
    <cellStyle name="쉼표 [0] 209" xfId="6087" xr:uid="{00000000-0005-0000-0000-0000E8180000}"/>
    <cellStyle name="쉼표 [0] 21" xfId="6088" xr:uid="{00000000-0005-0000-0000-0000E9180000}"/>
    <cellStyle name="쉼표 [0] 211" xfId="6089" xr:uid="{00000000-0005-0000-0000-0000EA180000}"/>
    <cellStyle name="쉼표 [0] 213" xfId="6090" xr:uid="{00000000-0005-0000-0000-0000EB180000}"/>
    <cellStyle name="쉼표 [0] 215" xfId="6091" xr:uid="{00000000-0005-0000-0000-0000EC180000}"/>
    <cellStyle name="쉼표 [0] 217" xfId="6092" xr:uid="{00000000-0005-0000-0000-0000ED180000}"/>
    <cellStyle name="쉼표 [0] 219" xfId="6093" xr:uid="{00000000-0005-0000-0000-0000EE180000}"/>
    <cellStyle name="쉼표 [0] 221" xfId="6094" xr:uid="{00000000-0005-0000-0000-0000EF180000}"/>
    <cellStyle name="쉼표 [0] 223" xfId="6095" xr:uid="{00000000-0005-0000-0000-0000F0180000}"/>
    <cellStyle name="쉼표 [0] 24" xfId="6096" xr:uid="{00000000-0005-0000-0000-0000F1180000}"/>
    <cellStyle name="쉼표 [0] 25" xfId="6097" xr:uid="{00000000-0005-0000-0000-0000F2180000}"/>
    <cellStyle name="쉼표 [0] 26" xfId="6098" xr:uid="{00000000-0005-0000-0000-0000F3180000}"/>
    <cellStyle name="쉼표 [0] 27" xfId="6099" xr:uid="{00000000-0005-0000-0000-0000F4180000}"/>
    <cellStyle name="쉼표 [0] 28" xfId="6100" xr:uid="{00000000-0005-0000-0000-0000F5180000}"/>
    <cellStyle name="쉼표 [0] 29" xfId="6101" xr:uid="{00000000-0005-0000-0000-0000F6180000}"/>
    <cellStyle name="쉼표 [0] 3" xfId="2146" xr:uid="{00000000-0005-0000-0000-0000F7180000}"/>
    <cellStyle name="쉼표 [0] 3 2" xfId="6102" xr:uid="{00000000-0005-0000-0000-0000F8180000}"/>
    <cellStyle name="쉼표 [0] 3 3" xfId="7303" xr:uid="{00000000-0005-0000-0000-0000F9180000}"/>
    <cellStyle name="쉼표 [0] 3 4" xfId="7349" xr:uid="{00000000-0005-0000-0000-0000FA180000}"/>
    <cellStyle name="쉼표 [0] 30" xfId="6103" xr:uid="{00000000-0005-0000-0000-0000FB180000}"/>
    <cellStyle name="쉼표 [0] 31" xfId="6104" xr:uid="{00000000-0005-0000-0000-0000FC180000}"/>
    <cellStyle name="쉼표 [0] 32" xfId="6105" xr:uid="{00000000-0005-0000-0000-0000FD180000}"/>
    <cellStyle name="쉼표 [0] 33" xfId="6106" xr:uid="{00000000-0005-0000-0000-0000FE180000}"/>
    <cellStyle name="쉼표 [0] 34" xfId="6107" xr:uid="{00000000-0005-0000-0000-0000FF180000}"/>
    <cellStyle name="쉼표 [0] 35" xfId="6108" xr:uid="{00000000-0005-0000-0000-000000190000}"/>
    <cellStyle name="쉼표 [0] 36" xfId="6109" xr:uid="{00000000-0005-0000-0000-000001190000}"/>
    <cellStyle name="쉼표 [0] 37" xfId="6110" xr:uid="{00000000-0005-0000-0000-000002190000}"/>
    <cellStyle name="쉼표 [0] 38" xfId="6111" xr:uid="{00000000-0005-0000-0000-000003190000}"/>
    <cellStyle name="쉼표 [0] 39" xfId="6112" xr:uid="{00000000-0005-0000-0000-000004190000}"/>
    <cellStyle name="쉼표 [0] 4" xfId="4453" xr:uid="{00000000-0005-0000-0000-000005190000}"/>
    <cellStyle name="쉼표 [0] 4 10" xfId="6113" xr:uid="{00000000-0005-0000-0000-000006190000}"/>
    <cellStyle name="쉼표 [0] 4 100" xfId="6114" xr:uid="{00000000-0005-0000-0000-000007190000}"/>
    <cellStyle name="쉼표 [0] 4 101" xfId="6115" xr:uid="{00000000-0005-0000-0000-000008190000}"/>
    <cellStyle name="쉼표 [0] 4 102" xfId="6116" xr:uid="{00000000-0005-0000-0000-000009190000}"/>
    <cellStyle name="쉼표 [0] 4 103" xfId="6117" xr:uid="{00000000-0005-0000-0000-00000A190000}"/>
    <cellStyle name="쉼표 [0] 4 104" xfId="6118" xr:uid="{00000000-0005-0000-0000-00000B190000}"/>
    <cellStyle name="쉼표 [0] 4 105" xfId="6119" xr:uid="{00000000-0005-0000-0000-00000C190000}"/>
    <cellStyle name="쉼표 [0] 4 106" xfId="6120" xr:uid="{00000000-0005-0000-0000-00000D190000}"/>
    <cellStyle name="쉼표 [0] 4 107" xfId="6121" xr:uid="{00000000-0005-0000-0000-00000E190000}"/>
    <cellStyle name="쉼표 [0] 4 108" xfId="6122" xr:uid="{00000000-0005-0000-0000-00000F190000}"/>
    <cellStyle name="쉼표 [0] 4 109" xfId="6123" xr:uid="{00000000-0005-0000-0000-000010190000}"/>
    <cellStyle name="쉼표 [0] 4 11" xfId="6124" xr:uid="{00000000-0005-0000-0000-000011190000}"/>
    <cellStyle name="쉼표 [0] 4 110" xfId="6125" xr:uid="{00000000-0005-0000-0000-000012190000}"/>
    <cellStyle name="쉼표 [0] 4 111" xfId="6126" xr:uid="{00000000-0005-0000-0000-000013190000}"/>
    <cellStyle name="쉼표 [0] 4 112" xfId="6127" xr:uid="{00000000-0005-0000-0000-000014190000}"/>
    <cellStyle name="쉼표 [0] 4 113" xfId="6128" xr:uid="{00000000-0005-0000-0000-000015190000}"/>
    <cellStyle name="쉼표 [0] 4 114" xfId="6129" xr:uid="{00000000-0005-0000-0000-000016190000}"/>
    <cellStyle name="쉼표 [0] 4 115" xfId="6130" xr:uid="{00000000-0005-0000-0000-000017190000}"/>
    <cellStyle name="쉼표 [0] 4 116" xfId="6131" xr:uid="{00000000-0005-0000-0000-000018190000}"/>
    <cellStyle name="쉼표 [0] 4 117" xfId="6132" xr:uid="{00000000-0005-0000-0000-000019190000}"/>
    <cellStyle name="쉼표 [0] 4 118" xfId="6133" xr:uid="{00000000-0005-0000-0000-00001A190000}"/>
    <cellStyle name="쉼표 [0] 4 119" xfId="6134" xr:uid="{00000000-0005-0000-0000-00001B190000}"/>
    <cellStyle name="쉼표 [0] 4 12" xfId="6135" xr:uid="{00000000-0005-0000-0000-00001C190000}"/>
    <cellStyle name="쉼표 [0] 4 120" xfId="6136" xr:uid="{00000000-0005-0000-0000-00001D190000}"/>
    <cellStyle name="쉼표 [0] 4 121" xfId="6137" xr:uid="{00000000-0005-0000-0000-00001E190000}"/>
    <cellStyle name="쉼표 [0] 4 122" xfId="6138" xr:uid="{00000000-0005-0000-0000-00001F190000}"/>
    <cellStyle name="쉼표 [0] 4 123" xfId="6139" xr:uid="{00000000-0005-0000-0000-000020190000}"/>
    <cellStyle name="쉼표 [0] 4 124" xfId="6140" xr:uid="{00000000-0005-0000-0000-000021190000}"/>
    <cellStyle name="쉼표 [0] 4 125" xfId="6141" xr:uid="{00000000-0005-0000-0000-000022190000}"/>
    <cellStyle name="쉼표 [0] 4 126" xfId="6142" xr:uid="{00000000-0005-0000-0000-000023190000}"/>
    <cellStyle name="쉼표 [0] 4 127" xfId="6143" xr:uid="{00000000-0005-0000-0000-000024190000}"/>
    <cellStyle name="쉼표 [0] 4 128" xfId="6144" xr:uid="{00000000-0005-0000-0000-000025190000}"/>
    <cellStyle name="쉼표 [0] 4 129" xfId="6145" xr:uid="{00000000-0005-0000-0000-000026190000}"/>
    <cellStyle name="쉼표 [0] 4 13" xfId="6146" xr:uid="{00000000-0005-0000-0000-000027190000}"/>
    <cellStyle name="쉼표 [0] 4 130" xfId="6147" xr:uid="{00000000-0005-0000-0000-000028190000}"/>
    <cellStyle name="쉼표 [0] 4 131" xfId="6148" xr:uid="{00000000-0005-0000-0000-000029190000}"/>
    <cellStyle name="쉼표 [0] 4 132" xfId="6149" xr:uid="{00000000-0005-0000-0000-00002A190000}"/>
    <cellStyle name="쉼표 [0] 4 133" xfId="6150" xr:uid="{00000000-0005-0000-0000-00002B190000}"/>
    <cellStyle name="쉼표 [0] 4 134" xfId="6151" xr:uid="{00000000-0005-0000-0000-00002C190000}"/>
    <cellStyle name="쉼표 [0] 4 135" xfId="6152" xr:uid="{00000000-0005-0000-0000-00002D190000}"/>
    <cellStyle name="쉼표 [0] 4 136" xfId="6153" xr:uid="{00000000-0005-0000-0000-00002E190000}"/>
    <cellStyle name="쉼표 [0] 4 14" xfId="6154" xr:uid="{00000000-0005-0000-0000-00002F190000}"/>
    <cellStyle name="쉼표 [0] 4 15" xfId="6155" xr:uid="{00000000-0005-0000-0000-000030190000}"/>
    <cellStyle name="쉼표 [0] 4 16" xfId="6156" xr:uid="{00000000-0005-0000-0000-000031190000}"/>
    <cellStyle name="쉼표 [0] 4 17" xfId="6157" xr:uid="{00000000-0005-0000-0000-000032190000}"/>
    <cellStyle name="쉼표 [0] 4 18" xfId="6158" xr:uid="{00000000-0005-0000-0000-000033190000}"/>
    <cellStyle name="쉼표 [0] 4 19" xfId="6159" xr:uid="{00000000-0005-0000-0000-000034190000}"/>
    <cellStyle name="쉼표 [0] 4 2" xfId="6160" xr:uid="{00000000-0005-0000-0000-000035190000}"/>
    <cellStyle name="쉼표 [0] 4 20" xfId="6161" xr:uid="{00000000-0005-0000-0000-000036190000}"/>
    <cellStyle name="쉼표 [0] 4 21" xfId="6162" xr:uid="{00000000-0005-0000-0000-000037190000}"/>
    <cellStyle name="쉼표 [0] 4 22" xfId="6163" xr:uid="{00000000-0005-0000-0000-000038190000}"/>
    <cellStyle name="쉼표 [0] 4 23" xfId="6164" xr:uid="{00000000-0005-0000-0000-000039190000}"/>
    <cellStyle name="쉼표 [0] 4 24" xfId="6165" xr:uid="{00000000-0005-0000-0000-00003A190000}"/>
    <cellStyle name="쉼표 [0] 4 25" xfId="6166" xr:uid="{00000000-0005-0000-0000-00003B190000}"/>
    <cellStyle name="쉼표 [0] 4 26" xfId="6167" xr:uid="{00000000-0005-0000-0000-00003C190000}"/>
    <cellStyle name="쉼표 [0] 4 27" xfId="6168" xr:uid="{00000000-0005-0000-0000-00003D190000}"/>
    <cellStyle name="쉼표 [0] 4 28" xfId="6169" xr:uid="{00000000-0005-0000-0000-00003E190000}"/>
    <cellStyle name="쉼표 [0] 4 29" xfId="6170" xr:uid="{00000000-0005-0000-0000-00003F190000}"/>
    <cellStyle name="쉼표 [0] 4 3" xfId="6171" xr:uid="{00000000-0005-0000-0000-000040190000}"/>
    <cellStyle name="쉼표 [0] 4 30" xfId="6172" xr:uid="{00000000-0005-0000-0000-000041190000}"/>
    <cellStyle name="쉼표 [0] 4 31" xfId="6173" xr:uid="{00000000-0005-0000-0000-000042190000}"/>
    <cellStyle name="쉼표 [0] 4 32" xfId="6174" xr:uid="{00000000-0005-0000-0000-000043190000}"/>
    <cellStyle name="쉼표 [0] 4 33" xfId="6175" xr:uid="{00000000-0005-0000-0000-000044190000}"/>
    <cellStyle name="쉼표 [0] 4 34" xfId="6176" xr:uid="{00000000-0005-0000-0000-000045190000}"/>
    <cellStyle name="쉼표 [0] 4 35" xfId="6177" xr:uid="{00000000-0005-0000-0000-000046190000}"/>
    <cellStyle name="쉼표 [0] 4 36" xfId="6178" xr:uid="{00000000-0005-0000-0000-000047190000}"/>
    <cellStyle name="쉼표 [0] 4 37" xfId="6179" xr:uid="{00000000-0005-0000-0000-000048190000}"/>
    <cellStyle name="쉼표 [0] 4 38" xfId="6180" xr:uid="{00000000-0005-0000-0000-000049190000}"/>
    <cellStyle name="쉼표 [0] 4 39" xfId="6181" xr:uid="{00000000-0005-0000-0000-00004A190000}"/>
    <cellStyle name="쉼표 [0] 4 4" xfId="6182" xr:uid="{00000000-0005-0000-0000-00004B190000}"/>
    <cellStyle name="쉼표 [0] 4 40" xfId="6183" xr:uid="{00000000-0005-0000-0000-00004C190000}"/>
    <cellStyle name="쉼표 [0] 4 41" xfId="6184" xr:uid="{00000000-0005-0000-0000-00004D190000}"/>
    <cellStyle name="쉼표 [0] 4 42" xfId="6185" xr:uid="{00000000-0005-0000-0000-00004E190000}"/>
    <cellStyle name="쉼표 [0] 4 43" xfId="6186" xr:uid="{00000000-0005-0000-0000-00004F190000}"/>
    <cellStyle name="쉼표 [0] 4 44" xfId="6187" xr:uid="{00000000-0005-0000-0000-000050190000}"/>
    <cellStyle name="쉼표 [0] 4 45" xfId="6188" xr:uid="{00000000-0005-0000-0000-000051190000}"/>
    <cellStyle name="쉼표 [0] 4 46" xfId="6189" xr:uid="{00000000-0005-0000-0000-000052190000}"/>
    <cellStyle name="쉼표 [0] 4 47" xfId="6190" xr:uid="{00000000-0005-0000-0000-000053190000}"/>
    <cellStyle name="쉼표 [0] 4 48" xfId="6191" xr:uid="{00000000-0005-0000-0000-000054190000}"/>
    <cellStyle name="쉼표 [0] 4 49" xfId="6192" xr:uid="{00000000-0005-0000-0000-000055190000}"/>
    <cellStyle name="쉼표 [0] 4 5" xfId="6193" xr:uid="{00000000-0005-0000-0000-000056190000}"/>
    <cellStyle name="쉼표 [0] 4 50" xfId="6194" xr:uid="{00000000-0005-0000-0000-000057190000}"/>
    <cellStyle name="쉼표 [0] 4 51" xfId="6195" xr:uid="{00000000-0005-0000-0000-000058190000}"/>
    <cellStyle name="쉼표 [0] 4 52" xfId="6196" xr:uid="{00000000-0005-0000-0000-000059190000}"/>
    <cellStyle name="쉼표 [0] 4 53" xfId="6197" xr:uid="{00000000-0005-0000-0000-00005A190000}"/>
    <cellStyle name="쉼표 [0] 4 54" xfId="6198" xr:uid="{00000000-0005-0000-0000-00005B190000}"/>
    <cellStyle name="쉼표 [0] 4 55" xfId="6199" xr:uid="{00000000-0005-0000-0000-00005C190000}"/>
    <cellStyle name="쉼표 [0] 4 56" xfId="6200" xr:uid="{00000000-0005-0000-0000-00005D190000}"/>
    <cellStyle name="쉼표 [0] 4 57" xfId="6201" xr:uid="{00000000-0005-0000-0000-00005E190000}"/>
    <cellStyle name="쉼표 [0] 4 58" xfId="6202" xr:uid="{00000000-0005-0000-0000-00005F190000}"/>
    <cellStyle name="쉼표 [0] 4 59" xfId="6203" xr:uid="{00000000-0005-0000-0000-000060190000}"/>
    <cellStyle name="쉼표 [0] 4 6" xfId="6204" xr:uid="{00000000-0005-0000-0000-000061190000}"/>
    <cellStyle name="쉼표 [0] 4 60" xfId="6205" xr:uid="{00000000-0005-0000-0000-000062190000}"/>
    <cellStyle name="쉼표 [0] 4 61" xfId="6206" xr:uid="{00000000-0005-0000-0000-000063190000}"/>
    <cellStyle name="쉼표 [0] 4 62" xfId="6207" xr:uid="{00000000-0005-0000-0000-000064190000}"/>
    <cellStyle name="쉼표 [0] 4 63" xfId="6208" xr:uid="{00000000-0005-0000-0000-000065190000}"/>
    <cellStyle name="쉼표 [0] 4 64" xfId="6209" xr:uid="{00000000-0005-0000-0000-000066190000}"/>
    <cellStyle name="쉼표 [0] 4 65" xfId="6210" xr:uid="{00000000-0005-0000-0000-000067190000}"/>
    <cellStyle name="쉼표 [0] 4 66" xfId="6211" xr:uid="{00000000-0005-0000-0000-000068190000}"/>
    <cellStyle name="쉼표 [0] 4 67" xfId="6212" xr:uid="{00000000-0005-0000-0000-000069190000}"/>
    <cellStyle name="쉼표 [0] 4 68" xfId="6213" xr:uid="{00000000-0005-0000-0000-00006A190000}"/>
    <cellStyle name="쉼표 [0] 4 69" xfId="6214" xr:uid="{00000000-0005-0000-0000-00006B190000}"/>
    <cellStyle name="쉼표 [0] 4 7" xfId="6215" xr:uid="{00000000-0005-0000-0000-00006C190000}"/>
    <cellStyle name="쉼표 [0] 4 70" xfId="6216" xr:uid="{00000000-0005-0000-0000-00006D190000}"/>
    <cellStyle name="쉼표 [0] 4 71" xfId="6217" xr:uid="{00000000-0005-0000-0000-00006E190000}"/>
    <cellStyle name="쉼표 [0] 4 72" xfId="6218" xr:uid="{00000000-0005-0000-0000-00006F190000}"/>
    <cellStyle name="쉼표 [0] 4 73" xfId="6219" xr:uid="{00000000-0005-0000-0000-000070190000}"/>
    <cellStyle name="쉼표 [0] 4 74" xfId="6220" xr:uid="{00000000-0005-0000-0000-000071190000}"/>
    <cellStyle name="쉼표 [0] 4 75" xfId="6221" xr:uid="{00000000-0005-0000-0000-000072190000}"/>
    <cellStyle name="쉼표 [0] 4 76" xfId="6222" xr:uid="{00000000-0005-0000-0000-000073190000}"/>
    <cellStyle name="쉼표 [0] 4 77" xfId="6223" xr:uid="{00000000-0005-0000-0000-000074190000}"/>
    <cellStyle name="쉼표 [0] 4 78" xfId="6224" xr:uid="{00000000-0005-0000-0000-000075190000}"/>
    <cellStyle name="쉼표 [0] 4 79" xfId="6225" xr:uid="{00000000-0005-0000-0000-000076190000}"/>
    <cellStyle name="쉼표 [0] 4 8" xfId="6226" xr:uid="{00000000-0005-0000-0000-000077190000}"/>
    <cellStyle name="쉼표 [0] 4 80" xfId="6227" xr:uid="{00000000-0005-0000-0000-000078190000}"/>
    <cellStyle name="쉼표 [0] 4 81" xfId="6228" xr:uid="{00000000-0005-0000-0000-000079190000}"/>
    <cellStyle name="쉼표 [0] 4 82" xfId="6229" xr:uid="{00000000-0005-0000-0000-00007A190000}"/>
    <cellStyle name="쉼표 [0] 4 83" xfId="6230" xr:uid="{00000000-0005-0000-0000-00007B190000}"/>
    <cellStyle name="쉼표 [0] 4 84" xfId="6231" xr:uid="{00000000-0005-0000-0000-00007C190000}"/>
    <cellStyle name="쉼표 [0] 4 85" xfId="6232" xr:uid="{00000000-0005-0000-0000-00007D190000}"/>
    <cellStyle name="쉼표 [0] 4 86" xfId="6233" xr:uid="{00000000-0005-0000-0000-00007E190000}"/>
    <cellStyle name="쉼표 [0] 4 87" xfId="6234" xr:uid="{00000000-0005-0000-0000-00007F190000}"/>
    <cellStyle name="쉼표 [0] 4 88" xfId="6235" xr:uid="{00000000-0005-0000-0000-000080190000}"/>
    <cellStyle name="쉼표 [0] 4 89" xfId="6236" xr:uid="{00000000-0005-0000-0000-000081190000}"/>
    <cellStyle name="쉼표 [0] 4 9" xfId="6237" xr:uid="{00000000-0005-0000-0000-000082190000}"/>
    <cellStyle name="쉼표 [0] 4 90" xfId="6238" xr:uid="{00000000-0005-0000-0000-000083190000}"/>
    <cellStyle name="쉼표 [0] 4 91" xfId="6239" xr:uid="{00000000-0005-0000-0000-000084190000}"/>
    <cellStyle name="쉼표 [0] 4 92" xfId="6240" xr:uid="{00000000-0005-0000-0000-000085190000}"/>
    <cellStyle name="쉼표 [0] 4 93" xfId="6241" xr:uid="{00000000-0005-0000-0000-000086190000}"/>
    <cellStyle name="쉼표 [0] 4 94" xfId="6242" xr:uid="{00000000-0005-0000-0000-000087190000}"/>
    <cellStyle name="쉼표 [0] 4 95" xfId="6243" xr:uid="{00000000-0005-0000-0000-000088190000}"/>
    <cellStyle name="쉼표 [0] 4 96" xfId="6244" xr:uid="{00000000-0005-0000-0000-000089190000}"/>
    <cellStyle name="쉼표 [0] 4 97" xfId="6245" xr:uid="{00000000-0005-0000-0000-00008A190000}"/>
    <cellStyle name="쉼표 [0] 4 98" xfId="6246" xr:uid="{00000000-0005-0000-0000-00008B190000}"/>
    <cellStyle name="쉼표 [0] 4 99" xfId="6247" xr:uid="{00000000-0005-0000-0000-00008C190000}"/>
    <cellStyle name="쉼표 [0] 40" xfId="6248" xr:uid="{00000000-0005-0000-0000-00008D190000}"/>
    <cellStyle name="쉼표 [0] 41" xfId="6249" xr:uid="{00000000-0005-0000-0000-00008E190000}"/>
    <cellStyle name="쉼표 [0] 42" xfId="6250" xr:uid="{00000000-0005-0000-0000-00008F190000}"/>
    <cellStyle name="쉼표 [0] 43" xfId="6251" xr:uid="{00000000-0005-0000-0000-000090190000}"/>
    <cellStyle name="쉼표 [0] 44" xfId="6252" xr:uid="{00000000-0005-0000-0000-000091190000}"/>
    <cellStyle name="쉼표 [0] 45" xfId="6253" xr:uid="{00000000-0005-0000-0000-000092190000}"/>
    <cellStyle name="쉼표 [0] 46" xfId="6254" xr:uid="{00000000-0005-0000-0000-000093190000}"/>
    <cellStyle name="쉼표 [0] 47" xfId="6255" xr:uid="{00000000-0005-0000-0000-000094190000}"/>
    <cellStyle name="쉼표 [0] 48" xfId="6256" xr:uid="{00000000-0005-0000-0000-000095190000}"/>
    <cellStyle name="쉼표 [0] 49" xfId="6257" xr:uid="{00000000-0005-0000-0000-000096190000}"/>
    <cellStyle name="쉼표 [0] 5" xfId="4454" xr:uid="{00000000-0005-0000-0000-000097190000}"/>
    <cellStyle name="쉼표 [0] 50" xfId="6258" xr:uid="{00000000-0005-0000-0000-000098190000}"/>
    <cellStyle name="쉼표 [0] 51" xfId="6259" xr:uid="{00000000-0005-0000-0000-000099190000}"/>
    <cellStyle name="쉼표 [0] 52" xfId="6260" xr:uid="{00000000-0005-0000-0000-00009A190000}"/>
    <cellStyle name="쉼표 [0] 53" xfId="6261" xr:uid="{00000000-0005-0000-0000-00009B190000}"/>
    <cellStyle name="쉼표 [0] 54" xfId="6262" xr:uid="{00000000-0005-0000-0000-00009C190000}"/>
    <cellStyle name="쉼표 [0] 55" xfId="6263" xr:uid="{00000000-0005-0000-0000-00009D190000}"/>
    <cellStyle name="쉼표 [0] 56" xfId="6264" xr:uid="{00000000-0005-0000-0000-00009E190000}"/>
    <cellStyle name="쉼표 [0] 57" xfId="6265" xr:uid="{00000000-0005-0000-0000-00009F190000}"/>
    <cellStyle name="쉼표 [0] 58" xfId="6266" xr:uid="{00000000-0005-0000-0000-0000A0190000}"/>
    <cellStyle name="쉼표 [0] 59" xfId="6267" xr:uid="{00000000-0005-0000-0000-0000A1190000}"/>
    <cellStyle name="쉼표 [0] 6" xfId="4455" xr:uid="{00000000-0005-0000-0000-0000A2190000}"/>
    <cellStyle name="쉼표 [0] 6 2" xfId="6268" xr:uid="{00000000-0005-0000-0000-0000A3190000}"/>
    <cellStyle name="쉼표 [0] 60" xfId="6269" xr:uid="{00000000-0005-0000-0000-0000A4190000}"/>
    <cellStyle name="쉼표 [0] 61" xfId="6270" xr:uid="{00000000-0005-0000-0000-0000A5190000}"/>
    <cellStyle name="쉼표 [0] 62" xfId="6271" xr:uid="{00000000-0005-0000-0000-0000A6190000}"/>
    <cellStyle name="쉼표 [0] 63" xfId="6272" xr:uid="{00000000-0005-0000-0000-0000A7190000}"/>
    <cellStyle name="쉼표 [0] 64" xfId="6273" xr:uid="{00000000-0005-0000-0000-0000A8190000}"/>
    <cellStyle name="쉼표 [0] 65" xfId="6274" xr:uid="{00000000-0005-0000-0000-0000A9190000}"/>
    <cellStyle name="쉼표 [0] 66" xfId="6275" xr:uid="{00000000-0005-0000-0000-0000AA190000}"/>
    <cellStyle name="쉼표 [0] 67" xfId="6276" xr:uid="{00000000-0005-0000-0000-0000AB190000}"/>
    <cellStyle name="쉼표 [0] 68" xfId="6277" xr:uid="{00000000-0005-0000-0000-0000AC190000}"/>
    <cellStyle name="쉼표 [0] 69" xfId="6278" xr:uid="{00000000-0005-0000-0000-0000AD190000}"/>
    <cellStyle name="쉼표 [0] 7" xfId="4456" xr:uid="{00000000-0005-0000-0000-0000AE190000}"/>
    <cellStyle name="쉼표 [0] 70" xfId="6279" xr:uid="{00000000-0005-0000-0000-0000AF190000}"/>
    <cellStyle name="쉼표 [0] 71" xfId="6280" xr:uid="{00000000-0005-0000-0000-0000B0190000}"/>
    <cellStyle name="쉼표 [0] 72" xfId="6281" xr:uid="{00000000-0005-0000-0000-0000B1190000}"/>
    <cellStyle name="쉼표 [0] 73" xfId="6282" xr:uid="{00000000-0005-0000-0000-0000B2190000}"/>
    <cellStyle name="쉼표 [0] 74" xfId="6283" xr:uid="{00000000-0005-0000-0000-0000B3190000}"/>
    <cellStyle name="쉼표 [0] 75" xfId="6284" xr:uid="{00000000-0005-0000-0000-0000B4190000}"/>
    <cellStyle name="쉼표 [0] 76" xfId="6285" xr:uid="{00000000-0005-0000-0000-0000B5190000}"/>
    <cellStyle name="쉼표 [0] 77" xfId="6286" xr:uid="{00000000-0005-0000-0000-0000B6190000}"/>
    <cellStyle name="쉼표 [0] 78" xfId="6287" xr:uid="{00000000-0005-0000-0000-0000B7190000}"/>
    <cellStyle name="쉼표 [0] 79" xfId="6288" xr:uid="{00000000-0005-0000-0000-0000B8190000}"/>
    <cellStyle name="쉼표 [0] 8" xfId="4457" xr:uid="{00000000-0005-0000-0000-0000B9190000}"/>
    <cellStyle name="쉼표 [0] 80" xfId="6289" xr:uid="{00000000-0005-0000-0000-0000BA190000}"/>
    <cellStyle name="쉼표 [0] 81" xfId="6290" xr:uid="{00000000-0005-0000-0000-0000BB190000}"/>
    <cellStyle name="쉼표 [0] 82" xfId="6291" xr:uid="{00000000-0005-0000-0000-0000BC190000}"/>
    <cellStyle name="쉼표 [0] 83" xfId="6292" xr:uid="{00000000-0005-0000-0000-0000BD190000}"/>
    <cellStyle name="쉼표 [0] 84" xfId="6293" xr:uid="{00000000-0005-0000-0000-0000BE190000}"/>
    <cellStyle name="쉼표 [0] 85" xfId="6294" xr:uid="{00000000-0005-0000-0000-0000BF190000}"/>
    <cellStyle name="쉼표 [0] 86" xfId="6295" xr:uid="{00000000-0005-0000-0000-0000C0190000}"/>
    <cellStyle name="쉼표 [0] 87" xfId="6296" xr:uid="{00000000-0005-0000-0000-0000C1190000}"/>
    <cellStyle name="쉼표 [0] 88" xfId="6297" xr:uid="{00000000-0005-0000-0000-0000C2190000}"/>
    <cellStyle name="쉼표 [0] 89" xfId="6298" xr:uid="{00000000-0005-0000-0000-0000C3190000}"/>
    <cellStyle name="쉼표 [0] 9" xfId="4458" xr:uid="{00000000-0005-0000-0000-0000C4190000}"/>
    <cellStyle name="쉼표 [0] 9 2" xfId="4459" xr:uid="{00000000-0005-0000-0000-0000C5190000}"/>
    <cellStyle name="쉼표 [0] 90" xfId="6299" xr:uid="{00000000-0005-0000-0000-0000C6190000}"/>
    <cellStyle name="쉼표 [0] 91" xfId="6300" xr:uid="{00000000-0005-0000-0000-0000C7190000}"/>
    <cellStyle name="쉼표 [0] 92" xfId="6301" xr:uid="{00000000-0005-0000-0000-0000C8190000}"/>
    <cellStyle name="쉼표 [0] 93" xfId="6302" xr:uid="{00000000-0005-0000-0000-0000C9190000}"/>
    <cellStyle name="쉼표 [0] 94" xfId="6303" xr:uid="{00000000-0005-0000-0000-0000CA190000}"/>
    <cellStyle name="쉼표 [0] 95" xfId="6304" xr:uid="{00000000-0005-0000-0000-0000CB190000}"/>
    <cellStyle name="쉼표 [0] 96" xfId="6305" xr:uid="{00000000-0005-0000-0000-0000CC190000}"/>
    <cellStyle name="쉼표 [0] 97" xfId="6306" xr:uid="{00000000-0005-0000-0000-0000CD190000}"/>
    <cellStyle name="쉼표 [0] 98" xfId="6307" xr:uid="{00000000-0005-0000-0000-0000CE190000}"/>
    <cellStyle name="쉼표 [0] 99" xfId="6308" xr:uid="{00000000-0005-0000-0000-0000CF190000}"/>
    <cellStyle name="스타일 1" xfId="1655" xr:uid="{00000000-0005-0000-0000-0000D0190000}"/>
    <cellStyle name="스타일 10" xfId="4460" xr:uid="{00000000-0005-0000-0000-0000D1190000}"/>
    <cellStyle name="스타일 11" xfId="4461" xr:uid="{00000000-0005-0000-0000-0000D2190000}"/>
    <cellStyle name="스타일 12" xfId="4462" xr:uid="{00000000-0005-0000-0000-0000D3190000}"/>
    <cellStyle name="스타일 13" xfId="4463" xr:uid="{00000000-0005-0000-0000-0000D4190000}"/>
    <cellStyle name="스타일 14" xfId="4464" xr:uid="{00000000-0005-0000-0000-0000D5190000}"/>
    <cellStyle name="스타일 15" xfId="4465" xr:uid="{00000000-0005-0000-0000-0000D6190000}"/>
    <cellStyle name="스타일 16" xfId="4466" xr:uid="{00000000-0005-0000-0000-0000D7190000}"/>
    <cellStyle name="스타일 17" xfId="4467" xr:uid="{00000000-0005-0000-0000-0000D8190000}"/>
    <cellStyle name="스타일 18" xfId="4468" xr:uid="{00000000-0005-0000-0000-0000D9190000}"/>
    <cellStyle name="스타일 19" xfId="4469" xr:uid="{00000000-0005-0000-0000-0000DA190000}"/>
    <cellStyle name="스타일 2" xfId="1656" xr:uid="{00000000-0005-0000-0000-0000DB190000}"/>
    <cellStyle name="스타일 2 2" xfId="7350" xr:uid="{00000000-0005-0000-0000-0000DC190000}"/>
    <cellStyle name="스타일 20" xfId="4470" xr:uid="{00000000-0005-0000-0000-0000DD190000}"/>
    <cellStyle name="스타일 21" xfId="4471" xr:uid="{00000000-0005-0000-0000-0000DE190000}"/>
    <cellStyle name="스타일 22" xfId="4472" xr:uid="{00000000-0005-0000-0000-0000DF190000}"/>
    <cellStyle name="스타일 23" xfId="4473" xr:uid="{00000000-0005-0000-0000-0000E0190000}"/>
    <cellStyle name="스타일 24" xfId="4474" xr:uid="{00000000-0005-0000-0000-0000E1190000}"/>
    <cellStyle name="스타일 25" xfId="4475" xr:uid="{00000000-0005-0000-0000-0000E2190000}"/>
    <cellStyle name="스타일 26" xfId="4476" xr:uid="{00000000-0005-0000-0000-0000E3190000}"/>
    <cellStyle name="스타일 27" xfId="4477" xr:uid="{00000000-0005-0000-0000-0000E4190000}"/>
    <cellStyle name="스타일 28" xfId="7304" xr:uid="{00000000-0005-0000-0000-0000E5190000}"/>
    <cellStyle name="스타일 29" xfId="7305" xr:uid="{00000000-0005-0000-0000-0000E6190000}"/>
    <cellStyle name="스타일 3" xfId="1657" xr:uid="{00000000-0005-0000-0000-0000E7190000}"/>
    <cellStyle name="스타일 30" xfId="7306" xr:uid="{00000000-0005-0000-0000-0000E8190000}"/>
    <cellStyle name="스타일 31" xfId="7307" xr:uid="{00000000-0005-0000-0000-0000E9190000}"/>
    <cellStyle name="스타일 32" xfId="7308" xr:uid="{00000000-0005-0000-0000-0000EA190000}"/>
    <cellStyle name="스타일 33" xfId="7309" xr:uid="{00000000-0005-0000-0000-0000EB190000}"/>
    <cellStyle name="스타일 34" xfId="7310" xr:uid="{00000000-0005-0000-0000-0000EC190000}"/>
    <cellStyle name="스타일 35" xfId="7311" xr:uid="{00000000-0005-0000-0000-0000ED190000}"/>
    <cellStyle name="스타일 36" xfId="7312" xr:uid="{00000000-0005-0000-0000-0000EE190000}"/>
    <cellStyle name="스타일 37" xfId="7313" xr:uid="{00000000-0005-0000-0000-0000EF190000}"/>
    <cellStyle name="스타일 38" xfId="7314" xr:uid="{00000000-0005-0000-0000-0000F0190000}"/>
    <cellStyle name="스타일 39" xfId="7315" xr:uid="{00000000-0005-0000-0000-0000F1190000}"/>
    <cellStyle name="스타일 4" xfId="1658" xr:uid="{00000000-0005-0000-0000-0000F2190000}"/>
    <cellStyle name="스타일 40" xfId="7316" xr:uid="{00000000-0005-0000-0000-0000F3190000}"/>
    <cellStyle name="스타일 5" xfId="1659" xr:uid="{00000000-0005-0000-0000-0000F4190000}"/>
    <cellStyle name="스타일 6" xfId="1660" xr:uid="{00000000-0005-0000-0000-0000F5190000}"/>
    <cellStyle name="스타일 7" xfId="1661" xr:uid="{00000000-0005-0000-0000-0000F6190000}"/>
    <cellStyle name="스타일 8" xfId="4478" xr:uid="{00000000-0005-0000-0000-0000F7190000}"/>
    <cellStyle name="스타일 9" xfId="4479" xr:uid="{00000000-0005-0000-0000-0000F8190000}"/>
    <cellStyle name="안건회계법인" xfId="1662" xr:uid="{00000000-0005-0000-0000-0000F9190000}"/>
    <cellStyle name="연결된 셀" xfId="1663" builtinId="24" customBuiltin="1"/>
    <cellStyle name="연결된 셀 10" xfId="6309" xr:uid="{00000000-0005-0000-0000-0000FB190000}"/>
    <cellStyle name="연결된 셀 11" xfId="6310" xr:uid="{00000000-0005-0000-0000-0000FC190000}"/>
    <cellStyle name="연결된 셀 12" xfId="6311" xr:uid="{00000000-0005-0000-0000-0000FD190000}"/>
    <cellStyle name="연결된 셀 2" xfId="4480" xr:uid="{00000000-0005-0000-0000-0000FE190000}"/>
    <cellStyle name="연결된 셀 2 2" xfId="4481" xr:uid="{00000000-0005-0000-0000-0000FF190000}"/>
    <cellStyle name="연결된 셀 2 3" xfId="4482" xr:uid="{00000000-0005-0000-0000-0000001A0000}"/>
    <cellStyle name="연결된 셀 3" xfId="4483" xr:uid="{00000000-0005-0000-0000-0000011A0000}"/>
    <cellStyle name="연결된 셀 4" xfId="4484" xr:uid="{00000000-0005-0000-0000-0000021A0000}"/>
    <cellStyle name="연결된 셀 5" xfId="4485" xr:uid="{00000000-0005-0000-0000-0000031A0000}"/>
    <cellStyle name="연결된 셀 6" xfId="6312" xr:uid="{00000000-0005-0000-0000-0000041A0000}"/>
    <cellStyle name="연결된 셀 7" xfId="6313" xr:uid="{00000000-0005-0000-0000-0000051A0000}"/>
    <cellStyle name="연결된 셀 8" xfId="6314" xr:uid="{00000000-0005-0000-0000-0000061A0000}"/>
    <cellStyle name="연결된 셀 9" xfId="6315" xr:uid="{00000000-0005-0000-0000-0000071A0000}"/>
    <cellStyle name="열어본 하이퍼링크" xfId="7317" xr:uid="{00000000-0005-0000-0000-0000081A0000}"/>
    <cellStyle name="왼" xfId="1664" xr:uid="{00000000-0005-0000-0000-0000091A0000}"/>
    <cellStyle name="왼쪽2" xfId="1665" xr:uid="{00000000-0005-0000-0000-00000A1A0000}"/>
    <cellStyle name="왼쪽5" xfId="1666" xr:uid="{00000000-0005-0000-0000-00000B1A0000}"/>
    <cellStyle name="요약" xfId="1667" builtinId="25" customBuiltin="1"/>
    <cellStyle name="요약 10" xfId="6316" xr:uid="{00000000-0005-0000-0000-00000D1A0000}"/>
    <cellStyle name="요약 11" xfId="6317" xr:uid="{00000000-0005-0000-0000-00000E1A0000}"/>
    <cellStyle name="요약 12" xfId="6318" xr:uid="{00000000-0005-0000-0000-00000F1A0000}"/>
    <cellStyle name="요약 2" xfId="4486" xr:uid="{00000000-0005-0000-0000-0000101A0000}"/>
    <cellStyle name="요약 2 2" xfId="4487" xr:uid="{00000000-0005-0000-0000-0000111A0000}"/>
    <cellStyle name="요약 2 3" xfId="4488" xr:uid="{00000000-0005-0000-0000-0000121A0000}"/>
    <cellStyle name="요약 3" xfId="4489" xr:uid="{00000000-0005-0000-0000-0000131A0000}"/>
    <cellStyle name="요약 4" xfId="4490" xr:uid="{00000000-0005-0000-0000-0000141A0000}"/>
    <cellStyle name="요약 5" xfId="4491" xr:uid="{00000000-0005-0000-0000-0000151A0000}"/>
    <cellStyle name="요약 6" xfId="6319" xr:uid="{00000000-0005-0000-0000-0000161A0000}"/>
    <cellStyle name="요약 7" xfId="6320" xr:uid="{00000000-0005-0000-0000-0000171A0000}"/>
    <cellStyle name="요약 8" xfId="6321" xr:uid="{00000000-0005-0000-0000-0000181A0000}"/>
    <cellStyle name="요약 9" xfId="6322" xr:uid="{00000000-0005-0000-0000-0000191A0000}"/>
    <cellStyle name="우괄호_박심배수구조물공" xfId="1668" xr:uid="{00000000-0005-0000-0000-00001A1A0000}"/>
    <cellStyle name="우측양괄호" xfId="1669" xr:uid="{00000000-0005-0000-0000-00001B1A0000}"/>
    <cellStyle name="원" xfId="1670" xr:uid="{00000000-0005-0000-0000-00001C1A0000}"/>
    <cellStyle name="원_0008금감원통합감독검사정보시스템" xfId="1671" xr:uid="{00000000-0005-0000-0000-00001D1A0000}"/>
    <cellStyle name="원_0009김포공항LED교체공사(광일)" xfId="1672" xr:uid="{00000000-0005-0000-0000-00001E1A0000}"/>
    <cellStyle name="원_0011KIST소각설비제작설치" xfId="1675" xr:uid="{00000000-0005-0000-0000-00001F1A0000}"/>
    <cellStyle name="원_0011긴급전화기정산(99년형광일)" xfId="1673" xr:uid="{00000000-0005-0000-0000-0000201A0000}"/>
    <cellStyle name="원_0011부산종합경기장전광판" xfId="1674" xr:uid="{00000000-0005-0000-0000-0000211A0000}"/>
    <cellStyle name="원_0012문화유적지표석제작설치" xfId="1676" xr:uid="{00000000-0005-0000-0000-0000221A0000}"/>
    <cellStyle name="원_0102국제조명신공항분수조명" xfId="1677" xr:uid="{00000000-0005-0000-0000-0000231A0000}"/>
    <cellStyle name="원_0103회전식현수막게시대제작설치" xfId="1678" xr:uid="{00000000-0005-0000-0000-0000241A0000}"/>
    <cellStyle name="원_0104포항시침출수처리시스템" xfId="1679" xr:uid="{00000000-0005-0000-0000-0000251A0000}"/>
    <cellStyle name="원_0105담배자판기개조원가" xfId="1680" xr:uid="{00000000-0005-0000-0000-0000261A0000}"/>
    <cellStyle name="원_0106LG인버터냉난방기제작-1" xfId="1681" xr:uid="{00000000-0005-0000-0000-0000271A0000}"/>
    <cellStyle name="원_0107광전송장비구매설치" xfId="1682" xr:uid="{00000000-0005-0000-0000-0000281A0000}"/>
    <cellStyle name="원_0107도공IBS설비SW부문(참조)" xfId="1683" xr:uid="{00000000-0005-0000-0000-0000291A0000}"/>
    <cellStyle name="원_0107문화재복원용목재-8월6일" xfId="1684" xr:uid="{00000000-0005-0000-0000-00002A1A0000}"/>
    <cellStyle name="원_0107포천영중수배전반(제조,설치)" xfId="1685" xr:uid="{00000000-0005-0000-0000-00002B1A0000}"/>
    <cellStyle name="원_0108농기반미곡건조기제작설치" xfId="1686" xr:uid="{00000000-0005-0000-0000-00002C1A0000}"/>
    <cellStyle name="원_0108담배인삼공사영업춘추복" xfId="1687" xr:uid="{00000000-0005-0000-0000-00002D1A0000}"/>
    <cellStyle name="원_0108한국전기교통-LED교통신호등((원본))" xfId="1688" xr:uid="{00000000-0005-0000-0000-00002E1A0000}"/>
    <cellStyle name="원_0111해양수산부등명기제작" xfId="1689" xr:uid="{00000000-0005-0000-0000-00002F1A0000}"/>
    <cellStyle name="원_0111핸디소프트-전자표준문서시스템" xfId="1690" xr:uid="{00000000-0005-0000-0000-0000301A0000}"/>
    <cellStyle name="원_0112금감원사무자동화시스템" xfId="1691" xr:uid="{00000000-0005-0000-0000-0000311A0000}"/>
    <cellStyle name="원_0112수도권매립지SW원가" xfId="1692" xr:uid="{00000000-0005-0000-0000-0000321A0000}"/>
    <cellStyle name="원_0112중고원-HRD종합정보망구축(完)" xfId="1693" xr:uid="{00000000-0005-0000-0000-0000331A0000}"/>
    <cellStyle name="원_0201종합예술회관의자제작설치-1" xfId="1694" xr:uid="{00000000-0005-0000-0000-0000341A0000}"/>
    <cellStyle name="원_0202마사회근무복" xfId="1695" xr:uid="{00000000-0005-0000-0000-0000351A0000}"/>
    <cellStyle name="원_0202부경교재-승강칠판" xfId="1696" xr:uid="{00000000-0005-0000-0000-0000361A0000}"/>
    <cellStyle name="원_0204한국석묘납골함-1규격" xfId="1697" xr:uid="{00000000-0005-0000-0000-0000371A0000}"/>
    <cellStyle name="원_0206금감원금융정보교환망재구축" xfId="1698" xr:uid="{00000000-0005-0000-0000-0000381A0000}"/>
    <cellStyle name="원_0206정통부수납장표기기제작설치" xfId="1699" xr:uid="{00000000-0005-0000-0000-0000391A0000}"/>
    <cellStyle name="원_0207담배인삼공사-담요" xfId="1700" xr:uid="{00000000-0005-0000-0000-00003A1A0000}"/>
    <cellStyle name="원_0208레비텍-다층여과기설계변경" xfId="1701" xr:uid="{00000000-0005-0000-0000-00003B1A0000}"/>
    <cellStyle name="원_0209이산화염소발생기-설치(50K)" xfId="1702" xr:uid="{00000000-0005-0000-0000-00003C1A0000}"/>
    <cellStyle name="원_0210현대정보기술-TD이중계" xfId="1703" xr:uid="{00000000-0005-0000-0000-00003D1A0000}"/>
    <cellStyle name="원_0211조달청-#1대북지원사업정산(1월7일)" xfId="1704" xr:uid="{00000000-0005-0000-0000-00003E1A0000}"/>
    <cellStyle name="원_0212금감원-법규정보시스템(完)" xfId="1705" xr:uid="{00000000-0005-0000-0000-00003F1A0000}"/>
    <cellStyle name="원_0301교통방송-CCTV유지보수" xfId="1706" xr:uid="{00000000-0005-0000-0000-0000401A0000}"/>
    <cellStyle name="원_0302인천경찰청-무인단속기위탁관리" xfId="1707" xr:uid="{00000000-0005-0000-0000-0000411A0000}"/>
    <cellStyle name="원_0302조달청-대북지원2차(안성연)" xfId="1708" xr:uid="{00000000-0005-0000-0000-0000421A0000}"/>
    <cellStyle name="원_0302조달청-대북지원2차(최수현)" xfId="1709" xr:uid="{00000000-0005-0000-0000-0000431A0000}"/>
    <cellStyle name="원_0302표준문서-쌍용정보통신(신)" xfId="1710" xr:uid="{00000000-0005-0000-0000-0000441A0000}"/>
    <cellStyle name="원_0304소프트파워-정부표준전자문서시스템" xfId="1711" xr:uid="{00000000-0005-0000-0000-0000451A0000}"/>
    <cellStyle name="원_0304소프트파워-정부표준전자문서시스템(完)" xfId="1712" xr:uid="{00000000-0005-0000-0000-0000461A0000}"/>
    <cellStyle name="원_0304철도청-주변환장치-1" xfId="1713" xr:uid="{00000000-0005-0000-0000-0000471A0000}"/>
    <cellStyle name="원_0305금감원-금융통계정보시스템구축(完)" xfId="1714" xr:uid="{00000000-0005-0000-0000-0000481A0000}"/>
    <cellStyle name="원_0305제낭조합-면범포지" xfId="1715" xr:uid="{00000000-0005-0000-0000-0000491A0000}"/>
    <cellStyle name="원_0306제낭공업협동조합-면범포지원단(경비까지)" xfId="1716" xr:uid="{00000000-0005-0000-0000-00004A1A0000}"/>
    <cellStyle name="원_0307경찰청-무인교통단속표준SW개발용역(完)" xfId="1717" xr:uid="{00000000-0005-0000-0000-00004B1A0000}"/>
    <cellStyle name="원_0308조달청-#8대북지원사업정산" xfId="1718" xr:uid="{00000000-0005-0000-0000-00004C1A0000}"/>
    <cellStyle name="원_0309두합크린텍-설치원가" xfId="1719" xr:uid="{00000000-0005-0000-0000-00004D1A0000}"/>
    <cellStyle name="원_0309조달청-#9대북지원사업정산" xfId="1720" xr:uid="{00000000-0005-0000-0000-00004E1A0000}"/>
    <cellStyle name="원_0310여주상수도-탈수기(유천ENG)" xfId="1721" xr:uid="{00000000-0005-0000-0000-00004F1A0000}"/>
    <cellStyle name="원_0311대기해양작업시간" xfId="1722" xr:uid="{00000000-0005-0000-0000-0000501A0000}"/>
    <cellStyle name="원_0311대기해양중형등명기" xfId="1723" xr:uid="{00000000-0005-0000-0000-0000511A0000}"/>
    <cellStyle name="원_0312국민체육진흥공단-전기부문" xfId="1724" xr:uid="{00000000-0005-0000-0000-0000521A0000}"/>
    <cellStyle name="원_0312대기해양-중형등명기제작설치" xfId="1725" xr:uid="{00000000-0005-0000-0000-0000531A0000}"/>
    <cellStyle name="원_0312라이준-칼라아스콘4규격" xfId="1726" xr:uid="{00000000-0005-0000-0000-0000541A0000}"/>
    <cellStyle name="원_0401집진기프로그램SW개발비산정" xfId="1727" xr:uid="{00000000-0005-0000-0000-0000551A0000}"/>
    <cellStyle name="원_2001-06조달청신성-한냉지형" xfId="1728" xr:uid="{00000000-0005-0000-0000-0000561A0000}"/>
    <cellStyle name="원_2001년 9월" xfId="4492" xr:uid="{00000000-0005-0000-0000-0000571A0000}"/>
    <cellStyle name="원_2001년 9월 일위" xfId="4493" xr:uid="{00000000-0005-0000-0000-0000581A0000}"/>
    <cellStyle name="원_2001년7월내역" xfId="4494" xr:uid="{00000000-0005-0000-0000-0000591A0000}"/>
    <cellStyle name="원_2001년8월내역" xfId="4495" xr:uid="{00000000-0005-0000-0000-00005A1A0000}"/>
    <cellStyle name="원_2002-03경찰대학-졸업식" xfId="1729" xr:uid="{00000000-0005-0000-0000-00005B1A0000}"/>
    <cellStyle name="원_2002-03경찰청-경찰표지장" xfId="1730" xr:uid="{00000000-0005-0000-0000-00005C1A0000}"/>
    <cellStyle name="원_2002-03반디-가로등(열주형)" xfId="1731" xr:uid="{00000000-0005-0000-0000-00005D1A0000}"/>
    <cellStyle name="원_2002-03신화전자-감지기" xfId="1732" xr:uid="{00000000-0005-0000-0000-00005E1A0000}"/>
    <cellStyle name="원_2002-04강원랜드-슬러트머신" xfId="1733" xr:uid="{00000000-0005-0000-0000-00005F1A0000}"/>
    <cellStyle name="원_2002-04메가컴-외주무대" xfId="1734" xr:uid="{00000000-0005-0000-0000-0000601A0000}"/>
    <cellStyle name="원_2002-04엘지애드-무대" xfId="1735" xr:uid="{00000000-0005-0000-0000-0000611A0000}"/>
    <cellStyle name="원_2002-05강원랜드-슬러트머신(넥스터)" xfId="1736" xr:uid="{00000000-0005-0000-0000-0000621A0000}"/>
    <cellStyle name="원_2002-05경기경찰청-냉온수기공사" xfId="1737" xr:uid="{00000000-0005-0000-0000-0000631A0000}"/>
    <cellStyle name="원_2002-05대통령비서실-카페트" xfId="1738" xr:uid="{00000000-0005-0000-0000-0000641A0000}"/>
    <cellStyle name="원_2002결과표" xfId="1739" xr:uid="{00000000-0005-0000-0000-0000651A0000}"/>
    <cellStyle name="원_2002결과표1" xfId="1740" xr:uid="{00000000-0005-0000-0000-0000661A0000}"/>
    <cellStyle name="원_2002년 설치" xfId="4496" xr:uid="{00000000-0005-0000-0000-0000671A0000}"/>
    <cellStyle name="원_2002년 합판거푸집" xfId="4497" xr:uid="{00000000-0005-0000-0000-0000681A0000}"/>
    <cellStyle name="원_2003-01정일사-표창5종" xfId="1741" xr:uid="{00000000-0005-0000-0000-0000691A0000}"/>
    <cellStyle name="원_2004년완성공사원가경비율(변경최종))" xfId="1742" xr:uid="{00000000-0005-0000-0000-00006A1A0000}"/>
    <cellStyle name="원_2004년완성공사원가경비율(조달청미적용)1" xfId="1743" xr:uid="{00000000-0005-0000-0000-00006B1A0000}"/>
    <cellStyle name="원_2005120344000-1" xfId="7318" xr:uid="{00000000-0005-0000-0000-00006C1A0000}"/>
    <cellStyle name="원_5월부산마사회발주기제작1" xfId="1744" xr:uid="{00000000-0005-0000-0000-00006D1A0000}"/>
    <cellStyle name="원_8.전기접지 수량및단가(부산청)" xfId="7319" xr:uid="{00000000-0005-0000-0000-00006E1A0000}"/>
    <cellStyle name="원_B수량산출서(오창-진천)" xfId="7320" xr:uid="{00000000-0005-0000-0000-00006F1A0000}"/>
    <cellStyle name="원_B수량산출서(최종분-전체분)" xfId="7321" xr:uid="{00000000-0005-0000-0000-0000701A0000}"/>
    <cellStyle name="원_NEGS" xfId="4498" xr:uid="{00000000-0005-0000-0000-0000711A0000}"/>
    <cellStyle name="원_Pilot플랜트-계변경" xfId="1795" xr:uid="{00000000-0005-0000-0000-0000721A0000}"/>
    <cellStyle name="원_Pilot플랜트이전설치-변경최종" xfId="1796" xr:uid="{00000000-0005-0000-0000-0000731A0000}"/>
    <cellStyle name="원_SW(케이비)" xfId="1797" xr:uid="{00000000-0005-0000-0000-0000741A0000}"/>
    <cellStyle name="원_TDW제작시방" xfId="4499" xr:uid="{00000000-0005-0000-0000-0000751A0000}"/>
    <cellStyle name="원_TDW제작시방(2002,05,27)" xfId="4500" xr:uid="{00000000-0005-0000-0000-0000761A0000}"/>
    <cellStyle name="원_VDS 수량 및 단가산출서" xfId="7322" xr:uid="{00000000-0005-0000-0000-0000771A0000}"/>
    <cellStyle name="원_간지,목차,페이지,표지" xfId="1745" xr:uid="{00000000-0005-0000-0000-0000781A0000}"/>
    <cellStyle name="원_간지,목차,페이지,표지(원가별)" xfId="1746" xr:uid="{00000000-0005-0000-0000-0000791A0000}"/>
    <cellStyle name="원_감곡문화011128진입가로등케이블삭제한전납입금전부삭제" xfId="7323" xr:uid="{00000000-0005-0000-0000-00007A1A0000}"/>
    <cellStyle name="원_갑지" xfId="4501" xr:uid="{00000000-0005-0000-0000-00007B1A0000}"/>
    <cellStyle name="원_갑지양식" xfId="4502" xr:uid="{00000000-0005-0000-0000-00007C1A0000}"/>
    <cellStyle name="원_개거재료계산" xfId="4503" xr:uid="{00000000-0005-0000-0000-00007D1A0000}"/>
    <cellStyle name="원_경찰청-근무,기동복" xfId="1747" xr:uid="{00000000-0005-0000-0000-00007E1A0000}"/>
    <cellStyle name="원_공사비2001-06" xfId="4504" xr:uid="{00000000-0005-0000-0000-00007F1A0000}"/>
    <cellStyle name="원_공사비2001-07" xfId="4505" xr:uid="{00000000-0005-0000-0000-0000801A0000}"/>
    <cellStyle name="원_공사일반관리비양식" xfId="1748" xr:uid="{00000000-0005-0000-0000-0000811A0000}"/>
    <cellStyle name="원_교통신호견적서-삼일공영(주)" xfId="1749" xr:uid="{00000000-0005-0000-0000-0000821A0000}"/>
    <cellStyle name="원_금호2양수0101" xfId="7324" xr:uid="{00000000-0005-0000-0000-0000831A0000}"/>
    <cellStyle name="원_기초공사" xfId="1750" xr:uid="{00000000-0005-0000-0000-0000841A0000}"/>
    <cellStyle name="원_남광TS-60B(둔기교)" xfId="4506" xr:uid="{00000000-0005-0000-0000-0000851A0000}"/>
    <cellStyle name="원_내역서" xfId="4507" xr:uid="{00000000-0005-0000-0000-0000861A0000}"/>
    <cellStyle name="원_내역서_0525" xfId="4508" xr:uid="{00000000-0005-0000-0000-0000871A0000}"/>
    <cellStyle name="원_내역표지" xfId="4509" xr:uid="{00000000-0005-0000-0000-0000881A0000}"/>
    <cellStyle name="원_냉정지구한해대책보완계획 1차 " xfId="4510" xr:uid="{00000000-0005-0000-0000-0000891A0000}"/>
    <cellStyle name="원_냉정지구한해대책보완계획 1차(전기)" xfId="4511" xr:uid="{00000000-0005-0000-0000-00008A1A0000}"/>
    <cellStyle name="원_네인텍정보기술-회로카드(수현)" xfId="1751" xr:uid="{00000000-0005-0000-0000-00008B1A0000}"/>
    <cellStyle name="원_노임단가" xfId="4512" xr:uid="{00000000-0005-0000-0000-00008C1A0000}"/>
    <cellStyle name="원_대기해양노무비" xfId="1752" xr:uid="{00000000-0005-0000-0000-00008D1A0000}"/>
    <cellStyle name="원_대북자재8월분" xfId="1753" xr:uid="{00000000-0005-0000-0000-00008E1A0000}"/>
    <cellStyle name="원_대북자재8월분-1" xfId="1754" xr:uid="{00000000-0005-0000-0000-00008F1A0000}"/>
    <cellStyle name="원_도로구조물수정" xfId="4513" xr:uid="{00000000-0005-0000-0000-0000901A0000}"/>
    <cellStyle name="원_동산용사촌수현(원본)" xfId="1755" xr:uid="{00000000-0005-0000-0000-0000911A0000}"/>
    <cellStyle name="원_명금지구 기계내역 보완(유압식2002,10,2)" xfId="4514" xr:uid="{00000000-0005-0000-0000-0000921A0000}"/>
    <cellStyle name="원_방화실010310" xfId="7325" xr:uid="{00000000-0005-0000-0000-0000931A0000}"/>
    <cellStyle name="원_배수로덮개재료집계" xfId="4515" xr:uid="{00000000-0005-0000-0000-0000941A0000}"/>
    <cellStyle name="원_백제군사전시1" xfId="1756" xr:uid="{00000000-0005-0000-0000-0000951A0000}"/>
    <cellStyle name="원_보성회령제사통-변경1" xfId="4516" xr:uid="{00000000-0005-0000-0000-0000961A0000}"/>
    <cellStyle name="원_산출내역(작업3)" xfId="1757" xr:uid="{00000000-0005-0000-0000-0000971A0000}"/>
    <cellStyle name="원_설치위치별세부내역(VMS)-0323" xfId="1758" xr:uid="{00000000-0005-0000-0000-0000981A0000}"/>
    <cellStyle name="원_설치위치별세부내역_AVI_1(new)" xfId="4517" xr:uid="{00000000-0005-0000-0000-0000991A0000}"/>
    <cellStyle name="원_세풍승인" xfId="4518" xr:uid="{00000000-0005-0000-0000-00009A1A0000}"/>
    <cellStyle name="원_수량산출서" xfId="4519" xr:uid="{00000000-0005-0000-0000-00009B1A0000}"/>
    <cellStyle name="원_수령도로측구덮개재료집계" xfId="4520" xr:uid="{00000000-0005-0000-0000-00009C1A0000}"/>
    <cellStyle name="원_수초제거기(대양기계)" xfId="1759" xr:uid="{00000000-0005-0000-0000-00009D1A0000}"/>
    <cellStyle name="원_순천구룡" xfId="4521" xr:uid="{00000000-0005-0000-0000-00009E1A0000}"/>
    <cellStyle name="원_순천지부구룡해룡" xfId="4522" xr:uid="{00000000-0005-0000-0000-00009F1A0000}"/>
    <cellStyle name="원_시방서" xfId="4523" xr:uid="{00000000-0005-0000-0000-0000A01A0000}"/>
    <cellStyle name="원_시설용역" xfId="1760" xr:uid="{00000000-0005-0000-0000-0000A11A0000}"/>
    <cellStyle name="원_신호등실정보고(2006,07)수정" xfId="1761" xr:uid="{00000000-0005-0000-0000-0000A21A0000}"/>
    <cellStyle name="원_신화BS" xfId="1762" xr:uid="{00000000-0005-0000-0000-0000A31A0000}"/>
    <cellStyle name="원_쓰레기 불법투기  단속시스템(CCTV) 구매설치 설계내역서" xfId="4524" xr:uid="{00000000-0005-0000-0000-0000A41A0000}"/>
    <cellStyle name="원_암전정밀실체현미경(수현)" xfId="1763" xr:uid="{00000000-0005-0000-0000-0000A51A0000}"/>
    <cellStyle name="원_역T형옹벽" xfId="4525" xr:uid="{00000000-0005-0000-0000-0000A61A0000}"/>
    <cellStyle name="원_영산천 하수처리장 시설공사" xfId="1764" xr:uid="{00000000-0005-0000-0000-0000A71A0000}"/>
    <cellStyle name="원_오리엔탈" xfId="1765" xr:uid="{00000000-0005-0000-0000-0000A81A0000}"/>
    <cellStyle name="원_옥동양수0101" xfId="7326" xr:uid="{00000000-0005-0000-0000-0000A91A0000}"/>
    <cellStyle name="원_울산진장(작업2)" xfId="1766" xr:uid="{00000000-0005-0000-0000-0000AA1A0000}"/>
    <cellStyle name="원_원본 - 한국전기교통-개선형신호등 4종" xfId="1767" xr:uid="{00000000-0005-0000-0000-0000AB1A0000}"/>
    <cellStyle name="원_인흥공사비(수지예산서)" xfId="1768" xr:uid="{00000000-0005-0000-0000-0000AC1A0000}"/>
    <cellStyle name="원_일위대가(11월20일)" xfId="4526" xr:uid="{00000000-0005-0000-0000-0000AD1A0000}"/>
    <cellStyle name="원_일체식(STS304)" xfId="4527" xr:uid="{00000000-0005-0000-0000-0000AE1A0000}"/>
    <cellStyle name="원_재료계산서(냉정)" xfId="4528" xr:uid="{00000000-0005-0000-0000-0000AF1A0000}"/>
    <cellStyle name="원_재료비" xfId="1769" xr:uid="{00000000-0005-0000-0000-0000B01A0000}"/>
    <cellStyle name="원_재오개양수" xfId="7327" xr:uid="{00000000-0005-0000-0000-0000B11A0000}"/>
    <cellStyle name="원_전기단가산출서" xfId="4529" xr:uid="{00000000-0005-0000-0000-0000B21A0000}"/>
    <cellStyle name="원_전기및접지 수량및단가산출서(부산청)" xfId="4530" xr:uid="{00000000-0005-0000-0000-0000B31A0000}"/>
    <cellStyle name="원_전기및접지 수량및단가산출서(익산청)" xfId="4531" xr:uid="{00000000-0005-0000-0000-0000B41A0000}"/>
    <cellStyle name="원_전기설비일위대가" xfId="7328" xr:uid="{00000000-0005-0000-0000-0000B51A0000}"/>
    <cellStyle name="원_전기수량및단가산출서" xfId="4532" xr:uid="{00000000-0005-0000-0000-0000B61A0000}"/>
    <cellStyle name="원_전기수량및단가산출서_0607" xfId="4533" xr:uid="{00000000-0005-0000-0000-0000B71A0000}"/>
    <cellStyle name="원_전기수량및단가산출서_0714" xfId="4534" xr:uid="{00000000-0005-0000-0000-0000B81A0000}"/>
    <cellStyle name="원_점리내역" xfId="1770" xr:uid="{00000000-0005-0000-0000-0000B91A0000}"/>
    <cellStyle name="원_제경비율모음" xfId="1771" xr:uid="{00000000-0005-0000-0000-0000BA1A0000}"/>
    <cellStyle name="원_제조원가" xfId="1772" xr:uid="{00000000-0005-0000-0000-0000BB1A0000}"/>
    <cellStyle name="원_조달청-B판사천강교제작(최종본)" xfId="1781" xr:uid="{00000000-0005-0000-0000-0000BC1A0000}"/>
    <cellStyle name="원_조달청-대북지원3차(최수현)" xfId="1773" xr:uid="{00000000-0005-0000-0000-0000BD1A0000}"/>
    <cellStyle name="원_조달청-대북지원4차(최수현)" xfId="1774" xr:uid="{00000000-0005-0000-0000-0000BE1A0000}"/>
    <cellStyle name="원_조달청-대북지원5차(최수현)" xfId="1775" xr:uid="{00000000-0005-0000-0000-0000BF1A0000}"/>
    <cellStyle name="원_조달청-대북지원6차(번호)" xfId="1776" xr:uid="{00000000-0005-0000-0000-0000C01A0000}"/>
    <cellStyle name="원_조달청-대북지원6차(최수현)" xfId="1777" xr:uid="{00000000-0005-0000-0000-0000C11A0000}"/>
    <cellStyle name="원_조달청-대북지원7차(최수현)" xfId="1778" xr:uid="{00000000-0005-0000-0000-0000C21A0000}"/>
    <cellStyle name="원_조달청-대북지원8차(최수현)" xfId="1779" xr:uid="{00000000-0005-0000-0000-0000C31A0000}"/>
    <cellStyle name="원_조달청-대북지원9차(최수현)" xfId="1780" xr:uid="{00000000-0005-0000-0000-0000C41A0000}"/>
    <cellStyle name="원_중앙선관위(투표,개표)" xfId="1782" xr:uid="{00000000-0005-0000-0000-0000C51A0000}"/>
    <cellStyle name="원_중앙선관위(투표,개표)-사본" xfId="1783" xr:uid="{00000000-0005-0000-0000-0000C61A0000}"/>
    <cellStyle name="원_증감" xfId="7329" xr:uid="{00000000-0005-0000-0000-0000C71A0000}"/>
    <cellStyle name="원_진도마산2차제출F18x21" xfId="4535" xr:uid="{00000000-0005-0000-0000-0000C81A0000}"/>
    <cellStyle name="원_창봉지급자재단가" xfId="1784" xr:uid="{00000000-0005-0000-0000-0000C91A0000}"/>
    <cellStyle name="원_철공가공조립" xfId="1785" xr:uid="{00000000-0005-0000-0000-0000CA1A0000}"/>
    <cellStyle name="원_철도청-조명기구" xfId="1786" xr:uid="{00000000-0005-0000-0000-0000CB1A0000}"/>
    <cellStyle name="원_최종-한국전기교통-개선형신호등 4종(공수조정)" xfId="1787" xr:uid="{00000000-0005-0000-0000-0000CC1A0000}"/>
    <cellStyle name="원_출입통제,CCTV,유출보안 견적내역서(LGE)_1207" xfId="4536" xr:uid="{00000000-0005-0000-0000-0000CD1A0000}"/>
    <cellStyle name="원_코솔라-제조원가" xfId="1788" xr:uid="{00000000-0005-0000-0000-0000CE1A0000}"/>
    <cellStyle name="원_테마공사새로03" xfId="1789" xr:uid="{00000000-0005-0000-0000-0000CF1A0000}"/>
    <cellStyle name="원_토성맹암거토적" xfId="4537" xr:uid="{00000000-0005-0000-0000-0000D01A0000}"/>
    <cellStyle name="원_토지공사-간접비" xfId="1790" xr:uid="{00000000-0005-0000-0000-0000D11A0000}"/>
    <cellStyle name="원_통신수량및단가산출서_0523" xfId="4538" xr:uid="{00000000-0005-0000-0000-0000D21A0000}"/>
    <cellStyle name="원_평창증설매립장-설치" xfId="1791" xr:uid="{00000000-0005-0000-0000-0000D31A0000}"/>
    <cellStyle name="원_하장양수(40HP20HP)020309" xfId="7330" xr:uid="{00000000-0005-0000-0000-0000D41A0000}"/>
    <cellStyle name="원_한국가스공사필터제조부문" xfId="1792" xr:uid="{00000000-0005-0000-0000-0000D51A0000}"/>
    <cellStyle name="원_한국도로공사" xfId="1793" xr:uid="{00000000-0005-0000-0000-0000D61A0000}"/>
    <cellStyle name="원_한전내역서-최종" xfId="1794" xr:uid="{00000000-0005-0000-0000-0000D71A0000}"/>
    <cellStyle name="원_합판거푸집" xfId="4539" xr:uid="{00000000-0005-0000-0000-0000D81A0000}"/>
    <cellStyle name="원_현장설비 단가비교(9월28일)룔" xfId="7331" xr:uid="{00000000-0005-0000-0000-0000D91A0000}"/>
    <cellStyle name="원_현장설비(1.VDS)-0411" xfId="4540" xr:uid="{00000000-0005-0000-0000-0000DA1A0000}"/>
    <cellStyle name="유1" xfId="1798" xr:uid="{00000000-0005-0000-0000-0000DB1A0000}"/>
    <cellStyle name="유영" xfId="1799" xr:uid="{00000000-0005-0000-0000-0000DC1A0000}"/>
    <cellStyle name="을지" xfId="1800" xr:uid="{00000000-0005-0000-0000-0000DD1A0000}"/>
    <cellStyle name="일반" xfId="1801" xr:uid="{00000000-0005-0000-0000-0000DE1A0000}"/>
    <cellStyle name="일위대가" xfId="1802" xr:uid="{00000000-0005-0000-0000-0000DF1A0000}"/>
    <cellStyle name="입력" xfId="1803" builtinId="20" customBuiltin="1"/>
    <cellStyle name="입력 10" xfId="6323" xr:uid="{00000000-0005-0000-0000-0000E11A0000}"/>
    <cellStyle name="입력 11" xfId="6324" xr:uid="{00000000-0005-0000-0000-0000E21A0000}"/>
    <cellStyle name="입력 12" xfId="6325" xr:uid="{00000000-0005-0000-0000-0000E31A0000}"/>
    <cellStyle name="입력 2" xfId="4541" xr:uid="{00000000-0005-0000-0000-0000E41A0000}"/>
    <cellStyle name="입력 2 2" xfId="4542" xr:uid="{00000000-0005-0000-0000-0000E51A0000}"/>
    <cellStyle name="입력 2 3" xfId="4543" xr:uid="{00000000-0005-0000-0000-0000E61A0000}"/>
    <cellStyle name="입력 3" xfId="4544" xr:uid="{00000000-0005-0000-0000-0000E71A0000}"/>
    <cellStyle name="입력 4" xfId="4545" xr:uid="{00000000-0005-0000-0000-0000E81A0000}"/>
    <cellStyle name="입력 5" xfId="4546" xr:uid="{00000000-0005-0000-0000-0000E91A0000}"/>
    <cellStyle name="입력 6" xfId="6326" xr:uid="{00000000-0005-0000-0000-0000EA1A0000}"/>
    <cellStyle name="입력 7" xfId="6327" xr:uid="{00000000-0005-0000-0000-0000EB1A0000}"/>
    <cellStyle name="입력 8" xfId="6328" xr:uid="{00000000-0005-0000-0000-0000EC1A0000}"/>
    <cellStyle name="입력 9" xfId="6329" xr:uid="{00000000-0005-0000-0000-0000ED1A0000}"/>
    <cellStyle name="자리수" xfId="1804" xr:uid="{00000000-0005-0000-0000-0000EE1A0000}"/>
    <cellStyle name="자리수 - 유형1" xfId="1805" xr:uid="{00000000-0005-0000-0000-0000EF1A0000}"/>
    <cellStyle name="자리수 2" xfId="7332" xr:uid="{00000000-0005-0000-0000-0000F01A0000}"/>
    <cellStyle name="자리수_0210설변(tm-최종 r2)" xfId="7333" xr:uid="{00000000-0005-0000-0000-0000F11A0000}"/>
    <cellStyle name="자리수0" xfId="1806" xr:uid="{00000000-0005-0000-0000-0000F21A0000}"/>
    <cellStyle name="자리수0 2" xfId="7334" xr:uid="{00000000-0005-0000-0000-0000F31A0000}"/>
    <cellStyle name="적색" xfId="7335" xr:uid="{00000000-0005-0000-0000-0000F41A0000}"/>
    <cellStyle name="점선" xfId="1807" xr:uid="{00000000-0005-0000-0000-0000F51A0000}"/>
    <cellStyle name="정렬" xfId="7336" xr:uid="{00000000-0005-0000-0000-0000F61A0000}"/>
    <cellStyle name="정렬범위" xfId="7337" xr:uid="{00000000-0005-0000-0000-0000F71A0000}"/>
    <cellStyle name="정비" xfId="1808" xr:uid="{00000000-0005-0000-0000-0000F81A0000}"/>
    <cellStyle name="제곱" xfId="1809" xr:uid="{00000000-0005-0000-0000-0000F91A0000}"/>
    <cellStyle name="제목" xfId="1810" builtinId="15" customBuiltin="1"/>
    <cellStyle name="제목 1" xfId="1811" builtinId="16" customBuiltin="1"/>
    <cellStyle name="제목 1 10" xfId="6330" xr:uid="{00000000-0005-0000-0000-0000FC1A0000}"/>
    <cellStyle name="제목 1 11" xfId="6331" xr:uid="{00000000-0005-0000-0000-0000FD1A0000}"/>
    <cellStyle name="제목 1 12" xfId="6332" xr:uid="{00000000-0005-0000-0000-0000FE1A0000}"/>
    <cellStyle name="제목 1 2" xfId="4547" xr:uid="{00000000-0005-0000-0000-0000FF1A0000}"/>
    <cellStyle name="제목 1 2 2" xfId="4548" xr:uid="{00000000-0005-0000-0000-0000001B0000}"/>
    <cellStyle name="제목 1 2 3" xfId="4549" xr:uid="{00000000-0005-0000-0000-0000011B0000}"/>
    <cellStyle name="제목 1 3" xfId="4550" xr:uid="{00000000-0005-0000-0000-0000021B0000}"/>
    <cellStyle name="제목 1 4" xfId="4551" xr:uid="{00000000-0005-0000-0000-0000031B0000}"/>
    <cellStyle name="제목 1 5" xfId="4552" xr:uid="{00000000-0005-0000-0000-0000041B0000}"/>
    <cellStyle name="제목 1 6" xfId="6333" xr:uid="{00000000-0005-0000-0000-0000051B0000}"/>
    <cellStyle name="제목 1 7" xfId="6334" xr:uid="{00000000-0005-0000-0000-0000061B0000}"/>
    <cellStyle name="제목 1 8" xfId="6335" xr:uid="{00000000-0005-0000-0000-0000071B0000}"/>
    <cellStyle name="제목 1 9" xfId="6336" xr:uid="{00000000-0005-0000-0000-0000081B0000}"/>
    <cellStyle name="제목 10" xfId="4553" xr:uid="{00000000-0005-0000-0000-0000091B0000}"/>
    <cellStyle name="제목 10 2" xfId="4554" xr:uid="{00000000-0005-0000-0000-00000A1B0000}"/>
    <cellStyle name="제목 10 3" xfId="4555" xr:uid="{00000000-0005-0000-0000-00000B1B0000}"/>
    <cellStyle name="제목 10 4" xfId="4556" xr:uid="{00000000-0005-0000-0000-00000C1B0000}"/>
    <cellStyle name="제목 10 5" xfId="4557" xr:uid="{00000000-0005-0000-0000-00000D1B0000}"/>
    <cellStyle name="제목 10 6" xfId="4558" xr:uid="{00000000-0005-0000-0000-00000E1B0000}"/>
    <cellStyle name="제목 10 7" xfId="4559" xr:uid="{00000000-0005-0000-0000-00000F1B0000}"/>
    <cellStyle name="제목 10_기성1차 2011.02~2011.06" xfId="6337" xr:uid="{00000000-0005-0000-0000-0000101B0000}"/>
    <cellStyle name="제목 11" xfId="4560" xr:uid="{00000000-0005-0000-0000-0000111B0000}"/>
    <cellStyle name="제목 11 2" xfId="4561" xr:uid="{00000000-0005-0000-0000-0000121B0000}"/>
    <cellStyle name="제목 11 3" xfId="4562" xr:uid="{00000000-0005-0000-0000-0000131B0000}"/>
    <cellStyle name="제목 11 4" xfId="4563" xr:uid="{00000000-0005-0000-0000-0000141B0000}"/>
    <cellStyle name="제목 11 5" xfId="4564" xr:uid="{00000000-0005-0000-0000-0000151B0000}"/>
    <cellStyle name="제목 11 6" xfId="4565" xr:uid="{00000000-0005-0000-0000-0000161B0000}"/>
    <cellStyle name="제목 11 7" xfId="4566" xr:uid="{00000000-0005-0000-0000-0000171B0000}"/>
    <cellStyle name="제목 11_기성1차 2011.02~2011.06" xfId="6338" xr:uid="{00000000-0005-0000-0000-0000181B0000}"/>
    <cellStyle name="제목 12" xfId="4567" xr:uid="{00000000-0005-0000-0000-0000191B0000}"/>
    <cellStyle name="제목 12 2" xfId="4568" xr:uid="{00000000-0005-0000-0000-00001A1B0000}"/>
    <cellStyle name="제목 12 3" xfId="4569" xr:uid="{00000000-0005-0000-0000-00001B1B0000}"/>
    <cellStyle name="제목 12 4" xfId="4570" xr:uid="{00000000-0005-0000-0000-00001C1B0000}"/>
    <cellStyle name="제목 12 5" xfId="4571" xr:uid="{00000000-0005-0000-0000-00001D1B0000}"/>
    <cellStyle name="제목 12 6" xfId="4572" xr:uid="{00000000-0005-0000-0000-00001E1B0000}"/>
    <cellStyle name="제목 12 7" xfId="4573" xr:uid="{00000000-0005-0000-0000-00001F1B0000}"/>
    <cellStyle name="제목 12_기성1차 2011.02~2011.06" xfId="6339" xr:uid="{00000000-0005-0000-0000-0000201B0000}"/>
    <cellStyle name="제목 13" xfId="4574" xr:uid="{00000000-0005-0000-0000-0000211B0000}"/>
    <cellStyle name="제목 13 2" xfId="4575" xr:uid="{00000000-0005-0000-0000-0000221B0000}"/>
    <cellStyle name="제목 13 3" xfId="4576" xr:uid="{00000000-0005-0000-0000-0000231B0000}"/>
    <cellStyle name="제목 13 4" xfId="4577" xr:uid="{00000000-0005-0000-0000-0000241B0000}"/>
    <cellStyle name="제목 13 5" xfId="4578" xr:uid="{00000000-0005-0000-0000-0000251B0000}"/>
    <cellStyle name="제목 13 6" xfId="4579" xr:uid="{00000000-0005-0000-0000-0000261B0000}"/>
    <cellStyle name="제목 13 7" xfId="4580" xr:uid="{00000000-0005-0000-0000-0000271B0000}"/>
    <cellStyle name="제목 13_기성1차 2011.02~2011.06" xfId="6340" xr:uid="{00000000-0005-0000-0000-0000281B0000}"/>
    <cellStyle name="제목 14" xfId="4581" xr:uid="{00000000-0005-0000-0000-0000291B0000}"/>
    <cellStyle name="제목 14 2" xfId="4582" xr:uid="{00000000-0005-0000-0000-00002A1B0000}"/>
    <cellStyle name="제목 14 3" xfId="4583" xr:uid="{00000000-0005-0000-0000-00002B1B0000}"/>
    <cellStyle name="제목 14 4" xfId="4584" xr:uid="{00000000-0005-0000-0000-00002C1B0000}"/>
    <cellStyle name="제목 14 5" xfId="4585" xr:uid="{00000000-0005-0000-0000-00002D1B0000}"/>
    <cellStyle name="제목 14 6" xfId="4586" xr:uid="{00000000-0005-0000-0000-00002E1B0000}"/>
    <cellStyle name="제목 14 7" xfId="4587" xr:uid="{00000000-0005-0000-0000-00002F1B0000}"/>
    <cellStyle name="제목 14_기성1차 2011.02~2011.06" xfId="6341" xr:uid="{00000000-0005-0000-0000-0000301B0000}"/>
    <cellStyle name="제목 15" xfId="4588" xr:uid="{00000000-0005-0000-0000-0000311B0000}"/>
    <cellStyle name="제목 15 2" xfId="4589" xr:uid="{00000000-0005-0000-0000-0000321B0000}"/>
    <cellStyle name="제목 15 3" xfId="4590" xr:uid="{00000000-0005-0000-0000-0000331B0000}"/>
    <cellStyle name="제목 15 4" xfId="4591" xr:uid="{00000000-0005-0000-0000-0000341B0000}"/>
    <cellStyle name="제목 15 5" xfId="4592" xr:uid="{00000000-0005-0000-0000-0000351B0000}"/>
    <cellStyle name="제목 15 6" xfId="4593" xr:uid="{00000000-0005-0000-0000-0000361B0000}"/>
    <cellStyle name="제목 15 7" xfId="4594" xr:uid="{00000000-0005-0000-0000-0000371B0000}"/>
    <cellStyle name="제목 15_기성1차 2011.02~2011.06" xfId="6342" xr:uid="{00000000-0005-0000-0000-0000381B0000}"/>
    <cellStyle name="제목 16" xfId="4595" xr:uid="{00000000-0005-0000-0000-0000391B0000}"/>
    <cellStyle name="제목 16 2" xfId="4596" xr:uid="{00000000-0005-0000-0000-00003A1B0000}"/>
    <cellStyle name="제목 16 3" xfId="4597" xr:uid="{00000000-0005-0000-0000-00003B1B0000}"/>
    <cellStyle name="제목 16 4" xfId="4598" xr:uid="{00000000-0005-0000-0000-00003C1B0000}"/>
    <cellStyle name="제목 16 5" xfId="4599" xr:uid="{00000000-0005-0000-0000-00003D1B0000}"/>
    <cellStyle name="제목 16 6" xfId="4600" xr:uid="{00000000-0005-0000-0000-00003E1B0000}"/>
    <cellStyle name="제목 16 7" xfId="4601" xr:uid="{00000000-0005-0000-0000-00003F1B0000}"/>
    <cellStyle name="제목 17" xfId="4602" xr:uid="{00000000-0005-0000-0000-0000401B0000}"/>
    <cellStyle name="제목 17 2" xfId="4603" xr:uid="{00000000-0005-0000-0000-0000411B0000}"/>
    <cellStyle name="제목 17 3" xfId="4604" xr:uid="{00000000-0005-0000-0000-0000421B0000}"/>
    <cellStyle name="제목 17 4" xfId="4605" xr:uid="{00000000-0005-0000-0000-0000431B0000}"/>
    <cellStyle name="제목 17 5" xfId="4606" xr:uid="{00000000-0005-0000-0000-0000441B0000}"/>
    <cellStyle name="제목 17 6" xfId="4607" xr:uid="{00000000-0005-0000-0000-0000451B0000}"/>
    <cellStyle name="제목 17 7" xfId="4608" xr:uid="{00000000-0005-0000-0000-0000461B0000}"/>
    <cellStyle name="제목 18" xfId="4609" xr:uid="{00000000-0005-0000-0000-0000471B0000}"/>
    <cellStyle name="제목 19" xfId="4610" xr:uid="{00000000-0005-0000-0000-0000481B0000}"/>
    <cellStyle name="제목 2" xfId="1812" builtinId="17" customBuiltin="1"/>
    <cellStyle name="제목 2 10" xfId="6343" xr:uid="{00000000-0005-0000-0000-00004A1B0000}"/>
    <cellStyle name="제목 2 11" xfId="6344" xr:uid="{00000000-0005-0000-0000-00004B1B0000}"/>
    <cellStyle name="제목 2 12" xfId="6345" xr:uid="{00000000-0005-0000-0000-00004C1B0000}"/>
    <cellStyle name="제목 2 2" xfId="4611" xr:uid="{00000000-0005-0000-0000-00004D1B0000}"/>
    <cellStyle name="제목 2 2 2" xfId="4612" xr:uid="{00000000-0005-0000-0000-00004E1B0000}"/>
    <cellStyle name="제목 2 2 3" xfId="4613" xr:uid="{00000000-0005-0000-0000-00004F1B0000}"/>
    <cellStyle name="제목 2 3" xfId="4614" xr:uid="{00000000-0005-0000-0000-0000501B0000}"/>
    <cellStyle name="제목 2 4" xfId="4615" xr:uid="{00000000-0005-0000-0000-0000511B0000}"/>
    <cellStyle name="제목 2 5" xfId="4616" xr:uid="{00000000-0005-0000-0000-0000521B0000}"/>
    <cellStyle name="제목 2 6" xfId="6346" xr:uid="{00000000-0005-0000-0000-0000531B0000}"/>
    <cellStyle name="제목 2 7" xfId="6347" xr:uid="{00000000-0005-0000-0000-0000541B0000}"/>
    <cellStyle name="제목 2 8" xfId="6348" xr:uid="{00000000-0005-0000-0000-0000551B0000}"/>
    <cellStyle name="제목 2 9" xfId="6349" xr:uid="{00000000-0005-0000-0000-0000561B0000}"/>
    <cellStyle name="제목 20" xfId="4617" xr:uid="{00000000-0005-0000-0000-0000571B0000}"/>
    <cellStyle name="제목 3" xfId="1813" builtinId="18" customBuiltin="1"/>
    <cellStyle name="제목 3 10" xfId="6350" xr:uid="{00000000-0005-0000-0000-0000591B0000}"/>
    <cellStyle name="제목 3 11" xfId="6351" xr:uid="{00000000-0005-0000-0000-00005A1B0000}"/>
    <cellStyle name="제목 3 12" xfId="6352" xr:uid="{00000000-0005-0000-0000-00005B1B0000}"/>
    <cellStyle name="제목 3 2" xfId="4618" xr:uid="{00000000-0005-0000-0000-00005C1B0000}"/>
    <cellStyle name="제목 3 2 2" xfId="4619" xr:uid="{00000000-0005-0000-0000-00005D1B0000}"/>
    <cellStyle name="제목 3 2 3" xfId="4620" xr:uid="{00000000-0005-0000-0000-00005E1B0000}"/>
    <cellStyle name="제목 3 3" xfId="4621" xr:uid="{00000000-0005-0000-0000-00005F1B0000}"/>
    <cellStyle name="제목 3 4" xfId="4622" xr:uid="{00000000-0005-0000-0000-0000601B0000}"/>
    <cellStyle name="제목 3 5" xfId="4623" xr:uid="{00000000-0005-0000-0000-0000611B0000}"/>
    <cellStyle name="제목 3 6" xfId="6353" xr:uid="{00000000-0005-0000-0000-0000621B0000}"/>
    <cellStyle name="제목 3 7" xfId="6354" xr:uid="{00000000-0005-0000-0000-0000631B0000}"/>
    <cellStyle name="제목 3 8" xfId="6355" xr:uid="{00000000-0005-0000-0000-0000641B0000}"/>
    <cellStyle name="제목 3 9" xfId="6356" xr:uid="{00000000-0005-0000-0000-0000651B0000}"/>
    <cellStyle name="제목 4" xfId="1814" builtinId="19" customBuiltin="1"/>
    <cellStyle name="제목 4 10" xfId="6357" xr:uid="{00000000-0005-0000-0000-0000671B0000}"/>
    <cellStyle name="제목 4 11" xfId="6358" xr:uid="{00000000-0005-0000-0000-0000681B0000}"/>
    <cellStyle name="제목 4 12" xfId="6359" xr:uid="{00000000-0005-0000-0000-0000691B0000}"/>
    <cellStyle name="제목 4 2" xfId="4624" xr:uid="{00000000-0005-0000-0000-00006A1B0000}"/>
    <cellStyle name="제목 4 2 2" xfId="4625" xr:uid="{00000000-0005-0000-0000-00006B1B0000}"/>
    <cellStyle name="제목 4 2 3" xfId="4626" xr:uid="{00000000-0005-0000-0000-00006C1B0000}"/>
    <cellStyle name="제목 4 3" xfId="4627" xr:uid="{00000000-0005-0000-0000-00006D1B0000}"/>
    <cellStyle name="제목 4 4" xfId="4628" xr:uid="{00000000-0005-0000-0000-00006E1B0000}"/>
    <cellStyle name="제목 4 5" xfId="4629" xr:uid="{00000000-0005-0000-0000-00006F1B0000}"/>
    <cellStyle name="제목 4 6" xfId="6360" xr:uid="{00000000-0005-0000-0000-0000701B0000}"/>
    <cellStyle name="제목 4 7" xfId="6361" xr:uid="{00000000-0005-0000-0000-0000711B0000}"/>
    <cellStyle name="제목 4 8" xfId="6362" xr:uid="{00000000-0005-0000-0000-0000721B0000}"/>
    <cellStyle name="제목 4 9" xfId="6363" xr:uid="{00000000-0005-0000-0000-0000731B0000}"/>
    <cellStyle name="제목 5" xfId="4630" xr:uid="{00000000-0005-0000-0000-0000741B0000}"/>
    <cellStyle name="제목 5 2" xfId="4631" xr:uid="{00000000-0005-0000-0000-0000751B0000}"/>
    <cellStyle name="제목 5 3" xfId="4632" xr:uid="{00000000-0005-0000-0000-0000761B0000}"/>
    <cellStyle name="제목 5 4" xfId="4633" xr:uid="{00000000-0005-0000-0000-0000771B0000}"/>
    <cellStyle name="제목 5 5" xfId="4634" xr:uid="{00000000-0005-0000-0000-0000781B0000}"/>
    <cellStyle name="제목 5 6" xfId="4635" xr:uid="{00000000-0005-0000-0000-0000791B0000}"/>
    <cellStyle name="제목 5 7" xfId="4636" xr:uid="{00000000-0005-0000-0000-00007A1B0000}"/>
    <cellStyle name="제목 5 8" xfId="4637" xr:uid="{00000000-0005-0000-0000-00007B1B0000}"/>
    <cellStyle name="제목 5_2008년 2차설계서_감사제출" xfId="4638" xr:uid="{00000000-0005-0000-0000-00007C1B0000}"/>
    <cellStyle name="제목 6" xfId="4639" xr:uid="{00000000-0005-0000-0000-00007D1B0000}"/>
    <cellStyle name="제목 6 2" xfId="4640" xr:uid="{00000000-0005-0000-0000-00007E1B0000}"/>
    <cellStyle name="제목 6 3" xfId="4641" xr:uid="{00000000-0005-0000-0000-00007F1B0000}"/>
    <cellStyle name="제목 6 4" xfId="4642" xr:uid="{00000000-0005-0000-0000-0000801B0000}"/>
    <cellStyle name="제목 6 5" xfId="4643" xr:uid="{00000000-0005-0000-0000-0000811B0000}"/>
    <cellStyle name="제목 6 6" xfId="4644" xr:uid="{00000000-0005-0000-0000-0000821B0000}"/>
    <cellStyle name="제목 6 7" xfId="4645" xr:uid="{00000000-0005-0000-0000-0000831B0000}"/>
    <cellStyle name="제목 6_기성1차 2011.02~2011.06" xfId="6364" xr:uid="{00000000-0005-0000-0000-0000841B0000}"/>
    <cellStyle name="제목 7" xfId="4646" xr:uid="{00000000-0005-0000-0000-0000851B0000}"/>
    <cellStyle name="제목 7 2" xfId="4647" xr:uid="{00000000-0005-0000-0000-0000861B0000}"/>
    <cellStyle name="제목 7 3" xfId="4648" xr:uid="{00000000-0005-0000-0000-0000871B0000}"/>
    <cellStyle name="제목 7 4" xfId="4649" xr:uid="{00000000-0005-0000-0000-0000881B0000}"/>
    <cellStyle name="제목 7 5" xfId="4650" xr:uid="{00000000-0005-0000-0000-0000891B0000}"/>
    <cellStyle name="제목 7 6" xfId="4651" xr:uid="{00000000-0005-0000-0000-00008A1B0000}"/>
    <cellStyle name="제목 7 7" xfId="4652" xr:uid="{00000000-0005-0000-0000-00008B1B0000}"/>
    <cellStyle name="제목 7_기성1차 2011.02~2011.06" xfId="6365" xr:uid="{00000000-0005-0000-0000-00008C1B0000}"/>
    <cellStyle name="제목 8" xfId="4653" xr:uid="{00000000-0005-0000-0000-00008D1B0000}"/>
    <cellStyle name="제목 8 2" xfId="4654" xr:uid="{00000000-0005-0000-0000-00008E1B0000}"/>
    <cellStyle name="제목 8 3" xfId="4655" xr:uid="{00000000-0005-0000-0000-00008F1B0000}"/>
    <cellStyle name="제목 8 4" xfId="4656" xr:uid="{00000000-0005-0000-0000-0000901B0000}"/>
    <cellStyle name="제목 8 5" xfId="4657" xr:uid="{00000000-0005-0000-0000-0000911B0000}"/>
    <cellStyle name="제목 8 6" xfId="4658" xr:uid="{00000000-0005-0000-0000-0000921B0000}"/>
    <cellStyle name="제목 8 7" xfId="4659" xr:uid="{00000000-0005-0000-0000-0000931B0000}"/>
    <cellStyle name="제목 8_기성1차 2011.02~2011.06" xfId="6366" xr:uid="{00000000-0005-0000-0000-0000941B0000}"/>
    <cellStyle name="제목 9" xfId="4660" xr:uid="{00000000-0005-0000-0000-0000951B0000}"/>
    <cellStyle name="제목 9 2" xfId="4661" xr:uid="{00000000-0005-0000-0000-0000961B0000}"/>
    <cellStyle name="제목 9 3" xfId="4662" xr:uid="{00000000-0005-0000-0000-0000971B0000}"/>
    <cellStyle name="제목 9 4" xfId="4663" xr:uid="{00000000-0005-0000-0000-0000981B0000}"/>
    <cellStyle name="제목 9 5" xfId="4664" xr:uid="{00000000-0005-0000-0000-0000991B0000}"/>
    <cellStyle name="제목 9 6" xfId="4665" xr:uid="{00000000-0005-0000-0000-00009A1B0000}"/>
    <cellStyle name="제목 9 7" xfId="4666" xr:uid="{00000000-0005-0000-0000-00009B1B0000}"/>
    <cellStyle name="제목 9_기성1차 2011.02~2011.06" xfId="6367" xr:uid="{00000000-0005-0000-0000-00009C1B0000}"/>
    <cellStyle name="제목[1 줄]" xfId="1815" xr:uid="{00000000-0005-0000-0000-00009D1B0000}"/>
    <cellStyle name="제목[2줄 아래]" xfId="1816" xr:uid="{00000000-0005-0000-0000-00009E1B0000}"/>
    <cellStyle name="제목[2줄 위]" xfId="1817" xr:uid="{00000000-0005-0000-0000-00009F1B0000}"/>
    <cellStyle name="제목1" xfId="1818" xr:uid="{00000000-0005-0000-0000-0000A01B0000}"/>
    <cellStyle name="좋음" xfId="1819" builtinId="26" customBuiltin="1"/>
    <cellStyle name="좋음 10" xfId="6368" xr:uid="{00000000-0005-0000-0000-0000A21B0000}"/>
    <cellStyle name="좋음 11" xfId="6369" xr:uid="{00000000-0005-0000-0000-0000A31B0000}"/>
    <cellStyle name="좋음 12" xfId="6370" xr:uid="{00000000-0005-0000-0000-0000A41B0000}"/>
    <cellStyle name="좋음 2" xfId="4667" xr:uid="{00000000-0005-0000-0000-0000A51B0000}"/>
    <cellStyle name="좋음 2 2" xfId="4668" xr:uid="{00000000-0005-0000-0000-0000A61B0000}"/>
    <cellStyle name="좋음 2 3" xfId="4669" xr:uid="{00000000-0005-0000-0000-0000A71B0000}"/>
    <cellStyle name="좋음 3" xfId="4670" xr:uid="{00000000-0005-0000-0000-0000A81B0000}"/>
    <cellStyle name="좋음 4" xfId="4671" xr:uid="{00000000-0005-0000-0000-0000A91B0000}"/>
    <cellStyle name="좋음 5" xfId="4672" xr:uid="{00000000-0005-0000-0000-0000AA1B0000}"/>
    <cellStyle name="좋음 6" xfId="6371" xr:uid="{00000000-0005-0000-0000-0000AB1B0000}"/>
    <cellStyle name="좋음 7" xfId="6372" xr:uid="{00000000-0005-0000-0000-0000AC1B0000}"/>
    <cellStyle name="좋음 8" xfId="6373" xr:uid="{00000000-0005-0000-0000-0000AD1B0000}"/>
    <cellStyle name="좋음 9" xfId="6374" xr:uid="{00000000-0005-0000-0000-0000AE1B0000}"/>
    <cellStyle name="좌괄호_박심배수구조물공" xfId="1820" xr:uid="{00000000-0005-0000-0000-0000AF1B0000}"/>
    <cellStyle name="좌측양괄호" xfId="1821" xr:uid="{00000000-0005-0000-0000-0000B01B0000}"/>
    <cellStyle name="지정되지 않음" xfId="1822" xr:uid="{00000000-0005-0000-0000-0000B11B0000}"/>
    <cellStyle name="지하철정렬" xfId="7338" xr:uid="{00000000-0005-0000-0000-0000B21B0000}"/>
    <cellStyle name="千位分隔[0]_RESULTS" xfId="7339" xr:uid="{00000000-0005-0000-0000-0000B31B0000}"/>
    <cellStyle name="千位分隔_RESULTS" xfId="7340" xr:uid="{00000000-0005-0000-0000-0000B41B0000}"/>
    <cellStyle name="출력" xfId="1823" builtinId="21" customBuiltin="1"/>
    <cellStyle name="출력 10" xfId="6375" xr:uid="{00000000-0005-0000-0000-0000B61B0000}"/>
    <cellStyle name="출력 11" xfId="6376" xr:uid="{00000000-0005-0000-0000-0000B71B0000}"/>
    <cellStyle name="출력 12" xfId="6377" xr:uid="{00000000-0005-0000-0000-0000B81B0000}"/>
    <cellStyle name="출력 2" xfId="4673" xr:uid="{00000000-0005-0000-0000-0000B91B0000}"/>
    <cellStyle name="출력 2 2" xfId="4674" xr:uid="{00000000-0005-0000-0000-0000BA1B0000}"/>
    <cellStyle name="출력 2 3" xfId="4675" xr:uid="{00000000-0005-0000-0000-0000BB1B0000}"/>
    <cellStyle name="출력 3" xfId="4676" xr:uid="{00000000-0005-0000-0000-0000BC1B0000}"/>
    <cellStyle name="출력 4" xfId="4677" xr:uid="{00000000-0005-0000-0000-0000BD1B0000}"/>
    <cellStyle name="출력 5" xfId="4678" xr:uid="{00000000-0005-0000-0000-0000BE1B0000}"/>
    <cellStyle name="출력 6" xfId="6378" xr:uid="{00000000-0005-0000-0000-0000BF1B0000}"/>
    <cellStyle name="출력 7" xfId="6379" xr:uid="{00000000-0005-0000-0000-0000C01B0000}"/>
    <cellStyle name="출력 8" xfId="6380" xr:uid="{00000000-0005-0000-0000-0000C11B0000}"/>
    <cellStyle name="출력 9" xfId="6381" xr:uid="{00000000-0005-0000-0000-0000C21B0000}"/>
    <cellStyle name="코드" xfId="4679" xr:uid="{00000000-0005-0000-0000-0000C31B0000}"/>
    <cellStyle name="콤" xfId="1824" xr:uid="{00000000-0005-0000-0000-0000C41B0000}"/>
    <cellStyle name="콤_산출내역서(문발IC)(1)" xfId="1825" xr:uid="{00000000-0005-0000-0000-0000C51B0000}"/>
    <cellStyle name="콤_화곡 ~ 주천간 가로등설치공사" xfId="1826" xr:uid="{00000000-0005-0000-0000-0000C61B0000}"/>
    <cellStyle name="콤냡?&lt;_x000f_$??: `1_1 " xfId="1827" xr:uid="{00000000-0005-0000-0000-0000C71B0000}"/>
    <cellStyle name="콤마 [" xfId="1828" xr:uid="{00000000-0005-0000-0000-0000C81B0000}"/>
    <cellStyle name="콤마 [#]" xfId="1829" xr:uid="{00000000-0005-0000-0000-0000C91B0000}"/>
    <cellStyle name="콤마 []" xfId="1830" xr:uid="{00000000-0005-0000-0000-0000CA1B0000}"/>
    <cellStyle name="콤마 [_산출내역서(문발IC)(1)" xfId="1831" xr:uid="{00000000-0005-0000-0000-0000CB1B0000}"/>
    <cellStyle name="콤마 [0]" xfId="1832" xr:uid="{00000000-0005-0000-0000-0000CC1B0000}"/>
    <cellStyle name="콤마 [0]_내역(1차)" xfId="7359" xr:uid="{00000000-0005-0000-0000-0000CD1B0000}"/>
    <cellStyle name="콤마 [0]기기자재비" xfId="1833" xr:uid="{00000000-0005-0000-0000-0000CE1B0000}"/>
    <cellStyle name="콤마 [1]" xfId="1834" xr:uid="{00000000-0005-0000-0000-0000CF1B0000}"/>
    <cellStyle name="콤마 [2]" xfId="1835" xr:uid="{00000000-0005-0000-0000-0000D01B0000}"/>
    <cellStyle name="콤마 [금액]" xfId="1836" xr:uid="{00000000-0005-0000-0000-0000D11B0000}"/>
    <cellStyle name="콤마 [소수]" xfId="1837" xr:uid="{00000000-0005-0000-0000-0000D21B0000}"/>
    <cellStyle name="콤마 [수량]" xfId="1838" xr:uid="{00000000-0005-0000-0000-0000D31B0000}"/>
    <cellStyle name="콤마[0]" xfId="1839" xr:uid="{00000000-0005-0000-0000-0000D41B0000}"/>
    <cellStyle name="콤마_  종  합  " xfId="1840" xr:uid="{00000000-0005-0000-0000-0000D51B0000}"/>
    <cellStyle name="콤마宛 " xfId="1842" xr:uid="{00000000-0005-0000-0000-0000D61B0000}"/>
    <cellStyle name="콤마桓?琉?업종별 " xfId="1843" xr:uid="{00000000-0005-0000-0000-0000D71B0000}"/>
    <cellStyle name="콤마壈비용예산" xfId="7341" xr:uid="{00000000-0005-0000-0000-0000D81B0000}"/>
    <cellStyle name="콤마쇔[0]_대총괄표 " xfId="1841" xr:uid="{00000000-0005-0000-0000-0000D91B0000}"/>
    <cellStyle name="콤마판지역별판매현황_순매출현황" xfId="4680" xr:uid="{00000000-0005-0000-0000-0000DA1B0000}"/>
    <cellStyle name="콤와4_x0008__x0001_?" xfId="1844" xr:uid="{00000000-0005-0000-0000-0000DB1B0000}"/>
    <cellStyle name="콤와4_x0008__x0001_ဠ" xfId="1845" xr:uid="{00000000-0005-0000-0000-0000DC1B0000}"/>
    <cellStyle name="통" xfId="1846" xr:uid="{00000000-0005-0000-0000-0000DD1B0000}"/>
    <cellStyle name="통_산출내역서(문발IC)(1)" xfId="1847" xr:uid="{00000000-0005-0000-0000-0000DE1B0000}"/>
    <cellStyle name="통_화곡 ~ 주천간 가로등설치공사" xfId="1848" xr:uid="{00000000-0005-0000-0000-0000DF1B0000}"/>
    <cellStyle name="통화 [" xfId="1849" xr:uid="{00000000-0005-0000-0000-0000E01B0000}"/>
    <cellStyle name="통화 [0] 2" xfId="6382" xr:uid="{00000000-0005-0000-0000-0000E11B0000}"/>
    <cellStyle name="통화 [0] 2 2" xfId="6383" xr:uid="{00000000-0005-0000-0000-0000E21B0000}"/>
    <cellStyle name="통화 [0] 2 3" xfId="6384" xr:uid="{00000000-0005-0000-0000-0000E31B0000}"/>
    <cellStyle name="통화 [0] 2 4" xfId="6385" xr:uid="{00000000-0005-0000-0000-0000E41B0000}"/>
    <cellStyle name="통화 [0] 2 5" xfId="6386" xr:uid="{00000000-0005-0000-0000-0000E51B0000}"/>
    <cellStyle name="통화 [0] 2 6" xfId="7351" xr:uid="{00000000-0005-0000-0000-0000E61B0000}"/>
    <cellStyle name="통화 [0㉝〸" xfId="1850" xr:uid="{00000000-0005-0000-0000-0000E71B0000}"/>
    <cellStyle name="퍼센트" xfId="1851" xr:uid="{00000000-0005-0000-0000-0000E81B0000}"/>
    <cellStyle name="퍼센트 2" xfId="7342" xr:uid="{00000000-0005-0000-0000-0000E91B0000}"/>
    <cellStyle name="표" xfId="1852" xr:uid="{00000000-0005-0000-0000-0000EA1B0000}"/>
    <cellStyle name="표_산출내역서(문발IC)(1)" xfId="1853" xr:uid="{00000000-0005-0000-0000-0000EB1B0000}"/>
    <cellStyle name="표_화곡 ~ 주천간 가로등설치공사" xfId="1854" xr:uid="{00000000-0005-0000-0000-0000EC1B0000}"/>
    <cellStyle name="表示済みのハイパーリンク" xfId="1855" xr:uid="{00000000-0005-0000-0000-0000ED1B0000}"/>
    <cellStyle name="표준" xfId="0" builtinId="0"/>
    <cellStyle name="표준 10" xfId="4681" xr:uid="{00000000-0005-0000-0000-0000EF1B0000}"/>
    <cellStyle name="표준 10 2" xfId="4682" xr:uid="{00000000-0005-0000-0000-0000F01B0000}"/>
    <cellStyle name="표준 11" xfId="4683" xr:uid="{00000000-0005-0000-0000-0000F11B0000}"/>
    <cellStyle name="표준 11 2" xfId="4684" xr:uid="{00000000-0005-0000-0000-0000F21B0000}"/>
    <cellStyle name="표준 12" xfId="4685" xr:uid="{00000000-0005-0000-0000-0000F31B0000}"/>
    <cellStyle name="표준 12 2" xfId="4686" xr:uid="{00000000-0005-0000-0000-0000F41B0000}"/>
    <cellStyle name="표준 13" xfId="4687" xr:uid="{00000000-0005-0000-0000-0000F51B0000}"/>
    <cellStyle name="표준 13 2" xfId="4688" xr:uid="{00000000-0005-0000-0000-0000F61B0000}"/>
    <cellStyle name="표준 14" xfId="4689" xr:uid="{00000000-0005-0000-0000-0000F71B0000}"/>
    <cellStyle name="표준 14 2" xfId="4690" xr:uid="{00000000-0005-0000-0000-0000F81B0000}"/>
    <cellStyle name="표준 15" xfId="4691" xr:uid="{00000000-0005-0000-0000-0000F91B0000}"/>
    <cellStyle name="표준 15 2" xfId="4692" xr:uid="{00000000-0005-0000-0000-0000FA1B0000}"/>
    <cellStyle name="표준 16" xfId="4693" xr:uid="{00000000-0005-0000-0000-0000FB1B0000}"/>
    <cellStyle name="표준 16 2" xfId="4694" xr:uid="{00000000-0005-0000-0000-0000FC1B0000}"/>
    <cellStyle name="표준 17" xfId="4695" xr:uid="{00000000-0005-0000-0000-0000FD1B0000}"/>
    <cellStyle name="표준 17 2" xfId="4696" xr:uid="{00000000-0005-0000-0000-0000FE1B0000}"/>
    <cellStyle name="표준 18" xfId="4697" xr:uid="{00000000-0005-0000-0000-0000FF1B0000}"/>
    <cellStyle name="표준 18 2" xfId="4698" xr:uid="{00000000-0005-0000-0000-0000001C0000}"/>
    <cellStyle name="표준 19" xfId="4699" xr:uid="{00000000-0005-0000-0000-0000011C0000}"/>
    <cellStyle name="표준 19 2" xfId="4700" xr:uid="{00000000-0005-0000-0000-0000021C0000}"/>
    <cellStyle name="표준 2" xfId="1856" xr:uid="{00000000-0005-0000-0000-0000031C0000}"/>
    <cellStyle name="표준 2 10" xfId="6387" xr:uid="{00000000-0005-0000-0000-0000041C0000}"/>
    <cellStyle name="표준 2 11" xfId="6388" xr:uid="{00000000-0005-0000-0000-0000051C0000}"/>
    <cellStyle name="표준 2 12" xfId="6389" xr:uid="{00000000-0005-0000-0000-0000061C0000}"/>
    <cellStyle name="표준 2 13" xfId="6390" xr:uid="{00000000-0005-0000-0000-0000071C0000}"/>
    <cellStyle name="표준 2 14" xfId="6391" xr:uid="{00000000-0005-0000-0000-0000081C0000}"/>
    <cellStyle name="표준 2 15" xfId="6392" xr:uid="{00000000-0005-0000-0000-0000091C0000}"/>
    <cellStyle name="표준 2 16" xfId="6393" xr:uid="{00000000-0005-0000-0000-00000A1C0000}"/>
    <cellStyle name="표준 2 17" xfId="6394" xr:uid="{00000000-0005-0000-0000-00000B1C0000}"/>
    <cellStyle name="표준 2 18" xfId="6395" xr:uid="{00000000-0005-0000-0000-00000C1C0000}"/>
    <cellStyle name="표준 2 19" xfId="6396" xr:uid="{00000000-0005-0000-0000-00000D1C0000}"/>
    <cellStyle name="표준 2 2" xfId="4701" xr:uid="{00000000-0005-0000-0000-00000E1C0000}"/>
    <cellStyle name="표준 2 20" xfId="6397" xr:uid="{00000000-0005-0000-0000-00000F1C0000}"/>
    <cellStyle name="표준 2 21" xfId="6398" xr:uid="{00000000-0005-0000-0000-0000101C0000}"/>
    <cellStyle name="표준 2 22" xfId="6399" xr:uid="{00000000-0005-0000-0000-0000111C0000}"/>
    <cellStyle name="표준 2 23" xfId="6400" xr:uid="{00000000-0005-0000-0000-0000121C0000}"/>
    <cellStyle name="표준 2 24" xfId="6401" xr:uid="{00000000-0005-0000-0000-0000131C0000}"/>
    <cellStyle name="표준 2 25" xfId="6402" xr:uid="{00000000-0005-0000-0000-0000141C0000}"/>
    <cellStyle name="표준 2 26" xfId="6403" xr:uid="{00000000-0005-0000-0000-0000151C0000}"/>
    <cellStyle name="표준 2 27" xfId="6404" xr:uid="{00000000-0005-0000-0000-0000161C0000}"/>
    <cellStyle name="표준 2 28" xfId="6405" xr:uid="{00000000-0005-0000-0000-0000171C0000}"/>
    <cellStyle name="표준 2 29" xfId="6406" xr:uid="{00000000-0005-0000-0000-0000181C0000}"/>
    <cellStyle name="표준 2 3" xfId="4702" xr:uid="{00000000-0005-0000-0000-0000191C0000}"/>
    <cellStyle name="표준 2 30" xfId="6407" xr:uid="{00000000-0005-0000-0000-00001A1C0000}"/>
    <cellStyle name="표준 2 31" xfId="6408" xr:uid="{00000000-0005-0000-0000-00001B1C0000}"/>
    <cellStyle name="표준 2 32" xfId="6409" xr:uid="{00000000-0005-0000-0000-00001C1C0000}"/>
    <cellStyle name="표준 2 33" xfId="6410" xr:uid="{00000000-0005-0000-0000-00001D1C0000}"/>
    <cellStyle name="표준 2 34" xfId="6411" xr:uid="{00000000-0005-0000-0000-00001E1C0000}"/>
    <cellStyle name="표준 2 35" xfId="6412" xr:uid="{00000000-0005-0000-0000-00001F1C0000}"/>
    <cellStyle name="표준 2 36" xfId="6413" xr:uid="{00000000-0005-0000-0000-0000201C0000}"/>
    <cellStyle name="표준 2 37" xfId="6414" xr:uid="{00000000-0005-0000-0000-0000211C0000}"/>
    <cellStyle name="표준 2 38" xfId="6415" xr:uid="{00000000-0005-0000-0000-0000221C0000}"/>
    <cellStyle name="표준 2 39" xfId="6416" xr:uid="{00000000-0005-0000-0000-0000231C0000}"/>
    <cellStyle name="표준 2 4" xfId="4703" xr:uid="{00000000-0005-0000-0000-0000241C0000}"/>
    <cellStyle name="표준 2 40" xfId="6417" xr:uid="{00000000-0005-0000-0000-0000251C0000}"/>
    <cellStyle name="표준 2 41" xfId="6418" xr:uid="{00000000-0005-0000-0000-0000261C0000}"/>
    <cellStyle name="표준 2 42" xfId="6419" xr:uid="{00000000-0005-0000-0000-0000271C0000}"/>
    <cellStyle name="표준 2 43" xfId="6420" xr:uid="{00000000-0005-0000-0000-0000281C0000}"/>
    <cellStyle name="표준 2 44" xfId="6421" xr:uid="{00000000-0005-0000-0000-0000291C0000}"/>
    <cellStyle name="표준 2 45" xfId="6422" xr:uid="{00000000-0005-0000-0000-00002A1C0000}"/>
    <cellStyle name="표준 2 46" xfId="6423" xr:uid="{00000000-0005-0000-0000-00002B1C0000}"/>
    <cellStyle name="표준 2 47" xfId="6424" xr:uid="{00000000-0005-0000-0000-00002C1C0000}"/>
    <cellStyle name="표준 2 48" xfId="6425" xr:uid="{00000000-0005-0000-0000-00002D1C0000}"/>
    <cellStyle name="표준 2 49" xfId="6426" xr:uid="{00000000-0005-0000-0000-00002E1C0000}"/>
    <cellStyle name="표준 2 5" xfId="4704" xr:uid="{00000000-0005-0000-0000-00002F1C0000}"/>
    <cellStyle name="표준 2 50" xfId="6427" xr:uid="{00000000-0005-0000-0000-0000301C0000}"/>
    <cellStyle name="표준 2 51" xfId="6428" xr:uid="{00000000-0005-0000-0000-0000311C0000}"/>
    <cellStyle name="표준 2 6" xfId="4705" xr:uid="{00000000-0005-0000-0000-0000321C0000}"/>
    <cellStyle name="표준 2 7" xfId="4811" xr:uid="{00000000-0005-0000-0000-0000331C0000}"/>
    <cellStyle name="표준 2 8" xfId="6429" xr:uid="{00000000-0005-0000-0000-0000341C0000}"/>
    <cellStyle name="표준 2 9" xfId="6430" xr:uid="{00000000-0005-0000-0000-0000351C0000}"/>
    <cellStyle name="표준 2_1차기성 내역서" xfId="6431" xr:uid="{00000000-0005-0000-0000-0000361C0000}"/>
    <cellStyle name="표준 20" xfId="4706" xr:uid="{00000000-0005-0000-0000-0000371C0000}"/>
    <cellStyle name="표준 20 2" xfId="4707" xr:uid="{00000000-0005-0000-0000-0000381C0000}"/>
    <cellStyle name="표준 21" xfId="4708" xr:uid="{00000000-0005-0000-0000-0000391C0000}"/>
    <cellStyle name="표준 21 2" xfId="4709" xr:uid="{00000000-0005-0000-0000-00003A1C0000}"/>
    <cellStyle name="표준 22" xfId="4710" xr:uid="{00000000-0005-0000-0000-00003B1C0000}"/>
    <cellStyle name="표준 22 2" xfId="4711" xr:uid="{00000000-0005-0000-0000-00003C1C0000}"/>
    <cellStyle name="표준 23" xfId="4712" xr:uid="{00000000-0005-0000-0000-00003D1C0000}"/>
    <cellStyle name="표준 23 2" xfId="4713" xr:uid="{00000000-0005-0000-0000-00003E1C0000}"/>
    <cellStyle name="표준 23 6" xfId="4714" xr:uid="{00000000-0005-0000-0000-00003F1C0000}"/>
    <cellStyle name="표준 24" xfId="4715" xr:uid="{00000000-0005-0000-0000-0000401C0000}"/>
    <cellStyle name="표준 24 2" xfId="4716" xr:uid="{00000000-0005-0000-0000-0000411C0000}"/>
    <cellStyle name="표준 24 3" xfId="4717" xr:uid="{00000000-0005-0000-0000-0000421C0000}"/>
    <cellStyle name="표준 25" xfId="4718" xr:uid="{00000000-0005-0000-0000-0000431C0000}"/>
    <cellStyle name="표준 25 2" xfId="4719" xr:uid="{00000000-0005-0000-0000-0000441C0000}"/>
    <cellStyle name="표준 25 3" xfId="4720" xr:uid="{00000000-0005-0000-0000-0000451C0000}"/>
    <cellStyle name="표준 26" xfId="4721" xr:uid="{00000000-0005-0000-0000-0000461C0000}"/>
    <cellStyle name="표준 26 2" xfId="4722" xr:uid="{00000000-0005-0000-0000-0000471C0000}"/>
    <cellStyle name="표준 26 3" xfId="4723" xr:uid="{00000000-0005-0000-0000-0000481C0000}"/>
    <cellStyle name="표준 27" xfId="4724" xr:uid="{00000000-0005-0000-0000-0000491C0000}"/>
    <cellStyle name="표준 27 2" xfId="4725" xr:uid="{00000000-0005-0000-0000-00004A1C0000}"/>
    <cellStyle name="표준 27 3" xfId="4726" xr:uid="{00000000-0005-0000-0000-00004B1C0000}"/>
    <cellStyle name="표준 28" xfId="4727" xr:uid="{00000000-0005-0000-0000-00004C1C0000}"/>
    <cellStyle name="표준 28 2" xfId="4728" xr:uid="{00000000-0005-0000-0000-00004D1C0000}"/>
    <cellStyle name="표준 28 3" xfId="4729" xr:uid="{00000000-0005-0000-0000-00004E1C0000}"/>
    <cellStyle name="표준 28 4" xfId="4730" xr:uid="{00000000-0005-0000-0000-00004F1C0000}"/>
    <cellStyle name="표준 28 5" xfId="4731" xr:uid="{00000000-0005-0000-0000-0000501C0000}"/>
    <cellStyle name="표준 28 6" xfId="4732" xr:uid="{00000000-0005-0000-0000-0000511C0000}"/>
    <cellStyle name="표준 28 7" xfId="4733" xr:uid="{00000000-0005-0000-0000-0000521C0000}"/>
    <cellStyle name="표준 29" xfId="4734" xr:uid="{00000000-0005-0000-0000-0000531C0000}"/>
    <cellStyle name="표준 29 2" xfId="4735" xr:uid="{00000000-0005-0000-0000-0000541C0000}"/>
    <cellStyle name="표준 29 3" xfId="4736" xr:uid="{00000000-0005-0000-0000-0000551C0000}"/>
    <cellStyle name="표준 29 4" xfId="4737" xr:uid="{00000000-0005-0000-0000-0000561C0000}"/>
    <cellStyle name="표준 29 5" xfId="4738" xr:uid="{00000000-0005-0000-0000-0000571C0000}"/>
    <cellStyle name="표준 29 6" xfId="4739" xr:uid="{00000000-0005-0000-0000-0000581C0000}"/>
    <cellStyle name="표준 29 7" xfId="4740" xr:uid="{00000000-0005-0000-0000-0000591C0000}"/>
    <cellStyle name="표준 3" xfId="1857" xr:uid="{00000000-0005-0000-0000-00005A1C0000}"/>
    <cellStyle name="표준 3 2" xfId="4741" xr:uid="{00000000-0005-0000-0000-00005B1C0000}"/>
    <cellStyle name="표준 3_쓰레기 불법투기  단속시스템(CCTV) 구매설치 설계내역서" xfId="4742" xr:uid="{00000000-0005-0000-0000-00005C1C0000}"/>
    <cellStyle name="표준 30" xfId="4743" xr:uid="{00000000-0005-0000-0000-00005D1C0000}"/>
    <cellStyle name="표준 30 2" xfId="4744" xr:uid="{00000000-0005-0000-0000-00005E1C0000}"/>
    <cellStyle name="표준 30 3" xfId="4745" xr:uid="{00000000-0005-0000-0000-00005F1C0000}"/>
    <cellStyle name="표준 30 4" xfId="4746" xr:uid="{00000000-0005-0000-0000-0000601C0000}"/>
    <cellStyle name="표준 30 5" xfId="4747" xr:uid="{00000000-0005-0000-0000-0000611C0000}"/>
    <cellStyle name="표준 30 6" xfId="4748" xr:uid="{00000000-0005-0000-0000-0000621C0000}"/>
    <cellStyle name="표준 30 7" xfId="4749" xr:uid="{00000000-0005-0000-0000-0000631C0000}"/>
    <cellStyle name="표준 31" xfId="4750" xr:uid="{00000000-0005-0000-0000-0000641C0000}"/>
    <cellStyle name="표준 31 2" xfId="4751" xr:uid="{00000000-0005-0000-0000-0000651C0000}"/>
    <cellStyle name="표준 31 3" xfId="4752" xr:uid="{00000000-0005-0000-0000-0000661C0000}"/>
    <cellStyle name="표준 31 4" xfId="4753" xr:uid="{00000000-0005-0000-0000-0000671C0000}"/>
    <cellStyle name="표준 31 5" xfId="4754" xr:uid="{00000000-0005-0000-0000-0000681C0000}"/>
    <cellStyle name="표준 31 6" xfId="4755" xr:uid="{00000000-0005-0000-0000-0000691C0000}"/>
    <cellStyle name="표준 32" xfId="4756" xr:uid="{00000000-0005-0000-0000-00006A1C0000}"/>
    <cellStyle name="표준 32 2" xfId="4757" xr:uid="{00000000-0005-0000-0000-00006B1C0000}"/>
    <cellStyle name="표준 32 3" xfId="4758" xr:uid="{00000000-0005-0000-0000-00006C1C0000}"/>
    <cellStyle name="표준 32 4" xfId="4759" xr:uid="{00000000-0005-0000-0000-00006D1C0000}"/>
    <cellStyle name="표준 32 5" xfId="4760" xr:uid="{00000000-0005-0000-0000-00006E1C0000}"/>
    <cellStyle name="표준 32 6" xfId="4761" xr:uid="{00000000-0005-0000-0000-00006F1C0000}"/>
    <cellStyle name="표준 33" xfId="4762" xr:uid="{00000000-0005-0000-0000-0000701C0000}"/>
    <cellStyle name="표준 33 2" xfId="4763" xr:uid="{00000000-0005-0000-0000-0000711C0000}"/>
    <cellStyle name="표준 33 3" xfId="4764" xr:uid="{00000000-0005-0000-0000-0000721C0000}"/>
    <cellStyle name="표준 33 4" xfId="4765" xr:uid="{00000000-0005-0000-0000-0000731C0000}"/>
    <cellStyle name="표준 33 5" xfId="4766" xr:uid="{00000000-0005-0000-0000-0000741C0000}"/>
    <cellStyle name="표준 33 6" xfId="4767" xr:uid="{00000000-0005-0000-0000-0000751C0000}"/>
    <cellStyle name="표준 34" xfId="4768" xr:uid="{00000000-0005-0000-0000-0000761C0000}"/>
    <cellStyle name="표준 34 2" xfId="4769" xr:uid="{00000000-0005-0000-0000-0000771C0000}"/>
    <cellStyle name="표준 34 3" xfId="4770" xr:uid="{00000000-0005-0000-0000-0000781C0000}"/>
    <cellStyle name="표준 34 4" xfId="4771" xr:uid="{00000000-0005-0000-0000-0000791C0000}"/>
    <cellStyle name="표준 34 5" xfId="4772" xr:uid="{00000000-0005-0000-0000-00007A1C0000}"/>
    <cellStyle name="표준 34 6" xfId="4773" xr:uid="{00000000-0005-0000-0000-00007B1C0000}"/>
    <cellStyle name="표준 35" xfId="4774" xr:uid="{00000000-0005-0000-0000-00007C1C0000}"/>
    <cellStyle name="표준 35 2" xfId="4775" xr:uid="{00000000-0005-0000-0000-00007D1C0000}"/>
    <cellStyle name="표준 35 3" xfId="4776" xr:uid="{00000000-0005-0000-0000-00007E1C0000}"/>
    <cellStyle name="표준 35 4" xfId="4777" xr:uid="{00000000-0005-0000-0000-00007F1C0000}"/>
    <cellStyle name="표준 35 5" xfId="4778" xr:uid="{00000000-0005-0000-0000-0000801C0000}"/>
    <cellStyle name="표준 35 6" xfId="4779" xr:uid="{00000000-0005-0000-0000-0000811C0000}"/>
    <cellStyle name="표준 36" xfId="4780" xr:uid="{00000000-0005-0000-0000-0000821C0000}"/>
    <cellStyle name="표준 37" xfId="4781" xr:uid="{00000000-0005-0000-0000-0000831C0000}"/>
    <cellStyle name="표준 38" xfId="4782" xr:uid="{00000000-0005-0000-0000-0000841C0000}"/>
    <cellStyle name="표준 39" xfId="4783" xr:uid="{00000000-0005-0000-0000-0000851C0000}"/>
    <cellStyle name="표준 4" xfId="4784" xr:uid="{00000000-0005-0000-0000-0000861C0000}"/>
    <cellStyle name="표준 4 2" xfId="4785" xr:uid="{00000000-0005-0000-0000-0000871C0000}"/>
    <cellStyle name="표준 40" xfId="4786" xr:uid="{00000000-0005-0000-0000-0000881C0000}"/>
    <cellStyle name="표준 41" xfId="4787" xr:uid="{00000000-0005-0000-0000-0000891C0000}"/>
    <cellStyle name="표준 42" xfId="4788" xr:uid="{00000000-0005-0000-0000-00008A1C0000}"/>
    <cellStyle name="표준 43" xfId="4789" xr:uid="{00000000-0005-0000-0000-00008B1C0000}"/>
    <cellStyle name="표준 44" xfId="4790" xr:uid="{00000000-0005-0000-0000-00008C1C0000}"/>
    <cellStyle name="표준 45" xfId="4791" xr:uid="{00000000-0005-0000-0000-00008D1C0000}"/>
    <cellStyle name="표준 46" xfId="4810" xr:uid="{00000000-0005-0000-0000-00008E1C0000}"/>
    <cellStyle name="표준 46 2" xfId="7354" xr:uid="{00000000-0005-0000-0000-00008F1C0000}"/>
    <cellStyle name="표준 46 2 2" xfId="7357" xr:uid="{00000000-0005-0000-0000-0000901C0000}"/>
    <cellStyle name="표준 46 3" xfId="7356" xr:uid="{00000000-0005-0000-0000-0000911C0000}"/>
    <cellStyle name="표준 47" xfId="6442" xr:uid="{00000000-0005-0000-0000-0000921C0000}"/>
    <cellStyle name="표준 5" xfId="4792" xr:uid="{00000000-0005-0000-0000-0000931C0000}"/>
    <cellStyle name="표준 5 2" xfId="4793" xr:uid="{00000000-0005-0000-0000-0000941C0000}"/>
    <cellStyle name="표준 5_쓰레기 불법투기  단속시스템(CCTV) 구매설치 설계내역서" xfId="4794" xr:uid="{00000000-0005-0000-0000-0000951C0000}"/>
    <cellStyle name="표준 6" xfId="4795" xr:uid="{00000000-0005-0000-0000-0000961C0000}"/>
    <cellStyle name="표준 6 10" xfId="6432" xr:uid="{00000000-0005-0000-0000-0000971C0000}"/>
    <cellStyle name="표준 6 11" xfId="6433" xr:uid="{00000000-0005-0000-0000-0000981C0000}"/>
    <cellStyle name="표준 6 12" xfId="6434" xr:uid="{00000000-0005-0000-0000-0000991C0000}"/>
    <cellStyle name="표준 6 2" xfId="4796" xr:uid="{00000000-0005-0000-0000-00009A1C0000}"/>
    <cellStyle name="표준 6 3" xfId="6435" xr:uid="{00000000-0005-0000-0000-00009B1C0000}"/>
    <cellStyle name="표준 6 4" xfId="6436" xr:uid="{00000000-0005-0000-0000-00009C1C0000}"/>
    <cellStyle name="표준 6 5" xfId="6437" xr:uid="{00000000-0005-0000-0000-00009D1C0000}"/>
    <cellStyle name="표준 6 6" xfId="6438" xr:uid="{00000000-0005-0000-0000-00009E1C0000}"/>
    <cellStyle name="표준 6 7" xfId="6439" xr:uid="{00000000-0005-0000-0000-00009F1C0000}"/>
    <cellStyle name="표준 6 8" xfId="6440" xr:uid="{00000000-0005-0000-0000-0000A01C0000}"/>
    <cellStyle name="표준 6 9" xfId="6441" xr:uid="{00000000-0005-0000-0000-0000A11C0000}"/>
    <cellStyle name="표준 6_쓰레기 불법투기  단속시스템(CCTV) 구매설치 설계내역서" xfId="4797" xr:uid="{00000000-0005-0000-0000-0000A21C0000}"/>
    <cellStyle name="표준 7" xfId="4798" xr:uid="{00000000-0005-0000-0000-0000A31C0000}"/>
    <cellStyle name="표준 7 2" xfId="4799" xr:uid="{00000000-0005-0000-0000-0000A41C0000}"/>
    <cellStyle name="표준 8" xfId="4800" xr:uid="{00000000-0005-0000-0000-0000A51C0000}"/>
    <cellStyle name="표준 8 2" xfId="4801" xr:uid="{00000000-0005-0000-0000-0000A61C0000}"/>
    <cellStyle name="표준 9" xfId="4802" xr:uid="{00000000-0005-0000-0000-0000A71C0000}"/>
    <cellStyle name="표준 9 2" xfId="4803" xr:uid="{00000000-0005-0000-0000-0000A81C0000}"/>
    <cellStyle name="표준[Sheet1 (2)_공사일지" xfId="4804" xr:uid="{00000000-0005-0000-0000-0000A91C0000}"/>
    <cellStyle name="표준_2007관내가로등 설치공사(1차)-수정" xfId="1858" xr:uid="{00000000-0005-0000-0000-0000AA1C0000}"/>
    <cellStyle name="標準_Akia(F）-8" xfId="1861" xr:uid="{00000000-0005-0000-0000-0000AB1C0000}"/>
    <cellStyle name="표준_Book1" xfId="7358" xr:uid="{00000000-0005-0000-0000-0000AC1C0000}"/>
    <cellStyle name="표준_어연보건진료소이전신축전기공사" xfId="1859" xr:uid="{00000000-0005-0000-0000-0000AD1C0000}"/>
    <cellStyle name="표준_자재단가가로등" xfId="1860" xr:uid="{00000000-0005-0000-0000-0000AE1C0000}"/>
    <cellStyle name="표준1" xfId="1862" xr:uid="{00000000-0005-0000-0000-0000AF1C0000}"/>
    <cellStyle name="표준2" xfId="1863" xr:uid="{00000000-0005-0000-0000-0000B01C0000}"/>
    <cellStyle name="표준날짜" xfId="1864" xr:uid="{00000000-0005-0000-0000-0000B11C0000}"/>
    <cellStyle name="표준숫자" xfId="1865" xr:uid="{00000000-0005-0000-0000-0000B21C0000}"/>
    <cellStyle name="표쥰" xfId="1866" xr:uid="{00000000-0005-0000-0000-0000B31C0000}"/>
    <cellStyle name="하이퍼링크 2" xfId="7355" xr:uid="{00000000-0005-0000-0000-0000B41C0000}"/>
    <cellStyle name="합계" xfId="4805" xr:uid="{00000000-0005-0000-0000-0000B51C0000}"/>
    <cellStyle name="합산" xfId="1867" xr:uid="{00000000-0005-0000-0000-0000B61C0000}"/>
    <cellStyle name="합산 2" xfId="7343" xr:uid="{00000000-0005-0000-0000-0000B71C0000}"/>
    <cellStyle name="垓" xfId="4806" xr:uid="{00000000-0005-0000-0000-0000B81C0000}"/>
    <cellStyle name="해동양식" xfId="4807" xr:uid="{00000000-0005-0000-0000-0000B91C0000}"/>
    <cellStyle name="호표" xfId="4808" xr:uid="{00000000-0005-0000-0000-0000BA1C0000}"/>
    <cellStyle name="貨幣[0]_10" xfId="4809" xr:uid="{00000000-0005-0000-0000-0000BB1C0000}"/>
    <cellStyle name="화폐기호" xfId="1868" xr:uid="{00000000-0005-0000-0000-0000BC1C0000}"/>
    <cellStyle name="화폐기호 2" xfId="7344" xr:uid="{00000000-0005-0000-0000-0000BD1C0000}"/>
    <cellStyle name="화폐기호0" xfId="1869" xr:uid="{00000000-0005-0000-0000-0000BE1C0000}"/>
    <cellStyle name="화폐기호0 2" xfId="7345" xr:uid="{00000000-0005-0000-0000-0000BF1C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1818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7.xml"/><Relationship Id="rId21" Type="http://schemas.openxmlformats.org/officeDocument/2006/relationships/externalLink" Target="externalLinks/externalLink11.xml"/><Relationship Id="rId42" Type="http://schemas.openxmlformats.org/officeDocument/2006/relationships/externalLink" Target="externalLinks/externalLink32.xml"/><Relationship Id="rId63" Type="http://schemas.openxmlformats.org/officeDocument/2006/relationships/externalLink" Target="externalLinks/externalLink53.xml"/><Relationship Id="rId84" Type="http://schemas.openxmlformats.org/officeDocument/2006/relationships/externalLink" Target="externalLinks/externalLink74.xml"/><Relationship Id="rId138" Type="http://schemas.openxmlformats.org/officeDocument/2006/relationships/externalLink" Target="externalLinks/externalLink128.xml"/><Relationship Id="rId159" Type="http://schemas.openxmlformats.org/officeDocument/2006/relationships/externalLink" Target="externalLinks/externalLink149.xml"/><Relationship Id="rId107" Type="http://schemas.openxmlformats.org/officeDocument/2006/relationships/externalLink" Target="externalLinks/externalLink97.xml"/><Relationship Id="rId11" Type="http://schemas.openxmlformats.org/officeDocument/2006/relationships/externalLink" Target="externalLinks/externalLink1.xml"/><Relationship Id="rId32" Type="http://schemas.openxmlformats.org/officeDocument/2006/relationships/externalLink" Target="externalLinks/externalLink22.xml"/><Relationship Id="rId53" Type="http://schemas.openxmlformats.org/officeDocument/2006/relationships/externalLink" Target="externalLinks/externalLink43.xml"/><Relationship Id="rId74" Type="http://schemas.openxmlformats.org/officeDocument/2006/relationships/externalLink" Target="externalLinks/externalLink64.xml"/><Relationship Id="rId128" Type="http://schemas.openxmlformats.org/officeDocument/2006/relationships/externalLink" Target="externalLinks/externalLink118.xml"/><Relationship Id="rId149" Type="http://schemas.openxmlformats.org/officeDocument/2006/relationships/externalLink" Target="externalLinks/externalLink139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85.xml"/><Relationship Id="rId160" Type="http://schemas.openxmlformats.org/officeDocument/2006/relationships/externalLink" Target="externalLinks/externalLink150.xml"/><Relationship Id="rId22" Type="http://schemas.openxmlformats.org/officeDocument/2006/relationships/externalLink" Target="externalLinks/externalLink12.xml"/><Relationship Id="rId43" Type="http://schemas.openxmlformats.org/officeDocument/2006/relationships/externalLink" Target="externalLinks/externalLink33.xml"/><Relationship Id="rId64" Type="http://schemas.openxmlformats.org/officeDocument/2006/relationships/externalLink" Target="externalLinks/externalLink54.xml"/><Relationship Id="rId118" Type="http://schemas.openxmlformats.org/officeDocument/2006/relationships/externalLink" Target="externalLinks/externalLink108.xml"/><Relationship Id="rId139" Type="http://schemas.openxmlformats.org/officeDocument/2006/relationships/externalLink" Target="externalLinks/externalLink129.xml"/><Relationship Id="rId85" Type="http://schemas.openxmlformats.org/officeDocument/2006/relationships/externalLink" Target="externalLinks/externalLink75.xml"/><Relationship Id="rId150" Type="http://schemas.openxmlformats.org/officeDocument/2006/relationships/externalLink" Target="externalLinks/externalLink140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33" Type="http://schemas.openxmlformats.org/officeDocument/2006/relationships/externalLink" Target="externalLinks/externalLink23.xml"/><Relationship Id="rId38" Type="http://schemas.openxmlformats.org/officeDocument/2006/relationships/externalLink" Target="externalLinks/externalLink28.xml"/><Relationship Id="rId59" Type="http://schemas.openxmlformats.org/officeDocument/2006/relationships/externalLink" Target="externalLinks/externalLink49.xml"/><Relationship Id="rId103" Type="http://schemas.openxmlformats.org/officeDocument/2006/relationships/externalLink" Target="externalLinks/externalLink93.xml"/><Relationship Id="rId108" Type="http://schemas.openxmlformats.org/officeDocument/2006/relationships/externalLink" Target="externalLinks/externalLink98.xml"/><Relationship Id="rId124" Type="http://schemas.openxmlformats.org/officeDocument/2006/relationships/externalLink" Target="externalLinks/externalLink114.xml"/><Relationship Id="rId129" Type="http://schemas.openxmlformats.org/officeDocument/2006/relationships/externalLink" Target="externalLinks/externalLink119.xml"/><Relationship Id="rId54" Type="http://schemas.openxmlformats.org/officeDocument/2006/relationships/externalLink" Target="externalLinks/externalLink44.xml"/><Relationship Id="rId70" Type="http://schemas.openxmlformats.org/officeDocument/2006/relationships/externalLink" Target="externalLinks/externalLink60.xml"/><Relationship Id="rId75" Type="http://schemas.openxmlformats.org/officeDocument/2006/relationships/externalLink" Target="externalLinks/externalLink65.xml"/><Relationship Id="rId91" Type="http://schemas.openxmlformats.org/officeDocument/2006/relationships/externalLink" Target="externalLinks/externalLink81.xml"/><Relationship Id="rId96" Type="http://schemas.openxmlformats.org/officeDocument/2006/relationships/externalLink" Target="externalLinks/externalLink86.xml"/><Relationship Id="rId140" Type="http://schemas.openxmlformats.org/officeDocument/2006/relationships/externalLink" Target="externalLinks/externalLink130.xml"/><Relationship Id="rId145" Type="http://schemas.openxmlformats.org/officeDocument/2006/relationships/externalLink" Target="externalLinks/externalLink135.xml"/><Relationship Id="rId161" Type="http://schemas.openxmlformats.org/officeDocument/2006/relationships/externalLink" Target="externalLinks/externalLink15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49" Type="http://schemas.openxmlformats.org/officeDocument/2006/relationships/externalLink" Target="externalLinks/externalLink39.xml"/><Relationship Id="rId114" Type="http://schemas.openxmlformats.org/officeDocument/2006/relationships/externalLink" Target="externalLinks/externalLink104.xml"/><Relationship Id="rId119" Type="http://schemas.openxmlformats.org/officeDocument/2006/relationships/externalLink" Target="externalLinks/externalLink109.xml"/><Relationship Id="rId44" Type="http://schemas.openxmlformats.org/officeDocument/2006/relationships/externalLink" Target="externalLinks/externalLink34.xml"/><Relationship Id="rId60" Type="http://schemas.openxmlformats.org/officeDocument/2006/relationships/externalLink" Target="externalLinks/externalLink50.xml"/><Relationship Id="rId65" Type="http://schemas.openxmlformats.org/officeDocument/2006/relationships/externalLink" Target="externalLinks/externalLink55.xml"/><Relationship Id="rId81" Type="http://schemas.openxmlformats.org/officeDocument/2006/relationships/externalLink" Target="externalLinks/externalLink71.xml"/><Relationship Id="rId86" Type="http://schemas.openxmlformats.org/officeDocument/2006/relationships/externalLink" Target="externalLinks/externalLink76.xml"/><Relationship Id="rId130" Type="http://schemas.openxmlformats.org/officeDocument/2006/relationships/externalLink" Target="externalLinks/externalLink120.xml"/><Relationship Id="rId135" Type="http://schemas.openxmlformats.org/officeDocument/2006/relationships/externalLink" Target="externalLinks/externalLink125.xml"/><Relationship Id="rId151" Type="http://schemas.openxmlformats.org/officeDocument/2006/relationships/externalLink" Target="externalLinks/externalLink141.xml"/><Relationship Id="rId156" Type="http://schemas.openxmlformats.org/officeDocument/2006/relationships/externalLink" Target="externalLinks/externalLink146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9" Type="http://schemas.openxmlformats.org/officeDocument/2006/relationships/externalLink" Target="externalLinks/externalLink29.xml"/><Relationship Id="rId109" Type="http://schemas.openxmlformats.org/officeDocument/2006/relationships/externalLink" Target="externalLinks/externalLink99.xml"/><Relationship Id="rId34" Type="http://schemas.openxmlformats.org/officeDocument/2006/relationships/externalLink" Target="externalLinks/externalLink24.xml"/><Relationship Id="rId50" Type="http://schemas.openxmlformats.org/officeDocument/2006/relationships/externalLink" Target="externalLinks/externalLink40.xml"/><Relationship Id="rId55" Type="http://schemas.openxmlformats.org/officeDocument/2006/relationships/externalLink" Target="externalLinks/externalLink45.xml"/><Relationship Id="rId76" Type="http://schemas.openxmlformats.org/officeDocument/2006/relationships/externalLink" Target="externalLinks/externalLink66.xml"/><Relationship Id="rId97" Type="http://schemas.openxmlformats.org/officeDocument/2006/relationships/externalLink" Target="externalLinks/externalLink87.xml"/><Relationship Id="rId104" Type="http://schemas.openxmlformats.org/officeDocument/2006/relationships/externalLink" Target="externalLinks/externalLink94.xml"/><Relationship Id="rId120" Type="http://schemas.openxmlformats.org/officeDocument/2006/relationships/externalLink" Target="externalLinks/externalLink110.xml"/><Relationship Id="rId125" Type="http://schemas.openxmlformats.org/officeDocument/2006/relationships/externalLink" Target="externalLinks/externalLink115.xml"/><Relationship Id="rId141" Type="http://schemas.openxmlformats.org/officeDocument/2006/relationships/externalLink" Target="externalLinks/externalLink131.xml"/><Relationship Id="rId146" Type="http://schemas.openxmlformats.org/officeDocument/2006/relationships/externalLink" Target="externalLinks/externalLink136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1.xml"/><Relationship Id="rId92" Type="http://schemas.openxmlformats.org/officeDocument/2006/relationships/externalLink" Target="externalLinks/externalLink82.xml"/><Relationship Id="rId162" Type="http://schemas.openxmlformats.org/officeDocument/2006/relationships/externalLink" Target="externalLinks/externalLink152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9.xml"/><Relationship Id="rId24" Type="http://schemas.openxmlformats.org/officeDocument/2006/relationships/externalLink" Target="externalLinks/externalLink14.xml"/><Relationship Id="rId40" Type="http://schemas.openxmlformats.org/officeDocument/2006/relationships/externalLink" Target="externalLinks/externalLink30.xml"/><Relationship Id="rId45" Type="http://schemas.openxmlformats.org/officeDocument/2006/relationships/externalLink" Target="externalLinks/externalLink35.xml"/><Relationship Id="rId66" Type="http://schemas.openxmlformats.org/officeDocument/2006/relationships/externalLink" Target="externalLinks/externalLink56.xml"/><Relationship Id="rId87" Type="http://schemas.openxmlformats.org/officeDocument/2006/relationships/externalLink" Target="externalLinks/externalLink77.xml"/><Relationship Id="rId110" Type="http://schemas.openxmlformats.org/officeDocument/2006/relationships/externalLink" Target="externalLinks/externalLink100.xml"/><Relationship Id="rId115" Type="http://schemas.openxmlformats.org/officeDocument/2006/relationships/externalLink" Target="externalLinks/externalLink105.xml"/><Relationship Id="rId131" Type="http://schemas.openxmlformats.org/officeDocument/2006/relationships/externalLink" Target="externalLinks/externalLink121.xml"/><Relationship Id="rId136" Type="http://schemas.openxmlformats.org/officeDocument/2006/relationships/externalLink" Target="externalLinks/externalLink126.xml"/><Relationship Id="rId157" Type="http://schemas.openxmlformats.org/officeDocument/2006/relationships/externalLink" Target="externalLinks/externalLink147.xml"/><Relationship Id="rId61" Type="http://schemas.openxmlformats.org/officeDocument/2006/relationships/externalLink" Target="externalLinks/externalLink51.xml"/><Relationship Id="rId82" Type="http://schemas.openxmlformats.org/officeDocument/2006/relationships/externalLink" Target="externalLinks/externalLink72.xml"/><Relationship Id="rId152" Type="http://schemas.openxmlformats.org/officeDocument/2006/relationships/externalLink" Target="externalLinks/externalLink142.xml"/><Relationship Id="rId19" Type="http://schemas.openxmlformats.org/officeDocument/2006/relationships/externalLink" Target="externalLinks/externalLink9.xml"/><Relationship Id="rId14" Type="http://schemas.openxmlformats.org/officeDocument/2006/relationships/externalLink" Target="externalLinks/externalLink4.xml"/><Relationship Id="rId30" Type="http://schemas.openxmlformats.org/officeDocument/2006/relationships/externalLink" Target="externalLinks/externalLink20.xml"/><Relationship Id="rId35" Type="http://schemas.openxmlformats.org/officeDocument/2006/relationships/externalLink" Target="externalLinks/externalLink25.xml"/><Relationship Id="rId56" Type="http://schemas.openxmlformats.org/officeDocument/2006/relationships/externalLink" Target="externalLinks/externalLink46.xml"/><Relationship Id="rId77" Type="http://schemas.openxmlformats.org/officeDocument/2006/relationships/externalLink" Target="externalLinks/externalLink67.xml"/><Relationship Id="rId100" Type="http://schemas.openxmlformats.org/officeDocument/2006/relationships/externalLink" Target="externalLinks/externalLink90.xml"/><Relationship Id="rId105" Type="http://schemas.openxmlformats.org/officeDocument/2006/relationships/externalLink" Target="externalLinks/externalLink95.xml"/><Relationship Id="rId126" Type="http://schemas.openxmlformats.org/officeDocument/2006/relationships/externalLink" Target="externalLinks/externalLink116.xml"/><Relationship Id="rId147" Type="http://schemas.openxmlformats.org/officeDocument/2006/relationships/externalLink" Target="externalLinks/externalLink137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1.xml"/><Relationship Id="rId72" Type="http://schemas.openxmlformats.org/officeDocument/2006/relationships/externalLink" Target="externalLinks/externalLink62.xml"/><Relationship Id="rId93" Type="http://schemas.openxmlformats.org/officeDocument/2006/relationships/externalLink" Target="externalLinks/externalLink83.xml"/><Relationship Id="rId98" Type="http://schemas.openxmlformats.org/officeDocument/2006/relationships/externalLink" Target="externalLinks/externalLink88.xml"/><Relationship Id="rId121" Type="http://schemas.openxmlformats.org/officeDocument/2006/relationships/externalLink" Target="externalLinks/externalLink111.xml"/><Relationship Id="rId142" Type="http://schemas.openxmlformats.org/officeDocument/2006/relationships/externalLink" Target="externalLinks/externalLink13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5.xml"/><Relationship Id="rId46" Type="http://schemas.openxmlformats.org/officeDocument/2006/relationships/externalLink" Target="externalLinks/externalLink36.xml"/><Relationship Id="rId67" Type="http://schemas.openxmlformats.org/officeDocument/2006/relationships/externalLink" Target="externalLinks/externalLink57.xml"/><Relationship Id="rId116" Type="http://schemas.openxmlformats.org/officeDocument/2006/relationships/externalLink" Target="externalLinks/externalLink106.xml"/><Relationship Id="rId137" Type="http://schemas.openxmlformats.org/officeDocument/2006/relationships/externalLink" Target="externalLinks/externalLink127.xml"/><Relationship Id="rId158" Type="http://schemas.openxmlformats.org/officeDocument/2006/relationships/externalLink" Target="externalLinks/externalLink148.xml"/><Relationship Id="rId20" Type="http://schemas.openxmlformats.org/officeDocument/2006/relationships/externalLink" Target="externalLinks/externalLink10.xml"/><Relationship Id="rId41" Type="http://schemas.openxmlformats.org/officeDocument/2006/relationships/externalLink" Target="externalLinks/externalLink31.xml"/><Relationship Id="rId62" Type="http://schemas.openxmlformats.org/officeDocument/2006/relationships/externalLink" Target="externalLinks/externalLink52.xml"/><Relationship Id="rId83" Type="http://schemas.openxmlformats.org/officeDocument/2006/relationships/externalLink" Target="externalLinks/externalLink73.xml"/><Relationship Id="rId88" Type="http://schemas.openxmlformats.org/officeDocument/2006/relationships/externalLink" Target="externalLinks/externalLink78.xml"/><Relationship Id="rId111" Type="http://schemas.openxmlformats.org/officeDocument/2006/relationships/externalLink" Target="externalLinks/externalLink101.xml"/><Relationship Id="rId132" Type="http://schemas.openxmlformats.org/officeDocument/2006/relationships/externalLink" Target="externalLinks/externalLink122.xml"/><Relationship Id="rId153" Type="http://schemas.openxmlformats.org/officeDocument/2006/relationships/externalLink" Target="externalLinks/externalLink143.xml"/><Relationship Id="rId15" Type="http://schemas.openxmlformats.org/officeDocument/2006/relationships/externalLink" Target="externalLinks/externalLink5.xml"/><Relationship Id="rId36" Type="http://schemas.openxmlformats.org/officeDocument/2006/relationships/externalLink" Target="externalLinks/externalLink26.xml"/><Relationship Id="rId57" Type="http://schemas.openxmlformats.org/officeDocument/2006/relationships/externalLink" Target="externalLinks/externalLink47.xml"/><Relationship Id="rId106" Type="http://schemas.openxmlformats.org/officeDocument/2006/relationships/externalLink" Target="externalLinks/externalLink96.xml"/><Relationship Id="rId127" Type="http://schemas.openxmlformats.org/officeDocument/2006/relationships/externalLink" Target="externalLinks/externalLink117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1.xml"/><Relationship Id="rId52" Type="http://schemas.openxmlformats.org/officeDocument/2006/relationships/externalLink" Target="externalLinks/externalLink42.xml"/><Relationship Id="rId73" Type="http://schemas.openxmlformats.org/officeDocument/2006/relationships/externalLink" Target="externalLinks/externalLink63.xml"/><Relationship Id="rId78" Type="http://schemas.openxmlformats.org/officeDocument/2006/relationships/externalLink" Target="externalLinks/externalLink68.xml"/><Relationship Id="rId94" Type="http://schemas.openxmlformats.org/officeDocument/2006/relationships/externalLink" Target="externalLinks/externalLink84.xml"/><Relationship Id="rId99" Type="http://schemas.openxmlformats.org/officeDocument/2006/relationships/externalLink" Target="externalLinks/externalLink89.xml"/><Relationship Id="rId101" Type="http://schemas.openxmlformats.org/officeDocument/2006/relationships/externalLink" Target="externalLinks/externalLink91.xml"/><Relationship Id="rId122" Type="http://schemas.openxmlformats.org/officeDocument/2006/relationships/externalLink" Target="externalLinks/externalLink112.xml"/><Relationship Id="rId143" Type="http://schemas.openxmlformats.org/officeDocument/2006/relationships/externalLink" Target="externalLinks/externalLink133.xml"/><Relationship Id="rId148" Type="http://schemas.openxmlformats.org/officeDocument/2006/relationships/externalLink" Target="externalLinks/externalLink13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37.xml"/><Relationship Id="rId68" Type="http://schemas.openxmlformats.org/officeDocument/2006/relationships/externalLink" Target="externalLinks/externalLink58.xml"/><Relationship Id="rId89" Type="http://schemas.openxmlformats.org/officeDocument/2006/relationships/externalLink" Target="externalLinks/externalLink79.xml"/><Relationship Id="rId112" Type="http://schemas.openxmlformats.org/officeDocument/2006/relationships/externalLink" Target="externalLinks/externalLink102.xml"/><Relationship Id="rId133" Type="http://schemas.openxmlformats.org/officeDocument/2006/relationships/externalLink" Target="externalLinks/externalLink123.xml"/><Relationship Id="rId154" Type="http://schemas.openxmlformats.org/officeDocument/2006/relationships/externalLink" Target="externalLinks/externalLink144.xml"/><Relationship Id="rId16" Type="http://schemas.openxmlformats.org/officeDocument/2006/relationships/externalLink" Target="externalLinks/externalLink6.xml"/><Relationship Id="rId37" Type="http://schemas.openxmlformats.org/officeDocument/2006/relationships/externalLink" Target="externalLinks/externalLink27.xml"/><Relationship Id="rId58" Type="http://schemas.openxmlformats.org/officeDocument/2006/relationships/externalLink" Target="externalLinks/externalLink48.xml"/><Relationship Id="rId79" Type="http://schemas.openxmlformats.org/officeDocument/2006/relationships/externalLink" Target="externalLinks/externalLink69.xml"/><Relationship Id="rId102" Type="http://schemas.openxmlformats.org/officeDocument/2006/relationships/externalLink" Target="externalLinks/externalLink92.xml"/><Relationship Id="rId123" Type="http://schemas.openxmlformats.org/officeDocument/2006/relationships/externalLink" Target="externalLinks/externalLink113.xml"/><Relationship Id="rId144" Type="http://schemas.openxmlformats.org/officeDocument/2006/relationships/externalLink" Target="externalLinks/externalLink134.xml"/><Relationship Id="rId90" Type="http://schemas.openxmlformats.org/officeDocument/2006/relationships/externalLink" Target="externalLinks/externalLink80.xml"/><Relationship Id="rId165" Type="http://schemas.openxmlformats.org/officeDocument/2006/relationships/sharedStrings" Target="sharedStrings.xml"/><Relationship Id="rId27" Type="http://schemas.openxmlformats.org/officeDocument/2006/relationships/externalLink" Target="externalLinks/externalLink17.xml"/><Relationship Id="rId48" Type="http://schemas.openxmlformats.org/officeDocument/2006/relationships/externalLink" Target="externalLinks/externalLink38.xml"/><Relationship Id="rId69" Type="http://schemas.openxmlformats.org/officeDocument/2006/relationships/externalLink" Target="externalLinks/externalLink59.xml"/><Relationship Id="rId113" Type="http://schemas.openxmlformats.org/officeDocument/2006/relationships/externalLink" Target="externalLinks/externalLink103.xml"/><Relationship Id="rId134" Type="http://schemas.openxmlformats.org/officeDocument/2006/relationships/externalLink" Target="externalLinks/externalLink124.xml"/><Relationship Id="rId80" Type="http://schemas.openxmlformats.org/officeDocument/2006/relationships/externalLink" Target="externalLinks/externalLink70.xml"/><Relationship Id="rId155" Type="http://schemas.openxmlformats.org/officeDocument/2006/relationships/externalLink" Target="externalLinks/externalLink14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57150</xdr:colOff>
      <xdr:row>12</xdr:row>
      <xdr:rowOff>161925</xdr:rowOff>
    </xdr:from>
    <xdr:to>
      <xdr:col>20</xdr:col>
      <xdr:colOff>238125</xdr:colOff>
      <xdr:row>14</xdr:row>
      <xdr:rowOff>19050</xdr:rowOff>
    </xdr:to>
    <xdr:pic>
      <xdr:nvPicPr>
        <xdr:cNvPr id="2" name="Picture 18">
          <a:extLst>
            <a:ext uri="{FF2B5EF4-FFF2-40B4-BE49-F238E27FC236}">
              <a16:creationId xmlns:a16="http://schemas.microsoft.com/office/drawing/2014/main" id="{B6315DD1-5FDE-42E8-9E64-D2C17D6BB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57650" y="5829300"/>
          <a:ext cx="1895475" cy="6667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68035</xdr:colOff>
      <xdr:row>1</xdr:row>
      <xdr:rowOff>38877</xdr:rowOff>
    </xdr:from>
    <xdr:to>
      <xdr:col>11</xdr:col>
      <xdr:colOff>660917</xdr:colOff>
      <xdr:row>30</xdr:row>
      <xdr:rowOff>155510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296E04A5-577B-44D7-AB5B-15B87B263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35" y="515127"/>
          <a:ext cx="8932117" cy="519015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48;&#51109;&#45784;1-pc\&#44277;&#50976;\My%20Documents\&#51204;&#44592;&#51088;&#4730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MAIL\INBOX\HSOH\TEMP\IPG0696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89;&#49457;&#49688;\E\&#48337;&#51216;&#44592;&#51648;\&#52572;&#51333;&#48516;\&#51068;&#50948;(48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0;&#49328;&#49436;&#48260;\&#50500;&#49328;&#49436;&#48260;\&#50980;&#50689;&#49437;\&#44204;&#51201;&#49436;\&#54788;&#45824;&#44053;&#45224;&#49324;&#50725;IBS\&#44204;&#51201;&#49436;\1&#52264;&#44204;&#51201;0518&#49688;&#51221;&#48516;\&#49444;&#48708;&#51088;&#46041;&#51228;&#50612;&#49884;&#49884;&#53596;(HVAC)\&#44053;&#45224;&#49444;&#48708;&#49328;&#52636;(97523OK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XLS\ALL-XLS\ULSAN\PRIC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A3E5BC\1_&#51008;&#54217;&#44396;&#51452;&#51221;&#52264;&#45800;&#49549;CCTV_&#49444;&#44228;&#49436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49437;&#51652;\&#49437;&#51652;&#54532;&#47196;&#51229;&#53944;\&#54532;&#47196;&#51229;&#53944;\&#44400;&#46020;(&#45824;&#54868;-&#44060;&#49688;)\&#48512;&#45824;&#49688;&#47049;-&#45208;&#47672;&#5164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AM-5\My%20Documents\dacom\&#50896;&#51452;~&#51228;&#52380;\&#50896;&#51452;&#52572;&#51333;\&#44277;&#53685;&#51088;&#4730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Startup" Target="SULBUN/2r/DIVIDE/&#46020;&#44553;&#48320;&#44221;&#45236;&#50669;(2&#54924;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5.2.163.206\&#50629;&#47924;&#51088;&#47308;\EPRIME\&#44221;&#44592;&#46020;\&#49457;&#45224;&#49884;&#52397;\2012&#45380;&#46020;\&#48264;&#54840;&#51064;&#49885;CCTV\2012&#45380;&#49457;&#45224;&#49884;&#45800;&#44032;&#49328;&#52636;&#49436;\2012&#45380;%20&#49457;&#45224;&#49884;%20&#44592;&#48376;&#45800;&#44032;%20&#49328;&#52636;&#49436;(&#44368;&#53685;&#48516;&#50556;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29;&#47924;&#51088;&#47308;/EPRIME/&#44221;&#44592;&#46020;/&#49457;&#45224;&#49884;&#52397;/2012&#45380;&#46020;/&#48264;&#54840;&#51064;&#49885;CCTV/2012&#45380;&#49457;&#45224;&#49884;&#45800;&#44032;&#49328;&#52636;&#49436;/2012&#45380;%20&#49457;&#45224;&#49884;%20&#44592;&#48376;&#45800;&#44032;%20&#49328;&#52636;&#49436;(&#44368;&#53685;&#48516;&#50556;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_&#51109;&#50689;&#44592;\&#49569;&#46020;&#51473;&#44228;&#54156;&#54532;\&#44592;&#53440;&#49345;&#49464;\&#49688;&#47049;&#50696;\&#50864;&#49688;&#51221;&#48708;\excel\AA-2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AM-5\9611\OUT\YE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WG\ILOT-MI\YUNCH\PLOT\SD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51221;&#50689;'s\&#51089;&#50629;\Projects\5163\&#47932;&#47049;.&#44204;&#51201;\NIS+&#47932;&#47049;+(Pasx+0424,1250,4500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54984;1\amco\Documents%20and%20Settings\&#51060;&#49569;&#55148;.&#49569;&#55148;&#52980;\My%20Documents\&#49569;&#55148;&#47928;&#49436;\&#51064;&#49324;\DATAJUNG\DATA1\&#54032;&#44288;&#48708;\98&#45380;&#50696;&#49328;\&#51204;&#52404;&#50696;&#49328;\98&#54032;&#44288;&#48708;1&#52264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305;&#54872;\&#44368;&#48372;&#49436;&#52488;\project\&#44368;&#48372;&#49436;&#52488;\&#44368;&#48372;&#49373;&#47749;&#51077;&#52272;(20011210)\&#50980;&#50689;&#49437;\&#44204;&#51201;&#49436;\&#54788;&#45824;&#44053;&#45224;&#49324;&#50725;IBS\&#44204;&#51201;&#49436;\1&#52264;&#44204;&#51201;0518&#49688;&#51221;&#48516;\&#49444;&#48708;&#51088;&#46041;&#51228;&#50612;&#49884;&#49884;&#53596;(HVAC)\&#44053;&#45224;&#49444;&#48708;&#49328;&#52636;(97523OK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yeuon\e\DMPRO\DOWN\&#54224;&#44592;&#47932;(&#46041;&#54644;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45824;&#54620;&#48124;&#44397;/My%20Documents/juns1107/&#45236;&#50669;&#49436;/&#51648;&#44396;&#48324;%20&#49444;&#44228;&#45236;&#50669;/&#47785;&#54252;&#49884;&#52397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5.2.163.206\Documents%20and%20Settings\&#45824;&#54620;&#48124;&#44397;\My%20Documents\juns1107\&#45236;&#50669;&#49436;\&#51648;&#44396;&#48324;%20&#49444;&#44228;&#45236;&#50669;\&#47785;&#54252;&#49884;&#52397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&#45824;&#54620;&#48124;&#44397;/My%20Documents/20&#44060;&#48156;&#49444;&#44228;&#48512;(1)/&#54788;&#51109;&#48324;&#49444;&#44228;/&#44592;&#53440;&#51648;&#44396;8&#50900;/&#54644;&#52285;&#51088;&#46041;&#48708;200324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5.2.163.206\Documents%20and%20Settings\&#45824;&#54620;&#48124;&#44397;\My%20Documents\20&#44060;&#48156;&#49444;&#44228;&#48512;(1)\&#54788;&#51109;&#48324;&#49444;&#44228;\&#44592;&#53440;&#51648;&#44396;8&#50900;\&#54644;&#52285;&#51088;&#46041;&#48708;200324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jk\c\7-17.SUB\&#44032;&#47196;&#46321;\&#44228;&#49328;&#49436;\KWAK.DWG\6-3.SUB\MP-SUB\GSS\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2;&#50577;\2.&#44277;&#47924;\1)&#44204;&#51201;&#49436;\2008-&#54616;\TEMP\CAP%20TRAINING%20EXAMPLE%20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AM-5\Office\Excel\9609F\&#44608;&#52380;&#51068;&#50948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IM\&#51204;&#48708;\12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finity\&#54532;&#47196;&#51229;&#53944;\moonsan\hwp\My%20Documents\esco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44508;&#49885;\&#44204;&#51201;2000\PROJECT\Aproj-2\hmc-ny\&#53685;&#54633;&#49688;&#51452;\&#53685;&#54633;&#49688;&#51452;_&#54032;&#54408;2K011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0;&#49328;&#49436;&#48260;\&#50500;&#49328;&#49436;&#48260;\khc\98\KWN\&#51064;&#52380;&#51648;&#44160;\KHJ\&#49552;&#49457;&#54840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51652;&#50724;\PROJECT2\job\12&#44305;&#51452;&#49888;&#52285;&#51648;&#44396;\&#49892;&#49884;&#49444;&#44228;\&#50724;&#49688;&#44277;\&#49688;&#47049;&#49328;&#52636;\&#50864;&#49688;&#49688;&#47049;\&#53664;&#44277;(1&#44277;&#44396;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48;&#51109;&#45784;1-pc\&#44277;&#50976;\&#51204;&#44592;&#51088;&#47308;\&#51204;&#44592;&#51088;&#47308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cada\PJT-99\W-WAEKAN\Yes\ILWI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YANGGU\douc\YG-NEWNY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2;&#50577;\Documents%20and%20Settings\&#45824;&#54620;&#48124;&#44397;\My%20Documents\&#52572;&#50980;&#47925;&#50629;&#47924;&#54260;&#45908;\&#54788;&#51109;&#48324;&#49444;&#44228;\&#44256;&#55141;&#47564;(2000-5)\&#54644;&#52285;&#51088;&#46041;&#48708;20032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4633;&#52380;&#45236;&#50669;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48;&#51109;&#45784;1-pc\&#44277;&#50976;\2002project\&#48120;&#50500;&#47532;&#49345;&#44032;(&#51060;&#52268;&#48373;)\&#48120;&#50500;&#47532;\&#51204;&#44592;&#51088;&#47308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020;&#50980;\C\HEE-DONG\&#44592;&#53440;\&#54801;&#51312;&#51204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857;&#44428;\C\&#44608;&#50857;&#44428;\2000&#45380;&#50629;&#47924;\&#44221;&#50689;\2001&#45380;&#49324;&#50629;&#44228;&#54925;\2001&#45380;%20&#49324;&#50629;&#44228;&#54925;(&#51064;&#50896;)\&#51064;&#50896;&#52509;&#44292;ver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ect\&#48120;&#46020;&#54532;&#46972;&#51088;\WORKSHOP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lian.net/am_bin/KSN/&#44204;&#51201;/&#44288;&#46988;&#49437;(&#48516;&#45817;&#52636;&#44256;&#49468;&#53552;2001.1.10&#48512;&#44305;&#51228;&#52636;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\c\1\&#49884;&#47549;&#46020;&#49436;&#44288;&#44053;&#45817;\TOTAL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_&#51109;&#50689;&#44592;\&#49569;&#46020;&#51473;&#44228;&#54156;&#54532;\&#44592;&#53440;&#49345;&#49464;\&#49688;&#47049;&#50696;\&#50864;&#49688;&#51221;&#48708;\excel\sorce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hjkim\&#51109;&#44592;&#44228;&#54925;\&#50857;&#51648;&#50672;&#47161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8176;&#54980;&#51648;&#50896;&#45800;&#51648;\&#51456;&#44277;&#47928;&#49436;\&#48176;&#54980;&#51648;&#50896;&#45800;&#51648;\&#51204;&#44592;&#49444;&#44228;&#49436;(as-built)\&#48176;&#54980;&#44592;&#48152;&#51204;&#44592;\Book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76;&#54980;&#51648;&#50896;&#45800;&#51648;/&#51456;&#44277;&#47928;&#49436;/&#48176;&#54980;&#51648;&#50896;&#45800;&#51648;/&#51204;&#44592;&#49444;&#44228;&#49436;(as-built)/&#48176;&#54980;&#44592;&#48152;&#51204;&#44592;/Book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51652;&#50724;\PROJECT2\&#54788;&#50577;&#51452;\work(2001)\&#50516;&#44144;&#44396;&#51312;&#44228;&#49328;\&#44396;&#51312;&#54644;&#49437;(2001)\&#44288;&#44553;\&#49457;&#46041;&#44396;&#52397;(&#49888;&#54788;&#51649;)\2518&#52572;&#51333;\&#49688;&#47049;&#49328;&#52636;&#49436;(&#52572;&#51333;)\&#52572;&#51333;&#45225;&#54408;\&#49457;&#49688;&#50669;%20&#51452;&#48320;%20&#54616;&#49688;&#50516;&#44144;%20&#54869;&#51109;&#49324;&#50629;\&#49688;&#47049;&#49328;&#52636;&#49436;\PCBOX%20&#49444;&#52824;&#44277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WG\ILOT-MI\SUNGNAM\TAL\SUNGNAM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\c\site\&#54620;&#51204;\HEXCEL\XLS\XL_DATA\&#44204;&#51201;\&#50629;&#52404;\HIT\&#50500;&#49328;&#44277;&#51109;\&#50500;&#49328;&#51032;&#51204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3440;&#54788;&#51109;\&#51453;&#51204;&#54788;&#51109;\&#49892;&#51221;&#48372;&#44256;\EGI&#55040;&#49828;&#49444;&#52824;\&#45800;&#44032;&#49328;&#52636;&#47785;&#47197;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3440;&#54788;&#51109;/&#51453;&#51204;&#54788;&#51109;/&#49892;&#51221;&#48372;&#44256;/EGI&#55040;&#49828;&#49444;&#52824;/&#45800;&#44032;&#49328;&#52636;&#47785;&#47197;0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020;&#50980;\C\HEE-DONG\&#49688;&#48520;&#49552;&#51061;\9614\&#49688;&#48520;&#45236;&#49688;.14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ung\ouk~&#48708;&#48128;&#44277;&#44036;\&#51088;&#47308;\&#49436;&#50872;\&#49436;&#50872;2003\&#50896;&#51064;&#51088;\&#49436;&#50872;&#44592;&#54925;2003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hlee\project\Project\DE99024-30\&#51473;&#50521;&#49440;&#51473;&#54868;&#50669;&#49324;\EXCEL\&#47588;&#44257;&#50669;&#49324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WINDOWS\TEMP\ARC95PRC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2;&#50577;\Documents%20and%20Settings\&#45824;&#54620;&#48124;&#44397;\My%20Documents\20&#44060;&#48156;&#49444;&#44228;&#48512;(1)\&#45236;&#50669;&#49436;\&#50900;&#48324;&#49444;&#44228;&#51032;&#47280;&#52376;&#47532;\&#54788;&#49328;&#51648;&#44396;200420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89;&#51333;&#54861;GJ\SHARE_C\HMMTOA\SENDMAIL\BODY\32440A68\96\2\&#44277;&#49324;DATA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microsoft.com/office/2006/relationships/xlExternalLinkPath/xlStartup" Target="&#50724;&#54588;&#49828;&#53588;/&#49340;&#55148;&#50724;&#53588;/&#49340;&#55148;&#50724;&#53588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hjkim\&#51109;&#44592;&#44228;&#54925;\&#50857;&#51648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54984;1\&#44277;&#49324;&#44288;&#47532;\WINDOWS\&#48148;&#53461;%20&#54868;&#47732;\&#45236;%20&#49436;&#47448;%20&#44032;&#48169;\&#49884;&#49444;&#48512;&#51089;&#50629;&#51032;&#47280;&#49436;&#47785;&#52264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54984;1\&#44277;&#49324;&#44288;&#47532;\&#44032;-My%20Documents\&#44148;&#52629;&#44277;&#49324;\&#48176;&#44592;2&#46041;&#51613;&#52629;\&#46020;&#44553;&#50696;&#49328;\&#48176;&#44592;2&#46041;&#50696;&#49328;&#49436;-&#53685;&#54633;(10&#50900;29&#51068;)\&#44592;&#49457;&#48516;&#54644;&#51312;&#47549;&#51109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54984;1\&#44277;&#49324;&#44288;&#47532;\My%20Documents\&#50976;&#54616;&#49453;\&#54788;&#45824;\&#45224;&#50577;\&#45224;&#50577;al&#52285;&#54840;\AL&#52285;&#54840;&#44277;&#49324;(&#51068;&#50948;&#45824;&#44032;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ERVER\hdd4\My%20Documents\PERSONAL\Q-ty-1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anit\&#50500;&#49328;&#51221;&#48372;&#53685;&#49888;%20&#54868;&#51068;&#49436;&#48260;\&#44277;&#49324;&#48512;2\&#49436;&#50872;&#44368;&#54924;\&#49436;&#50872;&#44368;&#54924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4.chollian.net/am_bin/KSN/&#44204;&#51201;/&#45224;&#50577;&#44396;&#51312;&#49884;&#54744;&#46041;010618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2;&#50577;\Documents%20and%20Settings\&#45824;&#54620;&#48124;&#44397;\My%20Documents\&#46020;&#54784;&#45768;&#44732;\kimexell\&#49324;&#45236;&#51648;&#44396;&#52572;&#51333;\&#54644;&#52285;&#51088;&#46041;&#48708;200324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54984;1\amco\Documents%20and%20Settings\&#51060;&#49569;&#55148;.&#49569;&#55148;&#52980;\My%20Documents\&#49569;&#55148;&#47928;&#49436;\&#51064;&#49324;\WINDOWS\TEMP\&#44608;&#54952;&#50689;\&#50900;&#54788;&#54889;\&#54364;&#51456;&#47928;&#49436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LOTUS\9605P\BB_C-BD\OUT\YES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5432;&#55148;\C\&#45796;&#47480;&#51088;&#47308;\345\&#44277;&#49324;&#44288;&#47144;\&#49444;&#44228;&#48320;&#44221;\&#44032;&#54217;&#46020;&#44553;&#44228;&#50557;&#48320;&#44221;\&#49884;&#44277;&#48320;&#44221;(&#53664;&#47785;)\&#44032;&#54217;&#46020;&#44553;&#44228;&#50557;&#48320;&#44221;\&#49884;&#44277;&#48320;&#44221;(&#53664;&#47785;)\&#53664;&#47785;&#49444;&#44228;&#48320;&#44221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4508;\WORK\1%20&#51089;%20%20&#50629;\6%20&#44204;&#51201;%20&#44288;&#47144;&#51088;&#47308;\&#45236;&#50669;&#49436;sample\K-SET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4508;\WORK\1%20&#51089;%20%20&#50629;\6%20&#44204;&#51201;%20&#44288;&#47144;&#51088;&#47308;\backup1\2001&#45380;\&#49888;&#50900;&#52397;&#49548;&#45380;&#47928;&#54868;&#49468;&#53552;\&#45236;&#50669;&#49436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0;&#49328;&#49436;&#48260;\&#50500;&#49328;&#49436;&#48260;\cch\&#44288;&#44277;&#49324;\&#51312;&#45804;&#52397;\97\&#49688;&#46020;&#47112;&#51200;\GRP\&#50864;&#51452;&#54637;&#44277;.HSA\&#48516;&#49437;\&#44277;&#51109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IPCHAL.97\P-PROJEC\&#48516;&#49437;\&#44277;&#51109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2;&#50577;\Documents%20and%20Settings\&#45824;&#54620;&#48124;&#44397;\My%20Documents\WORK\&#49324;&#50629;&#44288;&#47532;\&#51116;&#54644;&#45824;&#52293;\&#45257;&#51221;&#51648;&#44396;\&#45257;&#51221;&#51648;&#44396;&#54620;&#54644;&#45824;&#52293;&#48372;&#50756;&#44228;&#54925;&#54869;&#51221;%202&#52264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54984;1\amco\Documents%20and%20Settings\&#51060;&#49569;&#55148;.&#49569;&#55148;&#52980;\My%20Documents\&#49569;&#55148;&#47928;&#49436;\&#44553;&#50668;\WINDOWS\TEMP\&#44608;&#54952;&#50689;\&#50900;&#54788;&#54889;\&#54364;&#51456;&#47928;&#49436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finity\&#54532;&#47196;&#51229;&#53944;\KANG\HWP\HWP\DF98513\My%20Documents\esco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4508;\WORK\1%20&#51089;%20%20&#50629;\6%20&#44204;&#51201;%20&#44288;&#47144;&#51088;&#47308;\Program%20Files\AutoCAD%20R14\&#49892;&#49884;\&#49569;&#46972;&#52488;&#46321;&#54617;&#44368;\&#45236;&#50669;&#49436;\&#49569;&#46972;&#52488;&#51473;&#54617;&#44368;(final)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ster\&#51089;&#50629;&#51652;&#54665;&#51473;%20(e)\pjt-2002\&#54217;&#54868;&#51032;&#45840;\&#50696;&#49328;&#49436;(&#51068;&#50948;&#45824;&#44032;,&#45840;)\&#49444;&#44228;&#48320;&#44221;(&#44397;&#51088;)\&#44397;&#51088;&#48320;&#44221;&#53685;&#49888;\13&#52264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IVIL\EXCLE\DAT\&#44256;&#50577;&#44288;&#5111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124;&#44508;\WORK\1%20&#51089;%20%20&#50629;\6%20&#44204;&#51201;%20&#44288;&#47144;&#51088;&#47308;\PROJEC99\SONGB\new\&#49457;&#48513;&#45236;&#50669;&#49436;(&#51333;&#54633;)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00;&#49328;&#49436;&#48260;\&#50500;&#49328;&#49436;&#48260;\IBS\&#44204;&#51201;\&#44204;&#51201;&#50577;&#49885;\Book2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AM-5\My%20Documents\dacom\&#50896;&#51452;~&#51228;&#52380;\&#50896;&#51452;&#52572;&#51333;\&#50696;&#49328;&#45236;~1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kk\my%20documents\jobdata\&#50864;&#45824;\&#51648;&#54217;\&#49688;&#47049;&#49328;&#52636;\&#49688;&#47049;\&#44592;&#48376;&#53664;&#49324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AppData\Local\Microsoft\Windows\Temporary%20Internet%20Files\Content.IE5\K9BONM2S\&#51312;&#49324;&#44552;&#50529;&#51089;&#49457;&#48372;&#44256;_20140401%20&#44592;&#52488;&#44552;&#50529;&#48156;&#54364;&#48516;&#48512;&#53552;(&#47700;&#51064;)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Microsoft/Windows/Temporary%20Internet%20Files/Content.IE5/K9BONM2S/&#51312;&#49324;&#44552;&#50529;&#51089;&#49457;&#48372;&#44256;_20140401%20&#44592;&#52488;&#44552;&#50529;&#48156;&#54364;&#48516;&#48512;&#53552;(&#47700;&#51064;)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hlee\project\My%20Documentsm\99\99&#49345;&#47168;&#44277;&#49324;\&#48324;&#50612;&#44257;,&#46041;&#45224;&#44148;&#45328;&#47785;&#44148;&#47932;&#52384;&#44144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hlee\project\MSOFFICE\HEXCEL\&#51204;&#52384;\&#51613;&#49328;&#48320;&#44221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9436;&#45824;&#47928;&#49548;&#48169;&#49436;\&#52572;&#51333;(20030714)\&#45236;&#50669;&#49436;(&#50641;&#49472;)\&#45236;&#50669;&#49436;&#52509;&#44292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kkim\c\PROJECT\DE98025\30\EL\NEW\HWP\KKK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hpark\dwg\9705K\HWP(&#52572;&#51333;)\9705K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kk\my%20documents\&#51089;&#50629;\&#51109;&#54840;&#50896;\&#44396;&#51312;&#47932;\&#44032;&#49884;&#49444;&#44277;\&#44592;&#48376;&#53664;&#49324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lee\user\LAST\&#51060;&#49569;&#44288;&#47196;\&#48512;&#45824;&#44277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4812;&#50896;\D\&#51089;&#50629;\&#44284;&#52380;&#46020;&#49436;&#44288;\2-&#45236;&#50669;&#45796;&#49884;\&#44284;&#52380;&#49884;&#47549;&#46020;&#49436;&#44288;-1\&#50696;&#49328;&#45236;&#50669;&#49436;(LG)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89;&#49457;&#49688;\E\&#48337;&#51216;&#44592;&#51648;\&#52572;&#51333;&#48516;\&#52649;&#48513;&#49440;&#48156;&#51452;\&#51312;&#52824;&#50896;-&#51020;&#49457;\&#49324;&#48376;%20-%20&#51064;&#44277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&#52397;&#49328;&#47732;\&#49688;&#47049;\CIVIL\EXCLE\DAT\&#44256;&#50577;&#44288;&#51116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2;&#50577;\Documents%20and%20Settings\&#45824;&#54620;&#48124;&#44397;\My%20Documents\&#44221;&#51648;&#51221;&#47532;\&#51020;&#52492;&#51648;&#44396;\&#51020;&#52492;&#48372;&#50756;(&#51105;)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_&#51109;&#50689;&#44592;\&#49569;&#46020;&#51473;&#44228;&#54156;&#54532;\99&#45380;&#49324;&#50629;\seoul\C-LINE\sorce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333;&#54788;\D\PROJECT-DWG\&#51221;&#49440;&#44397;&#46020;\&#51109;&#51204;&#51648;&#44396;\&#49688;&#47049;\&#52509;&#44292;&#49688;&#47049;&#51665;&#44228;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finity\&#54532;&#47196;&#51229;&#53944;\KANG\HWP\HWP\DF98513\PROJECT\LOAD\BONGSAN\BONG\HWP\OUT\YES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2;&#50577;\&#51652;&#54665;\&#51109;&#51088;&#47803;\&#49328;&#52636;&#49436;\UNIT-QT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_&#49436;&#48260;&#52980;\&#45824;&#51204;\&#44608;&#44592;&#50725;2\&#45824;&#51204;\1.&#54616;&#49688;&#52376;&#47532;&#51109;\&#49688;&#47049;&#51665;&#44228;&#54364;\&#50864;&#49688;&#44277;1\&#50864;&#49688;&#44277;1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LSANITS\ftp\ftp\70%20&#45236;&#50669;&#49436;&#51089;&#50629;(&#50641;&#49472;)\2.%20CCTV\My%20Documents\&#44221;&#48513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finity\&#54532;&#47196;&#51229;&#53944;\&#44305;&#50577;&#51020;&#49885;&#47932;&#50416;&#47112;&#44592;\&#45236;&#50669;&#49436;\&#44288;&#47532;.&#52376;&#47532;&#49884;&#49444;&#46041;&#44036;&#47029;&#45236;&#50669;&#49436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AM-5\IL-3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MK\&#44032;&#51256;&#44032;&#49464;&#50836;\OFFICE%20&#50577;&#49885;\N&#36035;&#63963;-&#32887;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832;&#44257;3\&#48516;&#45817;&#51204;&#44592;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mj\c\WINDOWS\EXCEL\KIM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KK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asandata\99&#49324;&#50629;&#44228;&#54925;(10&#50900;29&#51068;)\99&#45380;&#49324;&#50629;&#44228;&#54925;(11&#50900;)\99&#45380;PJT&#50896;&#44032;&#49884;&#48044;&#47112;&#51060;&#49496;(11&#50900;6&#51068;)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2;&#50577;\2.&#44277;&#47924;\1)&#44204;&#51201;&#49436;\2008-&#54616;\&#44277;&#49324;\&#51648;&#45212;&#44163;0917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_&#51109;&#50689;&#44592;\&#49569;&#46020;&#51473;&#44228;&#54156;&#54532;\&#44592;&#53440;&#49345;&#49464;\&#49688;&#47049;&#50696;\&#50864;&#49688;&#51221;&#48708;\excel\1&#50896;&#54805;&#47592;&#54848;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_&#51109;&#50689;&#44592;\&#49569;&#46020;&#51473;&#44228;&#54156;&#54532;\&#44592;&#53440;&#49345;&#49464;\&#49688;&#47049;&#50696;\&#50864;&#49688;&#51221;&#48708;\excel\&#47784;&#47000;90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51652;&#44508;\&#50416;&#44592;&#48169;\&#44404;&#54252;&#52380;\&#49688;&#47049;&#49688;&#51221;(6&#50900;25&#51068;)\&#50696;&#49328;&#49436;0525-&#49340;&#50504;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6020;&#50980;\C\&#44608;&#46020;&#50980;\&#47588;&#52636;\&#44228;&#54925;\98&#49324;&#50629;&#44228;&#54925;\LHI\SB\&#48139;&#49496;&#48324;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572;&#50980;&#47925;\&#44277;&#50976;&#54260;&#45908;\My%20Documents\2001&#51221;&#50672;\HIH\BATGIBAN\&#48173;&#44592;&#48152;97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ect\&#48120;&#46020;&#54532;&#46972;&#51088;\&#44256;&#52384;&#51221;&#51228;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hlee\project\My%20Documentsm\97\97&#49444;&#44228;\&#51312;&#52264;&#51109;&#50808;\&#51204;&#47141;&#49444;&#44228;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04\c\My%20Documents\&#52380;&#48393;\&#52264;&#49440;&#46020;&#49353;\&#50689;&#53685;&#52264;&#49440;&#46020;&#49353;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\down\WINDOWS\TEMP\&#51064;&#49324;&#47749;&#47161;(&#51204;&#44592;&#49444;&#48708;)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ect\&#48120;&#46020;&#54532;&#46972;&#51088;\SCHEDULE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51652;&#50724;\PROJECT2\&#50416;&#44592;\&#44537;&#50501;\&#50685;&#44592;\&#50864;&#49688;&#49688;&#47049;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2;&#50577;\Documents%20and%20Settings\&#45824;&#54620;&#48124;&#44397;\My%20Documents\2001&#52572;&#50980;&#47925;&#50629;&#47924;&#54260;&#45908;\&#54788;&#51109;&#48324;&#49444;&#44228;\&#44592;&#53440;&#51648;&#44396;11&#50900;\&#51109;&#55141;&#51648;&#48512;\juns&#50629;&#47924;&#54260;&#45908;\&#45236;&#50669;&#49436;\&#50900;&#48324;&#49444;&#44228;&#45236;&#50669;\99&#49444;&#44228;&#51032;&#47280;&#45236;&#50669;\&#44277;&#49324;&#48708;99-10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277;&#50976;\2002file\&#49569;&#51204;&#49440;&#48372;&#54840;&#48152;(&#50976;&#54840;,&#49440;&#46020;)\OFFICE%20&#50577;&#49885;\N&#36035;&#63963;-&#32887;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0976;/2002file/&#49569;&#51204;&#49440;&#48372;&#54840;&#48152;(&#50976;&#54840;,&#49440;&#46020;)/OFFICE%20&#50577;&#49885;/N&#36035;&#63963;-&#32887;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02file\&#49569;&#51204;&#49440;&#48372;&#54840;&#48152;(&#50976;&#54840;,&#49440;&#46020;)\OFFICE%20&#50577;&#49885;\N&#36035;&#63963;-&#32887;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microsoft.com/office/2006/relationships/xlExternalLinkPath/xlStartup" Target="&#46301;&#49457;&#53552;&#45328;/&#46301;&#49457;&#53552;&#45328;/hwp/&#47588;&#44257;&#50669;&#49324;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52285;&#44397;\&#45453;&#49688;&#49328;&#47932;&#50976;&#53685;\HIT30\CACHE\&#49328;&#52636;&#45236;&#50669;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L07\&#44277;&#50976;\My%20Documents\&#45236;&#50669;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hlee\project\My%20Documentsm\99\99&#49444;&#44228;\&#44277;&#51221;&#48324;\&#44060;&#54224;&#44592;&#44060;&#49888;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finity\&#54532;&#47196;&#51229;&#53944;\WINDOWS\&#48148;&#53461;%20&#54868;&#47732;\&#50669;&#49324;&#49328;&#52636;\&#47588;&#44257;&#50669;&#49324;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finity\&#54532;&#47196;&#51229;&#53944;\CAD\WORK\RAIL\JANGHANG\EXCEL\&#47588;&#44257;&#50669;&#49324;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2;&#50577;\Documents%20and%20Settings\&#45824;&#54620;&#48124;&#44397;\My%20Documents\&#50629;&#47924;&#54260;&#45908;\&#45236;&#50669;&#49436;\&#50900;&#48324;&#49444;&#44228;&#45236;&#50669;&#49436;\&#54788;&#49328;&#51648;&#44396;200420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5.2.163.206\&#50629;&#47924;&#51088;&#47308;\EPRIME\&#44221;&#44592;&#46020;\&#49457;&#45224;&#49884;&#52397;\2013&#45380;&#46020;\CCTV\&#45800;&#44032;&#49328;&#52636;&#49436;\2013&#45380;_&#49457;&#45224;&#49884;_&#44592;&#48376;&#45800;&#44032;_&#49328;&#52636;&#49436;(&#44368;&#53685;&#48516;&#50556;)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NIA\UpDown\project2001\jeju_ITS\default\6%20&#49444;&#44228;%20&#50696;&#49328;&#49436;\99&#49892;&#49884;&#49444;&#44228;\&#50696;&#49328;&#49436;\&#50696;&#49328;&#49436;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EAM-5\My%20Documents\&#54620;&#49556;&#44397;&#49324;\&#45800;&#44032;&#49328;&#52636;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2;&#50577;\PRJ\&#44048;&#44516;&#51564;&#49828;\&#52572;&#51333;\&#51228;&#51452;&#51564;&#49828;&#51204;&#44592;&#45236;&#50669;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54984;1\&#44277;&#49324;&#44288;&#47532;\&#44277;&#50976;&#54260;&#45908;\&#44032;-My%20Documents\&#44148;&#52629;&#44277;&#49324;\&#48176;&#44592;2&#46041;&#51613;&#52629;\&#46020;&#44553;&#50696;&#49328;\&#48176;&#44592;2&#46041;&#50696;&#49328;&#49436;-&#53685;&#54633;(10&#50900;29&#51068;)\&#44592;&#49457;&#48516;&#54644;&#51312;&#47549;&#51109;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on\&#50689;&#50629;&#48512;\khc\98\KWN\&#51064;&#52380;&#51648;&#44160;\KHJ\&#49552;&#49457;&#54840;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K21887\1129&#49892;&#49884;\Temp\&#44032;&#44201;&#48708;&#44368;-&#54805;&#49437;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microsoft.com/office/2006/relationships/xlExternalLinkPath/xlStartup" Target="&#51204;&#51452;&#44036;/&#51204;&#44592;/HWP/HWP/DF98513/PROJECT/LOAD/BONGSAN/BONG/HWP/OUT/YES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50896;-pc\&#44277;&#50976;\Documents%20and%20Settings\plus\My%20Documents\&#44277;&#50689;&#51452;&#52264;&#51109;&#44277;&#49324;&#44288;&#47144;\&#49436;&#54788;\&#49436;&#54788;%20&#54156;&#54532;2&#44368;&#52404;\&#44032;&#45208;\2005&#45380;\&#44553;&#49688;&#49884;&#49444;&#44277;&#49324;\&#52572;&#49457;&#54840;%20&#51089;&#50629;&#54868;&#51068;\&#49444;&#48708;&#50629;&#47924;\&#49457;&#45224;&#44277;&#44256;(&#49444;&#44228;&#49436;)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49440;&#48393;\&#53552;&#45328;\&#48277;&#44592;(&#50577;&#49328;&#46041;&#47732;)\&#50629;&#52404;&#51088;&#47308;\&#51088;&#46041;&#51228;&#50612;\&#45236;&#50669;&#49436;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/SHIN345/&#54945;&#48169;&#54693;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5.2.163.206\SHIN345\&#54945;&#48169;&#54693;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592;&#44228;&#44221;&#48708;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32;&#45208;2\&#49444;&#48708;&#50629;&#47924;\&#44228;&#50557;&#49436;&#47448;\&#49457;&#45224;&#44277;&#44256;-&#54868;&#51109;&#49892;&#44277;&#49324;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766\1790\1790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/1766/1790/1790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0857;&#51064;&#51453;&#51204;&#53469;&#51648;\&#44277;&#47924;\&#49444;&#44228;&#48320;&#44221;\&#46041;&#45224;&#48716;&#46972;\&#49688;&#47049;&#49328;&#52636;&#49436;0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857;&#51064;&#51453;&#51204;&#53469;&#51648;/&#44277;&#47924;/&#49444;&#44228;&#48320;&#44221;/&#46041;&#45224;&#48716;&#46972;/&#49688;&#47049;&#49328;&#52636;&#49436;0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345;&#48124;\&#51228;2&#44277;&#44396;\14%20DWG-FILE\&#51228;2&#44277;&#44396;\&#53664;&#51201;&#54364;\&#54620;&#44053;&#49688;&#44228;&#49892;&#49884;&#49444;&#44228;\&#50864;&#49440;&#49884;&#44277;&#44396;&#44036;\&#52572;&#51333;&#49688;&#47049;&#49328;&#52636;&#49436;\&#53664;&#51201;&#54364;(&#49688;&#51221;&#51204;)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0629;&#47924;&#51088;&#47308;\&#51088;&#47308;\&#48516;&#45817;&#44396;&#52397;\2025&#45380;\&#44396;&#52397;%20&#45824;&#54924;&#51032;&#49892;%20&#51221;&#48372;&#53685;&#49888;&#49444;&#48708;%20&#51221;&#48708;\&#44277;&#49324;&#45236;&#50669;&#49436;(&#44396;&#52397;%20&#45824;&#54924;&#51032;&#49892;%20&#49548;&#54924;&#51032;&#49892;%20&#51221;&#48372;&#53685;&#49888;&#49884;&#49444;%20&#44060;&#49440;&#44277;&#4932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조도"/>
      <sheetName val="부하"/>
      <sheetName val="동력"/>
      <sheetName val="변압기"/>
      <sheetName val="발전기"/>
      <sheetName val="간선"/>
      <sheetName val="APT"/>
      <sheetName val="도체상수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#REF"/>
      <sheetName val="GEN"/>
      <sheetName val="전기자료"/>
      <sheetName val="동부하-L"/>
      <sheetName val="도체종-상수표"/>
      <sheetName val="변압기 "/>
      <sheetName val="L-A"/>
      <sheetName val="DUT-BAT1"/>
      <sheetName val="부속동"/>
      <sheetName val="동-LE"/>
      <sheetName val="MCC"/>
      <sheetName val="주차장"/>
      <sheetName val="data"/>
      <sheetName val="504전기실 동부하-L"/>
      <sheetName val="세대부하"/>
      <sheetName val="부속동부하"/>
      <sheetName val="부속동동력"/>
      <sheetName val="laroux"/>
      <sheetName val="VXXXXX"/>
      <sheetName val="ELP-27"/>
      <sheetName val="MCC-B6C"/>
      <sheetName val="ELP-B6"/>
      <sheetName val="ELP-3"/>
      <sheetName val="ELP-15"/>
      <sheetName val="ELP-21"/>
      <sheetName val="ELP-9"/>
      <sheetName val="EMCC-B6A"/>
      <sheetName val="EMCC-PH1"/>
      <sheetName val="P-FAN-PNL "/>
      <sheetName val="MCC-B6B"/>
      <sheetName val="SMP-1,ELEV"/>
      <sheetName val="압출공정"/>
      <sheetName val="재단공정"/>
      <sheetName val="성형공정"/>
      <sheetName val="가류공정"/>
      <sheetName val="사상공정"/>
      <sheetName val="출하및창고"/>
      <sheetName val="0.6-1kV 케이블 (전동기)"/>
      <sheetName val="임피던스-1"/>
      <sheetName val="임피던스"/>
      <sheetName val="CABLE SIZE"/>
      <sheetName val="접지"/>
      <sheetName val="수변전"/>
      <sheetName val="허용전류"/>
      <sheetName val="차단기"/>
      <sheetName val="주차장동력-1"/>
      <sheetName val="아파트동L-E"/>
      <sheetName val="주차장동력"/>
      <sheetName val="변압기(일반L-PNL)"/>
      <sheetName val="주차장동력-2"/>
      <sheetName val="전압강하"/>
      <sheetName val="일반전등부하 (LP-C-PNL)"/>
      <sheetName val="TR"/>
      <sheetName val="주차장PK-B"/>
      <sheetName val="동지붕"/>
      <sheetName val="변압기  (2)"/>
      <sheetName val="P-J"/>
      <sheetName val="코아별부하"/>
      <sheetName val="기계실동력"/>
      <sheetName val="LE-PNL"/>
      <sheetName val="LE-B1"/>
      <sheetName val="P"/>
      <sheetName val="주(지2)"/>
      <sheetName val="세대"/>
      <sheetName val="LE"/>
      <sheetName val="변압기E"/>
      <sheetName val="TR(E)"/>
      <sheetName val="합천내역"/>
      <sheetName val="견적대비"/>
      <sheetName val="여과지동"/>
      <sheetName val="기초자료"/>
      <sheetName val="6.1&amp;2 CCTV일위대가"/>
      <sheetName val="표지 (2)"/>
      <sheetName val="공종별자재"/>
      <sheetName val="내역(도급)"/>
      <sheetName val="철근단면적"/>
      <sheetName val="통합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ement2"/>
      <sheetName val="IPG0696F"/>
      <sheetName val="직재"/>
      <sheetName val="LANGUAGE"/>
      <sheetName val="부하(성남)"/>
      <sheetName val="Upgrades pricing"/>
      <sheetName val="ID"/>
      <sheetName val="WELDER"/>
      <sheetName val="W.NO"/>
      <sheetName val="Inquiry_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특고압"/>
      <sheetName val="고압이하"/>
      <sheetName val="일위(PN)"/>
      <sheetName val="자재단가"/>
      <sheetName val="말고개터널조명전압강하"/>
      <sheetName val="일위(48)"/>
      <sheetName val="2000.11월설계내역"/>
      <sheetName val="일위대가"/>
      <sheetName val="공사원가계산서"/>
      <sheetName val="밸브설치"/>
      <sheetName val="참조-(1)"/>
      <sheetName val="단가조사"/>
      <sheetName val="YES-T"/>
      <sheetName val="단가"/>
      <sheetName val="조명율표"/>
      <sheetName val="약품공급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(PN)"/>
      <sheetName val="xxxxxx"/>
      <sheetName val="산출집계"/>
      <sheetName val="산출내역(설)"/>
      <sheetName val="산출내역(PN)"/>
      <sheetName val="산출내역(B)"/>
      <sheetName val="일위(설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VXXXX"/>
      <sheetName val="단가표"/>
      <sheetName val="사급자재대"/>
      <sheetName val="단가비교"/>
      <sheetName val="4. 배관공사"/>
      <sheetName val="3.시운전비"/>
      <sheetName val="설치공사"/>
      <sheetName val="원가계산"/>
      <sheetName val="총괄내역"/>
      <sheetName val="원가계산서"/>
      <sheetName val="일위대가표"/>
      <sheetName val="금액총괄표"/>
      <sheetName val="금액내역서"/>
      <sheetName val="laroux"/>
      <sheetName val="단가조사서"/>
      <sheetName val="장비단가비교표"/>
      <sheetName val="일위대가목차"/>
      <sheetName val="일위대가"/>
      <sheetName val="산출서"/>
      <sheetName val="집계표"/>
      <sheetName val="SUPPORT산출서"/>
      <sheetName val="support집계"/>
      <sheetName val="WALKWAY 집계"/>
      <sheetName val="HOISTRAIL집계"/>
      <sheetName val="2공구관급"/>
      <sheetName val="XXXXXX"/>
      <sheetName val="년차사용내역"/>
      <sheetName val="전기1과자료"/>
      <sheetName val="각서(교통사고)"/>
      <sheetName val="개별계획서"/>
      <sheetName val="공사내용"/>
      <sheetName val="증설CM보수"/>
      <sheetName val="용접기현황"/>
      <sheetName val="무전기"/>
      <sheetName val="경위서"/>
      <sheetName val="작업일지"/>
      <sheetName val="일지"/>
      <sheetName val="월간공정"/>
      <sheetName val="계측관리(가로)"/>
      <sheetName val="당직표"/>
      <sheetName val="안전관리과일지"/>
      <sheetName val="공사현황보고"/>
      <sheetName val="2공구도급"/>
      <sheetName val="VXXXXXX"/>
      <sheetName val="내역서"/>
      <sheetName val="기자재단가"/>
      <sheetName val="배관단가"/>
      <sheetName val="단가구분"/>
      <sheetName val="PCODE"/>
      <sheetName val="인건비"/>
      <sheetName val="배관자재 단가조사서"/>
      <sheetName val="산출내역"/>
      <sheetName val="토목"/>
      <sheetName val="품질관리비"/>
      <sheetName val="건축"/>
      <sheetName val="기계 "/>
      <sheetName val="수량산출서"/>
      <sheetName val="시운전비(계약직)"/>
      <sheetName val="WORK"/>
      <sheetName val="침출배관"/>
      <sheetName val="ELECTRIC"/>
      <sheetName val="CTEMCOST"/>
      <sheetName val="SCHEDULE"/>
      <sheetName val="설계"/>
      <sheetName val="#REF"/>
      <sheetName val="3.공통공사대비"/>
      <sheetName val="결과조달"/>
      <sheetName val="건축내역"/>
      <sheetName val="밸브설치"/>
      <sheetName val="지수결과표-3"/>
      <sheetName val="실행철강하도"/>
      <sheetName val="내역"/>
      <sheetName val="약품공급2"/>
      <sheetName val="견적서"/>
      <sheetName val="?????"/>
      <sheetName val="정부노임단가"/>
      <sheetName val="손익분석"/>
      <sheetName val="목표세부명세"/>
      <sheetName val="연돌일위집계"/>
      <sheetName val="2000년1차"/>
      <sheetName val="Supplement2"/>
      <sheetName val="전기공사"/>
      <sheetName val="¿ø°¡°è»ê¼­"/>
      <sheetName val="±Ý¾×ÃÑ°ýÇ¥"/>
      <sheetName val="±Ý¾×³»¿ª¼­"/>
      <sheetName val="´Ü°¡Á¶»ç¼­"/>
      <sheetName val="Àåºñ´Ü°¡ºñ±³Ç¥"/>
      <sheetName val="ÀÏÀ§´ë°¡¸ñÂ÷"/>
      <sheetName val="ÀÏÀ§´ë°¡"/>
      <sheetName val="»êÃâ¼­"/>
      <sheetName val="Áý°èÇ¥"/>
      <sheetName val="SUPPORT»êÃâ¼­"/>
      <sheetName val="supportÁý°è"/>
      <sheetName val="WALKWAY Áý°è"/>
      <sheetName val="HOISTRAILÁý°è"/>
      <sheetName val="2°ø±¸°ü±Þ"/>
      <sheetName val="2°ø±¸µµ±Þ"/>
      <sheetName val="³»¿ª¼­"/>
      <sheetName val="±âÀÚÀç´Ü°¡"/>
      <sheetName val="¹è°ü´Ü°¡"/>
      <sheetName val="ÀÏÀ§´ë°¡Ç¥"/>
      <sheetName val="´Ü°¡Ç¥"/>
      <sheetName val="´Ü°¡±¸ºÐ"/>
      <sheetName val="³âÂ÷»ç¿ë³»¿ª"/>
      <sheetName val="Àü±â1°úÀÚ·á"/>
      <sheetName val="°¢¼­(±³Åë»ç°í)"/>
      <sheetName val="°³º°°èÈ¹¼­"/>
      <sheetName val="°ø»ç³»¿ë"/>
      <sheetName val="Áõ¼³CMº¸¼ö"/>
      <sheetName val="¿ëÁ¢±âÇöÈ²"/>
      <sheetName val="¹«Àü±â"/>
      <sheetName val="°æÀ§¼­"/>
      <sheetName val="ÀÛ¾÷ÀÏÁö"/>
      <sheetName val="ÀÏÁö"/>
      <sheetName val="¿ù°£°øÁ¤"/>
      <sheetName val="°èÃø°ü¸®(°¡·Î)"/>
      <sheetName val="´çÁ÷Ç¥"/>
      <sheetName val="¾ÈÀü°ü¸®°úÀÏÁö"/>
      <sheetName val="°ø»çÇöÈ²º¸°í"/>
      <sheetName val="ÀÎ°Çºñ"/>
      <sheetName val="¹è°üÀÚÀç ´Ü°¡Á¶»ç¼­"/>
      <sheetName val="¼ö·®»êÃâ¼­"/>
      <sheetName val="»êÃâ³»¿ª"/>
      <sheetName val="Åä¸ñ"/>
      <sheetName val="Ç°Áú°ü¸®ºñ"/>
      <sheetName val="°ÇÃà"/>
      <sheetName val="±â°è "/>
      <sheetName val="¼³Ä¡°ø»ç"/>
      <sheetName val="»ç±ÞÀÚÀç´ë"/>
      <sheetName val="´Ü°¡ºñ±³"/>
      <sheetName val="4. ¹è°ü°ø»ç"/>
      <sheetName val="3.½Ã¿îÀüºñ"/>
      <sheetName val="¿ø°¡°è»ê"/>
      <sheetName val="ÃÑ°ý³»¿ª"/>
      <sheetName val="½Ã¿îÀüºñ(°è¾àÁ÷)"/>
      <sheetName val="Ä§Ãâ¹è°ü"/>
      <sheetName val="°á°úÁ¶´Þ"/>
      <sheetName val="½ÇÇàÃ¶°­ÇÏµµ"/>
      <sheetName val="¼³°è"/>
      <sheetName val="°ßÀû¼­"/>
      <sheetName val="¿¬µ¹ÀÏÀ§Áý°è"/>
      <sheetName val="PRICE"/>
      <sheetName val="예정(3)"/>
      <sheetName val="동원(3)"/>
      <sheetName val="단가"/>
      <sheetName val="연습"/>
      <sheetName val="EQT-ESTN"/>
      <sheetName val="물가자료"/>
      <sheetName val="H腏ISTRAIL집계"/>
      <sheetName val="2공구도급_x0007_嘀塘塘塘_x0003_됁᳅ׁĀ기자재단가_x0004_、¼²֬Ā일위대"/>
      <sheetName val="해전배수"/>
      <sheetName val="IMP(MAIN)"/>
      <sheetName val="IMP (REACTOR)"/>
      <sheetName val="G2설비도급"/>
      <sheetName val="CIVIL4"/>
      <sheetName val="공량산출서"/>
      <sheetName val="9-1차이내역."/>
      <sheetName val="106C0300"/>
      <sheetName val="Baby일위대가"/>
      <sheetName val="1단계"/>
      <sheetName val="대림경상68억"/>
      <sheetName val="코드표"/>
      <sheetName val="SEC 1-D850"/>
      <sheetName val="금융"/>
      <sheetName val="COVER"/>
      <sheetName val="아울렛박스"/>
      <sheetName val="예산대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D4" t="str">
            <v>ton</v>
          </cell>
        </row>
        <row r="5">
          <cell r="D5" t="str">
            <v>ton</v>
          </cell>
        </row>
        <row r="6">
          <cell r="D6" t="str">
            <v>ton</v>
          </cell>
        </row>
        <row r="7">
          <cell r="D7" t="str">
            <v>ton</v>
          </cell>
        </row>
        <row r="8">
          <cell r="D8" t="str">
            <v>ton</v>
          </cell>
        </row>
        <row r="9">
          <cell r="D9" t="str">
            <v>ton</v>
          </cell>
        </row>
        <row r="10">
          <cell r="D10" t="str">
            <v>개소</v>
          </cell>
        </row>
      </sheetData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_1"/>
      <sheetName val="원가계산서"/>
      <sheetName val="총괄표"/>
      <sheetName val="주자재비"/>
      <sheetName val="산출기초조사서"/>
      <sheetName val="수량산출서"/>
      <sheetName val="일위대가표"/>
      <sheetName val="지주대일위대가표"/>
      <sheetName val="상반기시중노임단가"/>
      <sheetName val="공정예정표"/>
      <sheetName val="YES-T"/>
      <sheetName val="설치공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세륜"/>
      <sheetName val="세륜집계"/>
      <sheetName val="세륜단위"/>
      <sheetName val="차선도색(수량산출내역)"/>
      <sheetName val="도로진행방향집계"/>
      <sheetName val="마킹산출근거"/>
      <sheetName val="횡단보도현황"/>
      <sheetName val="도색단위"/>
      <sheetName val="횡단보도산출근거 "/>
      <sheetName val="5.07가도"/>
      <sheetName val="YES-T"/>
      <sheetName val="제목"/>
      <sheetName val="자재"/>
      <sheetName val="집계표"/>
      <sheetName val="관로토공"/>
      <sheetName val="평균토피"/>
      <sheetName val="제수변실토공"/>
      <sheetName val="공기변실토공"/>
      <sheetName val="펌프실토공"/>
      <sheetName val="제수변실"/>
      <sheetName val="공기변실"/>
      <sheetName val="제수변보호통"/>
      <sheetName val="지상식소화전"/>
      <sheetName val="펌프실"/>
      <sheetName val="수량양식"/>
      <sheetName val="가시설(TYPE-A)"/>
      <sheetName val="1-1평균터파기고(1)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"/>
      <sheetName val="전기일위대가"/>
      <sheetName val="금액내역서"/>
      <sheetName val="단가"/>
      <sheetName val="내역서"/>
      <sheetName val="공통자료"/>
      <sheetName val="200"/>
      <sheetName val="40총괄"/>
      <sheetName val="40집계"/>
      <sheetName val="산출2-기기동력"/>
      <sheetName val="당초"/>
      <sheetName val="S003031"/>
      <sheetName val="여과지동"/>
      <sheetName val="기초자료"/>
      <sheetName val="하수BOX이설"/>
      <sheetName val="단가 "/>
      <sheetName val="일위대가 (PM)"/>
      <sheetName val="노임"/>
      <sheetName val="C-직노1"/>
      <sheetName val="노임단가"/>
      <sheetName val="Baby일위대가"/>
      <sheetName val="공사비집계"/>
      <sheetName val="설치공사"/>
      <sheetName val="Sheet1"/>
      <sheetName val="일위대가(계측기설치)"/>
      <sheetName val="간선계산"/>
      <sheetName val="단면 (2)"/>
      <sheetName val="산출3-유도등"/>
      <sheetName val="산출2-동력"/>
      <sheetName val="산출2-피뢰침"/>
      <sheetName val="원형맨홀수량"/>
      <sheetName val="woo(mac)"/>
      <sheetName val="3.공통공사대비"/>
      <sheetName val="SG"/>
      <sheetName val="EKOG10건축"/>
      <sheetName val="BOX 본체"/>
      <sheetName val="배수유공블럭"/>
      <sheetName val="DANGA"/>
      <sheetName val="#REF"/>
      <sheetName val="자료입력"/>
      <sheetName val="전기"/>
      <sheetName val="A-4"/>
      <sheetName val="지급자재"/>
      <sheetName val="수목표준대가"/>
      <sheetName val="말뚝지지력산정"/>
      <sheetName val="표지"/>
      <sheetName val="할증"/>
      <sheetName val="덤프"/>
      <sheetName val="구조물철거타공정이월"/>
      <sheetName val="COVER"/>
      <sheetName val="가격조사서"/>
      <sheetName val="공사비예산서(토목분)"/>
      <sheetName val="ELECTRIC"/>
      <sheetName val="CTEMCOST"/>
      <sheetName val="SCHEDULE"/>
      <sheetName val="경영상태"/>
      <sheetName val="대림경상68억"/>
      <sheetName val="DATE"/>
      <sheetName val="결과조달"/>
      <sheetName val="입찰안"/>
      <sheetName val="내역"/>
      <sheetName val="견적990322"/>
      <sheetName val="토목"/>
      <sheetName val="조명시설"/>
      <sheetName val="수량이동"/>
      <sheetName val="관급자재집계표"/>
      <sheetName val="Supplement2"/>
      <sheetName val="날개벽(시점좌측)"/>
      <sheetName val="총괄내역서"/>
      <sheetName val="Sheet1 (2)"/>
    </sheetNames>
    <sheetDataSet>
      <sheetData sheetId="0" refreshError="1">
        <row r="732">
          <cell r="A732" t="str">
            <v>K02</v>
          </cell>
          <cell r="B732">
            <v>47</v>
          </cell>
          <cell r="D732" t="str">
            <v>제 47 호표</v>
          </cell>
          <cell r="E732" t="str">
            <v>프라임코팅</v>
          </cell>
          <cell r="H732" t="str">
            <v>MC-1</v>
          </cell>
          <cell r="L732" t="str">
            <v>근거 : 건설12-11</v>
          </cell>
          <cell r="Q732" t="str">
            <v>단위 : 100m2</v>
          </cell>
        </row>
        <row r="733">
          <cell r="A733" t="str">
            <v xml:space="preserve"> </v>
          </cell>
          <cell r="D733" t="str">
            <v>명    칭</v>
          </cell>
          <cell r="E733" t="str">
            <v>규   격</v>
          </cell>
          <cell r="F733" t="str">
            <v>단  위</v>
          </cell>
          <cell r="G733" t="str">
            <v>수  량</v>
          </cell>
          <cell r="H733" t="str">
            <v>직접</v>
          </cell>
          <cell r="I733" t="str">
            <v>재료비</v>
          </cell>
          <cell r="J733" t="str">
            <v>간접</v>
          </cell>
          <cell r="K733" t="str">
            <v>재료비</v>
          </cell>
          <cell r="L733" t="str">
            <v>직접</v>
          </cell>
          <cell r="M733" t="str">
            <v>노무비</v>
          </cell>
          <cell r="N733" t="str">
            <v>경</v>
          </cell>
          <cell r="O733" t="str">
            <v>비</v>
          </cell>
          <cell r="P733" t="str">
            <v>계</v>
          </cell>
          <cell r="Q733" t="str">
            <v>비    고</v>
          </cell>
        </row>
        <row r="734">
          <cell r="A734" t="str">
            <v xml:space="preserve"> </v>
          </cell>
          <cell r="H734" t="str">
            <v>단가</v>
          </cell>
          <cell r="I734" t="str">
            <v>금액</v>
          </cell>
          <cell r="J734" t="str">
            <v>단가</v>
          </cell>
          <cell r="K734" t="str">
            <v>금액</v>
          </cell>
          <cell r="L734" t="str">
            <v>단가</v>
          </cell>
          <cell r="M734" t="str">
            <v>금액</v>
          </cell>
          <cell r="N734" t="str">
            <v>단가</v>
          </cell>
          <cell r="O734" t="str">
            <v>금액</v>
          </cell>
        </row>
        <row r="735">
          <cell r="A735" t="str">
            <v>I005</v>
          </cell>
          <cell r="B735">
            <v>0.38</v>
          </cell>
          <cell r="D735" t="str">
            <v>아스팔트</v>
          </cell>
          <cell r="E735" t="str">
            <v>MC-1</v>
          </cell>
          <cell r="F735" t="str">
            <v>d/m</v>
          </cell>
          <cell r="G735">
            <v>0.38</v>
          </cell>
          <cell r="H735">
            <v>38000</v>
          </cell>
          <cell r="I735">
            <v>14440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14440</v>
          </cell>
        </row>
        <row r="736">
          <cell r="A736" t="str">
            <v>r036</v>
          </cell>
          <cell r="B736">
            <v>0.04</v>
          </cell>
          <cell r="D736" t="str">
            <v>포장공</v>
          </cell>
          <cell r="E736">
            <v>0</v>
          </cell>
          <cell r="F736" t="str">
            <v>인</v>
          </cell>
          <cell r="G736">
            <v>0.04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68200</v>
          </cell>
          <cell r="M736">
            <v>2728</v>
          </cell>
          <cell r="N736">
            <v>0</v>
          </cell>
          <cell r="O736">
            <v>0</v>
          </cell>
          <cell r="P736">
            <v>2728</v>
          </cell>
        </row>
        <row r="737">
          <cell r="A737" t="str">
            <v>r010</v>
          </cell>
          <cell r="B737">
            <v>0.12</v>
          </cell>
          <cell r="D737" t="str">
            <v>보통인부</v>
          </cell>
          <cell r="E737">
            <v>0</v>
          </cell>
          <cell r="F737" t="str">
            <v>인</v>
          </cell>
          <cell r="G737">
            <v>0.12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34900</v>
          </cell>
          <cell r="M737">
            <v>4188</v>
          </cell>
          <cell r="N737">
            <v>0</v>
          </cell>
          <cell r="O737">
            <v>0</v>
          </cell>
          <cell r="P737">
            <v>4188</v>
          </cell>
        </row>
        <row r="742">
          <cell r="A742" t="str">
            <v xml:space="preserve"> </v>
          </cell>
        </row>
        <row r="743">
          <cell r="A743" t="str">
            <v xml:space="preserve"> </v>
          </cell>
        </row>
        <row r="744">
          <cell r="A744" t="str">
            <v xml:space="preserve"> </v>
          </cell>
        </row>
        <row r="745">
          <cell r="A745" t="str">
            <v xml:space="preserve"> </v>
          </cell>
          <cell r="C745" t="str">
            <v>K02</v>
          </cell>
          <cell r="D745" t="str">
            <v>계</v>
          </cell>
          <cell r="E745" t="str">
            <v>제 47 호표</v>
          </cell>
          <cell r="I745">
            <v>14440</v>
          </cell>
          <cell r="K745">
            <v>0</v>
          </cell>
          <cell r="M745">
            <v>6916</v>
          </cell>
          <cell r="O745">
            <v>0</v>
          </cell>
          <cell r="P745">
            <v>21356</v>
          </cell>
        </row>
        <row r="1400">
          <cell r="A1400" t="str">
            <v>B22</v>
          </cell>
          <cell r="B1400">
            <v>93</v>
          </cell>
          <cell r="D1400" t="str">
            <v>제 93 호표</v>
          </cell>
          <cell r="E1400" t="str">
            <v>관용접(Φ400mm)</v>
          </cell>
          <cell r="H1400">
            <v>0</v>
          </cell>
          <cell r="L1400" t="str">
            <v>근거 : 건설17-8</v>
          </cell>
          <cell r="Q1400" t="str">
            <v>단위 : 개소/6m</v>
          </cell>
        </row>
        <row r="1401">
          <cell r="A1401" t="str">
            <v xml:space="preserve"> </v>
          </cell>
          <cell r="D1401" t="str">
            <v>명    칭</v>
          </cell>
          <cell r="E1401" t="str">
            <v>규   격</v>
          </cell>
          <cell r="F1401" t="str">
            <v>단  위</v>
          </cell>
          <cell r="G1401" t="str">
            <v>수  량</v>
          </cell>
          <cell r="H1401" t="str">
            <v>직접</v>
          </cell>
          <cell r="I1401" t="str">
            <v>재료비</v>
          </cell>
          <cell r="J1401" t="str">
            <v>간접</v>
          </cell>
          <cell r="K1401" t="str">
            <v>재료비</v>
          </cell>
          <cell r="L1401" t="str">
            <v>직접</v>
          </cell>
          <cell r="M1401" t="str">
            <v>노무비</v>
          </cell>
          <cell r="N1401" t="str">
            <v>경</v>
          </cell>
          <cell r="O1401" t="str">
            <v>비</v>
          </cell>
          <cell r="P1401" t="str">
            <v>계</v>
          </cell>
          <cell r="Q1401" t="str">
            <v>비    고</v>
          </cell>
        </row>
        <row r="1402">
          <cell r="A1402" t="str">
            <v xml:space="preserve"> </v>
          </cell>
          <cell r="H1402" t="str">
            <v>단가</v>
          </cell>
          <cell r="I1402" t="str">
            <v>금액</v>
          </cell>
          <cell r="J1402" t="str">
            <v>단가</v>
          </cell>
          <cell r="K1402" t="str">
            <v>금액</v>
          </cell>
          <cell r="L1402" t="str">
            <v>단가</v>
          </cell>
          <cell r="M1402" t="str">
            <v>금액</v>
          </cell>
          <cell r="N1402" t="str">
            <v>단가</v>
          </cell>
          <cell r="O1402" t="str">
            <v>금액</v>
          </cell>
        </row>
        <row r="1403">
          <cell r="A1403" t="str">
            <v>I020</v>
          </cell>
          <cell r="B1403">
            <v>1.6</v>
          </cell>
          <cell r="D1403" t="str">
            <v>용접봉</v>
          </cell>
          <cell r="E1403" t="str">
            <v>115×3mm</v>
          </cell>
          <cell r="F1403" t="str">
            <v>kg</v>
          </cell>
          <cell r="G1403">
            <v>1.6</v>
          </cell>
          <cell r="H1403">
            <v>0</v>
          </cell>
          <cell r="I1403">
            <v>0</v>
          </cell>
          <cell r="J1403">
            <v>920</v>
          </cell>
          <cell r="K1403">
            <v>1472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1472</v>
          </cell>
        </row>
        <row r="1404">
          <cell r="A1404" t="str">
            <v>r013</v>
          </cell>
          <cell r="B1404">
            <v>0.54</v>
          </cell>
          <cell r="D1404" t="str">
            <v>용접공</v>
          </cell>
          <cell r="E1404">
            <v>0</v>
          </cell>
          <cell r="F1404" t="str">
            <v>인</v>
          </cell>
          <cell r="G1404">
            <v>0.54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65500</v>
          </cell>
          <cell r="M1404">
            <v>35370</v>
          </cell>
          <cell r="N1404">
            <v>0</v>
          </cell>
          <cell r="O1404">
            <v>0</v>
          </cell>
          <cell r="P1404">
            <v>35370</v>
          </cell>
        </row>
        <row r="1411">
          <cell r="A1411" t="str">
            <v xml:space="preserve"> </v>
          </cell>
        </row>
        <row r="1412">
          <cell r="A1412" t="str">
            <v xml:space="preserve"> </v>
          </cell>
        </row>
        <row r="1413">
          <cell r="A1413" t="str">
            <v xml:space="preserve"> </v>
          </cell>
          <cell r="C1413" t="str">
            <v>B22</v>
          </cell>
          <cell r="D1413" t="str">
            <v>계</v>
          </cell>
          <cell r="E1413" t="str">
            <v>제 93 호표</v>
          </cell>
          <cell r="I1413">
            <v>0</v>
          </cell>
          <cell r="K1413">
            <v>1472</v>
          </cell>
          <cell r="M1413">
            <v>35370</v>
          </cell>
          <cell r="O1413">
            <v>0</v>
          </cell>
          <cell r="P1413">
            <v>36842</v>
          </cell>
        </row>
        <row r="1516">
          <cell r="A1516" t="str">
            <v>O03</v>
          </cell>
          <cell r="B1516">
            <v>101</v>
          </cell>
          <cell r="D1516" t="str">
            <v>제 101 호표</v>
          </cell>
          <cell r="E1516" t="str">
            <v>인력 터파기(풍화암 및 연암)</v>
          </cell>
          <cell r="H1516" t="str">
            <v>인력(2-3)</v>
          </cell>
          <cell r="L1516" t="str">
            <v>근거 : 토공3-1</v>
          </cell>
          <cell r="Q1516" t="str">
            <v>단위 :㎥</v>
          </cell>
        </row>
        <row r="1517">
          <cell r="A1517" t="str">
            <v xml:space="preserve"> </v>
          </cell>
          <cell r="D1517" t="str">
            <v>명    칭</v>
          </cell>
          <cell r="E1517" t="str">
            <v>규   격</v>
          </cell>
          <cell r="F1517" t="str">
            <v>단  위</v>
          </cell>
          <cell r="G1517" t="str">
            <v>수  량</v>
          </cell>
          <cell r="H1517" t="str">
            <v>직접</v>
          </cell>
          <cell r="I1517" t="str">
            <v>재료비</v>
          </cell>
          <cell r="J1517" t="str">
            <v>간접</v>
          </cell>
          <cell r="K1517" t="str">
            <v>재료비</v>
          </cell>
          <cell r="L1517" t="str">
            <v>직접</v>
          </cell>
          <cell r="M1517" t="str">
            <v>노무비</v>
          </cell>
          <cell r="N1517" t="str">
            <v>경</v>
          </cell>
          <cell r="O1517" t="str">
            <v>비</v>
          </cell>
          <cell r="P1517" t="str">
            <v>계</v>
          </cell>
          <cell r="Q1517" t="str">
            <v>비    고</v>
          </cell>
        </row>
        <row r="1518">
          <cell r="A1518" t="str">
            <v xml:space="preserve"> </v>
          </cell>
          <cell r="H1518" t="str">
            <v>단가</v>
          </cell>
          <cell r="I1518" t="str">
            <v>금액</v>
          </cell>
          <cell r="J1518" t="str">
            <v>단가</v>
          </cell>
          <cell r="K1518" t="str">
            <v>금액</v>
          </cell>
          <cell r="L1518" t="str">
            <v>단가</v>
          </cell>
          <cell r="M1518" t="str">
            <v>금액</v>
          </cell>
          <cell r="N1518" t="str">
            <v>단가</v>
          </cell>
          <cell r="O1518" t="str">
            <v>금액</v>
          </cell>
        </row>
        <row r="1519">
          <cell r="A1519" t="str">
            <v>r010</v>
          </cell>
          <cell r="B1519">
            <v>1</v>
          </cell>
          <cell r="D1519" t="str">
            <v>보통인부</v>
          </cell>
          <cell r="E1519">
            <v>0</v>
          </cell>
          <cell r="F1519" t="str">
            <v>인</v>
          </cell>
          <cell r="G1519">
            <v>1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34900</v>
          </cell>
          <cell r="M1519">
            <v>34900</v>
          </cell>
          <cell r="N1519">
            <v>0</v>
          </cell>
          <cell r="O1519">
            <v>0</v>
          </cell>
          <cell r="P1519">
            <v>34900</v>
          </cell>
          <cell r="Q1519" t="str">
            <v>주위에 장애물이 있을경우</v>
          </cell>
        </row>
        <row r="1520">
          <cell r="A1520" t="str">
            <v>R037</v>
          </cell>
          <cell r="B1520">
            <v>2</v>
          </cell>
          <cell r="D1520" t="str">
            <v>할석공</v>
          </cell>
          <cell r="E1520">
            <v>0</v>
          </cell>
          <cell r="F1520" t="str">
            <v>인</v>
          </cell>
          <cell r="G1520">
            <v>2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65700</v>
          </cell>
          <cell r="M1520">
            <v>131400</v>
          </cell>
          <cell r="N1520">
            <v>0</v>
          </cell>
          <cell r="O1520">
            <v>0</v>
          </cell>
          <cell r="P1520">
            <v>131400</v>
          </cell>
          <cell r="Q1520" t="str">
            <v>50%까지 할증가능</v>
          </cell>
        </row>
        <row r="1528">
          <cell r="A1528" t="str">
            <v xml:space="preserve"> </v>
          </cell>
        </row>
        <row r="1529">
          <cell r="A1529" t="str">
            <v xml:space="preserve"> </v>
          </cell>
          <cell r="C1529" t="str">
            <v>O03</v>
          </cell>
          <cell r="D1529" t="str">
            <v>계</v>
          </cell>
          <cell r="E1529" t="str">
            <v>제 101 호표</v>
          </cell>
          <cell r="I1529">
            <v>0</v>
          </cell>
          <cell r="K1529">
            <v>0</v>
          </cell>
          <cell r="M1529">
            <v>166300</v>
          </cell>
          <cell r="O1529">
            <v>0</v>
          </cell>
          <cell r="P1529">
            <v>166300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산거각호표"/>
      <sheetName val="Sheet1"/>
      <sheetName val="제경비계산서"/>
      <sheetName val="도급내역서"/>
      <sheetName val="ESC적용금액 총괄표"/>
      <sheetName val="1회 ESC 적용금액 증감"/>
      <sheetName val="Sheet2"/>
      <sheetName val="일위대가내역서"/>
      <sheetName val="각호표"/>
      <sheetName val="Sheet3"/>
      <sheetName val="산거집계"/>
      <sheetName val="Sheet4"/>
      <sheetName val="노임단가"/>
      <sheetName val="Sheet5"/>
      <sheetName val="시중단가"/>
      <sheetName val="견적 및 기타"/>
      <sheetName val="Sheet6"/>
      <sheetName val="적용기준"/>
      <sheetName val="적용기준2"/>
      <sheetName val="적용기준3"/>
      <sheetName val="장비집계"/>
      <sheetName val="장비산출"/>
      <sheetName val="수량산출목차"/>
      <sheetName val="지급자재"/>
      <sheetName val="주요자재"/>
      <sheetName val="토량유용계획"/>
      <sheetName val="토량유용량집계표"/>
      <sheetName val="토량유용계획도"/>
      <sheetName val="2-2"/>
      <sheetName val="토제공수량총괄표"/>
      <sheetName val="2-3"/>
      <sheetName val="토제표준도"/>
      <sheetName val="3."/>
      <sheetName val="부지매립 총괄표"/>
      <sheetName val="산토매립 총괄표"/>
      <sheetName val="준설매립량산출"/>
      <sheetName val="여성토량산출"/>
      <sheetName val="산토매립산출"/>
      <sheetName val="덤프운반거리"/>
      <sheetName val="덤프운반거리4"/>
      <sheetName val="3-6"/>
      <sheetName val="토공 집계표"/>
      <sheetName val="블럭토적집계표(1)"/>
      <sheetName val="토적표(BL1)"/>
      <sheetName val="토적표(BL2)"/>
      <sheetName val="토적표(BL3)"/>
      <sheetName val="토적표(BL4-2)"/>
      <sheetName val="도로토적집계표(1)"/>
      <sheetName val="토적표(A)"/>
      <sheetName val="블럭토적집계표(2)"/>
      <sheetName val="토적표(BL5+BL5a)"/>
      <sheetName val="도로토적집계표(2)"/>
      <sheetName val="토적표(ROAD-J)"/>
      <sheetName val="3-5"/>
      <sheetName val="표토제거"/>
      <sheetName val="4."/>
      <sheetName val="배수로 물량 집계표"/>
      <sheetName val="배수로 물량산출표"/>
      <sheetName val="4-2"/>
      <sheetName val="유수지 물량 집계표"/>
      <sheetName val="유수지1 물량산출표"/>
      <sheetName val="유수지2 물량산출표"/>
      <sheetName val="유수지3 물량산출표"/>
      <sheetName val="유수지4 물량산출표"/>
      <sheetName val="5."/>
      <sheetName val="여수토수량집계표"/>
      <sheetName val="준설지역 오탁방지막 수량산출"/>
      <sheetName val="WIRE ROPE 수량산출"/>
      <sheetName val="호안블럭 수량집계표"/>
      <sheetName val="호안블럭 산출근거"/>
      <sheetName val="5-4"/>
      <sheetName val="가시설공사"/>
      <sheetName val="가배수로"/>
      <sheetName val="5-6"/>
      <sheetName val="계측기 수량집계표"/>
      <sheetName val="관리시험 수량산출"/>
      <sheetName val="Sheet8"/>
      <sheetName val="덤프운반거리2"/>
      <sheetName val="덤프운반거리3"/>
      <sheetName val="덤프운반거리5"/>
      <sheetName val="3-4"/>
      <sheetName val="법면보호공집계표"/>
      <sheetName val="열병합 법면보호공"/>
      <sheetName val="열병합 절토면고르기"/>
      <sheetName val="표토제거 수량산출"/>
      <sheetName val="표토제거수량집계표"/>
      <sheetName val="표토제거수량산출"/>
      <sheetName val="가설교 수량집계표"/>
      <sheetName val="관리시험비"/>
      <sheetName val="2회 ESC 적용금액 증감"/>
      <sheetName val="3회 ESC 적용금액 판단"/>
      <sheetName val="대로근거"/>
      <sheetName val="중로근거"/>
      <sheetName val="전기일위대가"/>
      <sheetName val="일위대가"/>
      <sheetName val="공사원가계산서"/>
      <sheetName val="말뚝지지력산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1.일위대가집계표(교통시설물1)"/>
      <sheetName val="1-2.일위대가(교통시설물1)"/>
      <sheetName val="2-1. 기계경비목록(교통시설물1)"/>
      <sheetName val="2-2. 기계경비산출(교통시설물1)"/>
      <sheetName val="3-1.단가비교표(교통시설물1)"/>
      <sheetName val="3-2.노무비 근거(교통시설물1)"/>
      <sheetName val="여기부터 출력하지 마세요"/>
      <sheetName val="표준건축비"/>
    </sheetNames>
    <sheetDataSet>
      <sheetData sheetId="0"/>
      <sheetData sheetId="1">
        <row r="2">
          <cell r="C2" t="str">
            <v>호표</v>
          </cell>
        </row>
      </sheetData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1.일위대가집계표(교통시설물1)"/>
      <sheetName val="1-2.일위대가(교통시설물1)"/>
      <sheetName val="2-1. 기계경비목록(교통시설물1)"/>
      <sheetName val="2-2. 기계경비산출(교통시설물1)"/>
      <sheetName val="3-1.단가비교표(교통시설물1)"/>
      <sheetName val="3-2.노무비 근거(교통시설물1)"/>
      <sheetName val="여기부터 출력하지 마세요"/>
      <sheetName val="표준건축비"/>
      <sheetName val="대로근거"/>
      <sheetName val="중로근거"/>
    </sheetNames>
    <sheetDataSet>
      <sheetData sheetId="0"/>
      <sheetData sheetId="1">
        <row r="2">
          <cell r="C2" t="str">
            <v>호표</v>
          </cell>
        </row>
      </sheetData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1-1평균터파기고(1)"/>
      <sheetName val="맨홀토공평균H산정"/>
      <sheetName val="관로공(1)"/>
      <sheetName val="구조물공수량집계"/>
      <sheetName val="관기초"/>
      <sheetName val="1.토공집계표"/>
      <sheetName val="1-2평균터파기고(2)"/>
      <sheetName val="1-3평균터가기고(3)"/>
      <sheetName val="모래90"/>
      <sheetName val="모래180"/>
      <sheetName val="콘크리트120"/>
      <sheetName val="콘크리트180"/>
      <sheetName val="H모래90"/>
      <sheetName val="H모래180"/>
      <sheetName val="H콘120"/>
      <sheetName val="H콘180"/>
      <sheetName val="H-줄파기"/>
      <sheetName val="줄파기"/>
      <sheetName val="구조물공토공집계"/>
      <sheetName val="1호맨홀토공"/>
      <sheetName val="2호맨홀토공"/>
      <sheetName val="3호맨홀토공"/>
      <sheetName val="4호맨홀토공"/>
      <sheetName val="5호맨홀토공"/>
      <sheetName val="관로공집계표"/>
      <sheetName val="관로공(2)"/>
      <sheetName val="맨홀공평균H"/>
      <sheetName val="1호맨홀집계표"/>
      <sheetName val="1호맨홀수량산출"/>
      <sheetName val="1호맨홀가감수량"/>
      <sheetName val="2호맨홀집계표"/>
      <sheetName val="2호맨홀수량산출"/>
      <sheetName val="2호맨홀가감수량"/>
      <sheetName val="3호맨홀집계표"/>
      <sheetName val="3호맨홀수량산출"/>
      <sheetName val="3호맨홀가감수량"/>
      <sheetName val="4호맨홀집계표"/>
      <sheetName val="4호맨홀수량산출"/>
      <sheetName val="4호맨홀가감수량"/>
      <sheetName val="5호맨홀집계표"/>
      <sheetName val="5호맨홀수량산출"/>
      <sheetName val="5호맨홀가감수량"/>
      <sheetName val="우수받이"/>
      <sheetName val="포장공수량집계"/>
      <sheetName val="ASP포장"/>
      <sheetName val="CON'C포장"/>
      <sheetName val="고압블럭포장"/>
      <sheetName val="가시설(TYPE-A)집계표"/>
      <sheetName val="가시설(TYPE-A)"/>
      <sheetName val="가시설(TYPE-B)집계표 "/>
      <sheetName val="가시설(TYPE-B)"/>
      <sheetName val="Sheet2"/>
      <sheetName val="Sheet1"/>
      <sheetName val="DATA1"/>
      <sheetName val="DATA2"/>
      <sheetName val="DATA3"/>
      <sheetName val="ITEM"/>
      <sheetName val="표준건축비"/>
      <sheetName val="견적대비"/>
      <sheetName val="갑지"/>
      <sheetName val="집계표"/>
    </sheetNames>
    <sheetDataSet>
      <sheetData sheetId="0"/>
      <sheetData sheetId="1">
        <row r="31">
          <cell r="G31">
            <v>2.23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도계산서 (도서)"/>
      <sheetName val="부하계산서"/>
      <sheetName val="Sheet1"/>
      <sheetName val="남양시작동자105노65기1.3화1.2"/>
      <sheetName val="YES"/>
      <sheetName val="MO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(승달문예회관)"/>
      <sheetName val="변압기용량"/>
      <sheetName val="발전기"/>
      <sheetName val="발전기부하"/>
      <sheetName val="축전지"/>
      <sheetName val="전압조건"/>
      <sheetName val="전압강하계산서"/>
      <sheetName val="부하조건"/>
      <sheetName val="부하계산서"/>
      <sheetName val="부하(성남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GUAGE"/>
      <sheetName val="PART_DISCOUNT"/>
      <sheetName val="Summary"/>
      <sheetName val="1250 MSC (1)"/>
      <sheetName val="1250 MSC (2)"/>
      <sheetName val="1250 MSP (3)"/>
      <sheetName val="2300 MSP (4)"/>
      <sheetName val="2300 MSP (5)"/>
      <sheetName val="4500 MSP (6)"/>
      <sheetName val="NMS"/>
      <sheetName val="CATEGORY_DISCOUNT"/>
      <sheetName val="일위(PN)"/>
      <sheetName val="부하(성남)"/>
    </sheetNames>
    <sheetDataSet>
      <sheetData sheetId="0">
        <row r="62">
          <cell r="B62" t="str">
            <v>PART #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8계획조정"/>
      <sheetName val="981차조정"/>
      <sheetName val="피벗테이블"/>
      <sheetName val="지시안"/>
      <sheetName val="요약"/>
      <sheetName val="총괄1"/>
      <sheetName val="총괄1-1"/>
      <sheetName val="총괄2"/>
      <sheetName val="총괄2-1"/>
      <sheetName val="임금동결시"/>
      <sheetName val="98세목별"/>
      <sheetName val="용역수수료내역"/>
      <sheetName val="Sheet1"/>
      <sheetName val="비통제세부"/>
      <sheetName val="1억이상"/>
      <sheetName val="5천이상"/>
      <sheetName val="임금인원"/>
      <sheetName val="계정"/>
      <sheetName val="LANGUAGE"/>
      <sheetName val="일위(PN)"/>
      <sheetName val="D-경비1"/>
      <sheetName val="전선 및 전선관"/>
      <sheetName val="준검 내역서"/>
      <sheetName val="98판관비1차"/>
      <sheetName val="SG"/>
      <sheetName val="2.대외공문"/>
      <sheetName val="울산시산표"/>
      <sheetName val="철강수급"/>
      <sheetName val="소상 &quot;1&quot;"/>
      <sheetName val="TIE-IN"/>
      <sheetName val="대공종"/>
      <sheetName val="남양시작동010313100%"/>
      <sheetName val="MatchCode"/>
      <sheetName val="남양시작동자105노65기1.3화1.2"/>
      <sheetName val="조건 (A)"/>
      <sheetName val="플랜트 설치"/>
      <sheetName val="EP06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(PN)"/>
      <sheetName val="xxxxxx"/>
      <sheetName val="산출집계"/>
      <sheetName val="산출내역(설)"/>
      <sheetName val="산출내역(PN)"/>
      <sheetName val="산출내역(B)"/>
      <sheetName val="일위(설)"/>
      <sheetName val="#REF"/>
      <sheetName val="집계표"/>
      <sheetName val="LANGUAGE"/>
      <sheetName val="설직재-1"/>
      <sheetName val="C-직노1"/>
      <sheetName val="D-경비1"/>
      <sheetName val="일위대가(출입)"/>
      <sheetName val="업무분장"/>
      <sheetName val="PIPE"/>
      <sheetName val="FLANGE"/>
      <sheetName val="VALVE"/>
      <sheetName val="강남설비산출(97523OK)"/>
      <sheetName val="예정(3)"/>
      <sheetName val="카렌스센터계량기설치공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매립"/>
      <sheetName val="갑지"/>
      <sheetName val="수량"/>
      <sheetName val="갑지 (2)"/>
      <sheetName val="매립 (2)"/>
      <sheetName val="공정계획표"/>
      <sheetName val="매립1"/>
      <sheetName val="매립 (3)"/>
      <sheetName val="갑지 (3)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laroux"/>
      <sheetName val="일위(PN)"/>
      <sheetName val="약품설비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문일위00.9 "/>
      <sheetName val="자재단가"/>
      <sheetName val="표지"/>
      <sheetName val="총괄"/>
      <sheetName val="목포세부내역(ROLLER) (2)"/>
      <sheetName val="목포중량"/>
      <sheetName val="목포세부내역 (잡철물)"/>
      <sheetName val="Sheet1"/>
      <sheetName val="98수문일위"/>
      <sheetName val="목포시청"/>
      <sheetName val="매립"/>
      <sheetName val="표준건축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문일위00.9 "/>
      <sheetName val="자재단가"/>
      <sheetName val="표지"/>
      <sheetName val="총괄"/>
      <sheetName val="목포세부내역(ROLLER) (2)"/>
      <sheetName val="목포중량"/>
      <sheetName val="목포세부내역 (잡철물)"/>
      <sheetName val="Sheet1"/>
      <sheetName val="98수문일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0년1월"/>
      <sheetName val="자동비보수"/>
      <sheetName val="98수문일위"/>
    </sheetNames>
    <sheetDataSet>
      <sheetData sheetId="0"/>
      <sheetData sheetId="1"/>
      <sheetData sheetId="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0년1월"/>
      <sheetName val="자동비보수"/>
      <sheetName val="98수문일위"/>
    </sheetNames>
    <sheetDataSet>
      <sheetData sheetId="0"/>
      <sheetData sheetId="1"/>
      <sheetData sheetId="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광명변전단락"/>
      <sheetName val="광명기지단락"/>
      <sheetName val="정거장단락"/>
      <sheetName val="소내케이블"/>
      <sheetName val="부하"/>
      <sheetName val="동력부하(정거장)"/>
      <sheetName val="간선조건"/>
      <sheetName val="간선계산"/>
      <sheetName val="TR 조건"/>
      <sheetName val="밧데리"/>
      <sheetName val="UPS밧데리"/>
      <sheetName val="터널전등"/>
      <sheetName val="터널간선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노임단가"/>
      <sheetName val="I一般比"/>
      <sheetName val="N賃率-職"/>
      <sheetName val="노무비"/>
      <sheetName val="MOTOR"/>
      <sheetName val="직노"/>
      <sheetName val="지급자재"/>
      <sheetName val="J直材4"/>
      <sheetName val="기본DATA"/>
      <sheetName val="내역서"/>
      <sheetName val="CAT_5"/>
      <sheetName val="포장복구집계"/>
      <sheetName val="ABUT수량-A1"/>
      <sheetName val="총괄표"/>
      <sheetName val="전차선로 물량표"/>
      <sheetName val="설계요율"/>
      <sheetName val="집계표"/>
      <sheetName val="노임단가표"/>
      <sheetName val="Curves"/>
      <sheetName val="Tables"/>
      <sheetName val="수량산출1"/>
      <sheetName val="자재단가표"/>
      <sheetName val="갑지1"/>
      <sheetName val="정화조동내역"/>
      <sheetName val="9GNG운반"/>
      <sheetName val="Sheet1"/>
      <sheetName val="도장수량(하1)"/>
      <sheetName val="주형"/>
      <sheetName val="3"/>
      <sheetName val="98수문일위"/>
      <sheetName val="내역서-CCTV"/>
      <sheetName val="2F 회의실견적(5_14 일대)"/>
      <sheetName val="Sheet4"/>
      <sheetName val="EACT10"/>
      <sheetName val="CABLE SIZE-3"/>
      <sheetName val="소각장스케줄"/>
      <sheetName val="단가표"/>
      <sheetName val="내역"/>
      <sheetName val="일위대가(계측기설치)"/>
      <sheetName val="참조"/>
      <sheetName val="일위대가목록"/>
      <sheetName val="Sheet5"/>
      <sheetName val="SP-B1"/>
      <sheetName val="백암비스타내역"/>
      <sheetName val="CABdata"/>
      <sheetName val="목차"/>
      <sheetName val="환율"/>
      <sheetName val="wall"/>
      <sheetName val="Front"/>
      <sheetName val="증감대비"/>
      <sheetName val="MCC제원"/>
      <sheetName val="DATA"/>
      <sheetName val="식재총괄"/>
      <sheetName val="VENT"/>
      <sheetName val="BQ"/>
      <sheetName val="정부노임단가"/>
      <sheetName val="산출근거"/>
      <sheetName val="TR_조건"/>
      <sheetName val="복구량산정_및_전용회선_사용"/>
      <sheetName val="견적사양비교표"/>
      <sheetName val="원가계산서"/>
      <sheetName val="실행내역"/>
      <sheetName val="당초"/>
      <sheetName val="AIR SHOWER(3인용)"/>
      <sheetName val="자재표"/>
      <sheetName val="공정코드"/>
      <sheetName val="매립"/>
      <sheetName val="인건비"/>
      <sheetName val="Requirements"/>
      <sheetName val="OPTera LH  BP"/>
      <sheetName val="Page 1A - Proposal Strategy "/>
      <sheetName val="전선"/>
      <sheetName val="일위목록"/>
      <sheetName val="요율"/>
      <sheetName val="단위단가"/>
      <sheetName val="일위대가"/>
      <sheetName val="노임"/>
      <sheetName val="계림(함평)"/>
      <sheetName val="계림(장성)"/>
      <sheetName val="SLAB근거-1"/>
      <sheetName val="관급"/>
      <sheetName val="진주방향"/>
      <sheetName val="마산방향"/>
      <sheetName val="BLR-S"/>
      <sheetName val="국내총괄"/>
      <sheetName val="INPUT"/>
      <sheetName val="guard(mac)"/>
      <sheetName val="Sheet6"/>
      <sheetName val="입찰안"/>
      <sheetName val="반중력식옹벽"/>
      <sheetName val="8TON트럭"/>
      <sheetName val="콘크리트 캇타"/>
      <sheetName val="대형브레이카"/>
      <sheetName val="소형브레이카"/>
      <sheetName val="공기압축기"/>
      <sheetName val="유압식백호우(0.2)"/>
      <sheetName val="유압식백호우(0.2)-보"/>
      <sheetName val="유압식백호우 (0.4)"/>
      <sheetName val="유압식백호우(0.4)-보"/>
      <sheetName val="램머"/>
      <sheetName val="원치부라인트럭"/>
      <sheetName val="원치부라인트럭 (보)"/>
      <sheetName val="코아드릴"/>
      <sheetName val="포장절단"/>
      <sheetName val="포장깨기-0.2"/>
      <sheetName val="포장깨기-0.4"/>
      <sheetName val="중기터파기"/>
      <sheetName val="중기되메우기"/>
      <sheetName val="다짐-램머"/>
      <sheetName val="골재운반"/>
      <sheetName val="변수값"/>
      <sheetName val="잔토운반"/>
      <sheetName val="운반비산출근거"/>
      <sheetName val="나. 현장 소운반"/>
      <sheetName val="FLOWMOLE공사비산출표"/>
      <sheetName val="FLOW-MOLE"/>
      <sheetName val="flowmole1set"/>
      <sheetName val="폐기물"/>
      <sheetName val="라바콘,교통표지판.공사안내판"/>
      <sheetName val="양수작업시간산출"/>
      <sheetName val="가설울타리"/>
      <sheetName val="라바콘,교통표지판,공사안내판"/>
      <sheetName val="PE전선관피스표"/>
      <sheetName val="경고테이프"/>
      <sheetName val="FC관자재산출"/>
      <sheetName val="지수푸럭설치"/>
      <sheetName val="관구보호몰탈"/>
      <sheetName val="관구보호몰탈(그림)"/>
      <sheetName val="벽체구멍뚫기"/>
      <sheetName val="벽체구멍뚫기(표)"/>
      <sheetName val="인수공재료계산서(수공2호)"/>
      <sheetName val="인수공재료계산서(L형1호)"/>
      <sheetName val="압입(FM)수량산출"/>
      <sheetName val="공제대산출"/>
      <sheetName val="손료"/>
      <sheetName val="배수내역 (2)"/>
      <sheetName val="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ECUTIVE SUMMARY - PAGE 1"/>
      <sheetName val="EXECUTIVE SUMMARY - PAGE 2"/>
      <sheetName val="ACSS RISK CHECKLIST"/>
      <sheetName val="QUANTIFICATION FORM"/>
      <sheetName val="Inputs"/>
      <sheetName val="Cost Inputs"/>
      <sheetName val="Cash Flow1"/>
      <sheetName val="Cash Flow2"/>
      <sheetName val="Acctg Impact"/>
      <sheetName val="SIGNATORY PAGE"/>
      <sheetName val="RESOLUTION AND CORPORATE SEAL"/>
      <sheetName val="APPROVAL MATRIX"/>
      <sheetName val="Drop list option"/>
      <sheetName val="Module1"/>
      <sheetName val="CAP TRAINING EXAMPLE "/>
      <sheetName val="간선계산"/>
      <sheetName val="98수문일위"/>
    </sheetNames>
    <definedNames>
      <definedName name="Macro12"/>
      <definedName name="Macro6"/>
      <definedName name="Macro7"/>
      <definedName name="Macro8"/>
      <definedName name="Macro9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제목"/>
      <sheetName val="내역"/>
      <sheetName val="일위대가"/>
      <sheetName val="단가"/>
      <sheetName val="합천내역"/>
      <sheetName val="노임"/>
      <sheetName val="김천일위"/>
      <sheetName val="일위대가목차"/>
      <sheetName val="지하1층"/>
      <sheetName val="실행내역"/>
      <sheetName val="#REF"/>
      <sheetName val="손익분석"/>
      <sheetName val="설계내역서"/>
      <sheetName val="1.수인터널"/>
      <sheetName val="자료입력"/>
      <sheetName val="직노"/>
      <sheetName val="자재단가"/>
      <sheetName val="200"/>
      <sheetName val="가로등내역서"/>
      <sheetName val="FILE1"/>
      <sheetName val="COST"/>
      <sheetName val="개요"/>
      <sheetName val="부대공Ⅱ"/>
      <sheetName val="입찰보고"/>
      <sheetName val="2000년 공정표"/>
      <sheetName val="000000"/>
      <sheetName val="재료"/>
      <sheetName val="DATA"/>
      <sheetName val="DANGA"/>
      <sheetName val="설계조건"/>
      <sheetName val="1차설계변경내역"/>
      <sheetName val="지급자재"/>
      <sheetName val="단중표"/>
      <sheetName val="제경비율"/>
      <sheetName val="A-4"/>
      <sheetName val="단가조사"/>
      <sheetName val="20관리비율"/>
      <sheetName val="보호"/>
      <sheetName val="조명율표"/>
      <sheetName val="SLAB&quot;1&quot;"/>
      <sheetName val="산출근거"/>
      <sheetName val="관리,공감"/>
      <sheetName val="내역서"/>
      <sheetName val="통로box전기"/>
      <sheetName val="101동"/>
      <sheetName val="b_balju_cho"/>
      <sheetName val="공사설계서"/>
      <sheetName val="단가비교표_공통1"/>
      <sheetName val="5(철거수량)"/>
      <sheetName val="CAT_5"/>
      <sheetName val="백암비스타내역"/>
      <sheetName val="과세내역(세부)"/>
      <sheetName val="평3"/>
      <sheetName val="총괄표"/>
      <sheetName val="설계예산서"/>
      <sheetName val="도급내역서(재노경)"/>
      <sheetName val="골재산출"/>
      <sheetName val="Inputs"/>
      <sheetName val="Cost Inputs"/>
      <sheetName val="전기일위대가"/>
      <sheetName val="Sheet1"/>
      <sheetName val="WORK"/>
      <sheetName val="원가입력"/>
      <sheetName val="관개"/>
      <sheetName val="Sheet5"/>
      <sheetName val="공사비명세서"/>
      <sheetName val="토공 total"/>
      <sheetName val="수량산출서"/>
      <sheetName val="부대단위수량"/>
      <sheetName val="청천내"/>
      <sheetName val="약품공급2"/>
      <sheetName val="일위대가(계측기설치)"/>
      <sheetName val="금액내역서"/>
      <sheetName val="처리단락"/>
      <sheetName val="IW-LIST"/>
      <sheetName val="전차선로 물량표"/>
      <sheetName val="간선계산"/>
      <sheetName val="토사(PE)"/>
      <sheetName val="법면"/>
      <sheetName val="부대공"/>
      <sheetName val="배수공1"/>
      <sheetName val="구조물공"/>
      <sheetName val="중기일위대가"/>
      <sheetName val="포장공"/>
      <sheetName val="토공"/>
      <sheetName val="요율"/>
      <sheetName val="7. Cable(설명)-IEC"/>
      <sheetName val="관람석제출"/>
      <sheetName val="48일위"/>
      <sheetName val="내역서01"/>
      <sheetName val="96정변2"/>
      <sheetName val="조경일람"/>
      <sheetName val="일위집계"/>
      <sheetName val="공사서류양식"/>
      <sheetName val="설계명세서"/>
      <sheetName val="깨기"/>
      <sheetName val="역공종"/>
      <sheetName val="사다리"/>
      <sheetName val="내역총괄"/>
      <sheetName val="내역총괄2"/>
      <sheetName val="내역총괄3"/>
      <sheetName val="TOTAL"/>
      <sheetName val="갑지"/>
      <sheetName val="BOX전기내역"/>
      <sheetName val="전기BOX내역서"/>
      <sheetName val="견적서"/>
      <sheetName val="초기화면"/>
      <sheetName val="식생블럭단위수량"/>
      <sheetName val="집계표"/>
      <sheetName val="노임단가"/>
      <sheetName val="예산변경사항"/>
      <sheetName val="교각1"/>
      <sheetName val="원가계산서"/>
      <sheetName val="Baby일위대가"/>
      <sheetName val="EACT10"/>
      <sheetName val="입찰안"/>
      <sheetName val="기계경비(시간당)"/>
      <sheetName val="램머"/>
      <sheetName val="장비당단가 (1)"/>
      <sheetName val="수량집계 (2)"/>
      <sheetName val="#3_일위대가목록"/>
      <sheetName val="단가 및 재료비"/>
      <sheetName val="MCC제원"/>
      <sheetName val="5.정산서"/>
      <sheetName val="공통가설"/>
      <sheetName val="토적"/>
      <sheetName val="일위대가표"/>
      <sheetName val="터널조도"/>
      <sheetName val="단가산출"/>
      <sheetName val="단면 (2)"/>
      <sheetName val="내역서(전기)"/>
      <sheetName val="소야공정계획표"/>
      <sheetName val="예산M11A"/>
      <sheetName val="공사비대비표B(토공)"/>
      <sheetName val="수량산출서 갑지"/>
      <sheetName val="내역(설계)"/>
      <sheetName val="차수공개요"/>
      <sheetName val="적용토목"/>
      <sheetName val="데리네이타현황"/>
      <sheetName val="부안일위"/>
      <sheetName val="전기"/>
      <sheetName val="당초"/>
      <sheetName val="시공(팔라우)"/>
      <sheetName val="현장"/>
      <sheetName val="토공총괄집계"/>
      <sheetName val="기둥(원형)"/>
      <sheetName val="3.내역서"/>
      <sheetName val="참조"/>
      <sheetName val="2.단면가정"/>
      <sheetName val="총(철거)"/>
      <sheetName val="INPUT(덕도방향-시점)"/>
      <sheetName val="1공구 건정토건 토공"/>
      <sheetName val="3본사"/>
      <sheetName val="하수처리장"/>
      <sheetName val="노임,재료비"/>
      <sheetName val="벽산건설"/>
      <sheetName val="Tbom-tot"/>
      <sheetName val="N賃率-職"/>
      <sheetName val="TB-내역서"/>
      <sheetName val="계수시트"/>
      <sheetName val="220 (2)"/>
      <sheetName val="물량표"/>
      <sheetName val="도담구내 개소별 명세"/>
      <sheetName val="01"/>
      <sheetName val="gvl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Sheet3"/>
      <sheetName val="AIR SHOWER(3인용)"/>
      <sheetName val="집"/>
      <sheetName val="4차원가계산서"/>
      <sheetName val="세부내역"/>
      <sheetName val="기초분물량표"/>
      <sheetName val="건축공사"/>
      <sheetName val="FORM-0"/>
      <sheetName val="산업"/>
      <sheetName val="인건비"/>
      <sheetName val="표지"/>
      <sheetName val="일위대가(목록)"/>
      <sheetName val="재료비"/>
      <sheetName val="케이블"/>
      <sheetName val="VXXXXX"/>
      <sheetName val="자재"/>
      <sheetName val="11.자재단가"/>
      <sheetName val="LD"/>
      <sheetName val="공사직종별노임"/>
      <sheetName val="견적의뢰"/>
      <sheetName val="준검 내역서"/>
      <sheetName val="전기내역서(총계)"/>
      <sheetName val="Macro(전기)"/>
      <sheetName val="집계"/>
      <sheetName val="CODE"/>
      <sheetName val="guard(mac)"/>
      <sheetName val="I一般比"/>
      <sheetName val="102역사"/>
      <sheetName val="비용"/>
      <sheetName val="Macro(전선)"/>
      <sheetName val="Macro(차단기)"/>
      <sheetName val="제수"/>
      <sheetName val="공기"/>
      <sheetName val="순성토"/>
      <sheetName val="소방 "/>
      <sheetName val="총공사내역서"/>
      <sheetName val="실행"/>
      <sheetName val="종배수관설치현황"/>
      <sheetName val="Y-WORK"/>
      <sheetName val="건축개요"/>
      <sheetName val="투찰추정"/>
      <sheetName val="6차2회변경내역서"/>
      <sheetName val="점수계산1-2"/>
      <sheetName val="부대내역"/>
      <sheetName val="b_balju"/>
      <sheetName val="문학간접"/>
      <sheetName val="조명시설"/>
      <sheetName val="내역_ver1.0"/>
      <sheetName val="단면가정"/>
      <sheetName val="DATE"/>
      <sheetName val="수전기기DATA"/>
      <sheetName val="슬래브(유곡)"/>
      <sheetName val="3BL공동구 수량"/>
      <sheetName val="정산내역서"/>
      <sheetName val="98수문일위"/>
      <sheetName val="실행내역(현대)"/>
      <sheetName val="횡배수관토공수량"/>
      <sheetName val="아산경희980422"/>
      <sheetName val=" 총괄표"/>
      <sheetName val="주차구획선수량"/>
      <sheetName val="일위대가목록"/>
      <sheetName val="대치판정"/>
      <sheetName val="산출서집계HS"/>
      <sheetName val="층"/>
      <sheetName val="기초단가"/>
      <sheetName val="9-1차이내역"/>
      <sheetName val="상시"/>
      <sheetName val="직공비"/>
      <sheetName val="평균물량산출서"/>
      <sheetName val="교각별철근수량집계표"/>
      <sheetName val="공사비총괄표"/>
      <sheetName val="부표총괄"/>
      <sheetName val="품셈1-26"/>
      <sheetName val="CIVIL"/>
      <sheetName val="costing_CV"/>
      <sheetName val="costing_ESDV"/>
      <sheetName val="costing_MOV"/>
      <sheetName val="costing_Press"/>
      <sheetName val="2공구산출내역"/>
      <sheetName val="귀래 설계 공내역서"/>
      <sheetName val="BID"/>
      <sheetName val="총수량집계표"/>
      <sheetName val="신우"/>
      <sheetName val="VV보온LINK"/>
      <sheetName val="FIT보온LINK"/>
      <sheetName val="동해묵호1내역"/>
      <sheetName val="토 적 표"/>
      <sheetName val="원형1호맨홀토공수량"/>
      <sheetName val="Data&amp;Result"/>
      <sheetName val="공사착공계"/>
      <sheetName val="Factor"/>
      <sheetName val="KMT물량"/>
      <sheetName val="년도별시공"/>
      <sheetName val="내역을"/>
      <sheetName val="항공측량노임단가"/>
      <sheetName val="예산서"/>
      <sheetName val="기타 정보통신공사"/>
      <sheetName val="일위대가(가설)"/>
      <sheetName val="Sheet1 (2)"/>
      <sheetName val="8.PILE  (돌출)"/>
      <sheetName val="본사업"/>
      <sheetName val="수량산출"/>
      <sheetName val="s"/>
      <sheetName val="코드표"/>
      <sheetName val="발주설계서(당초)"/>
      <sheetName val="건축내역"/>
      <sheetName val="방송일위대가"/>
      <sheetName val="원가총괄"/>
      <sheetName val="단가조사-2"/>
      <sheetName val="자재단가표"/>
      <sheetName val="부하자료"/>
      <sheetName val="말뚝지지력산정"/>
      <sheetName val="변경총괄지(1)"/>
      <sheetName val="반응조"/>
      <sheetName val="교량전기"/>
      <sheetName val="Summary Sheets"/>
      <sheetName val="범용개발순소요비용"/>
      <sheetName val="1-1"/>
      <sheetName val="재료비내역서"/>
      <sheetName val="전선 및 전선관"/>
      <sheetName val="하조서"/>
      <sheetName val="여과지동"/>
      <sheetName val="기초자료"/>
      <sheetName val="LABTOTAL"/>
      <sheetName val="허용전류-IEC"/>
      <sheetName val="1단계"/>
      <sheetName val="MOTOR"/>
      <sheetName val="2000.05"/>
      <sheetName val="광산내역"/>
      <sheetName val="품셈TABLE"/>
      <sheetName val="직접경비호표"/>
      <sheetName val="내역갑지"/>
      <sheetName val="7도장"/>
      <sheetName val="가정"/>
      <sheetName val="공종단가"/>
      <sheetName val="인건비 "/>
      <sheetName val="배선DATA"/>
      <sheetName val="Condensing효율"/>
      <sheetName val="단가조사서"/>
      <sheetName val="준공내역(을)"/>
      <sheetName val="고시단가"/>
      <sheetName val="산출근거(9)"/>
      <sheetName val="교통대책내역"/>
      <sheetName val="공종코드"/>
      <sheetName val="2.단가산출서(2)"/>
      <sheetName val="9GNG운반"/>
      <sheetName val="품목"/>
      <sheetName val="Sheet22"/>
      <sheetName val="공사개요"/>
      <sheetName val="맨홀수량산출"/>
      <sheetName val="효성CB 1P기초"/>
      <sheetName val="3CHBDC"/>
      <sheetName val="도"/>
      <sheetName val="도로단위당"/>
      <sheetName val="예산서 "/>
      <sheetName val="적용기준"/>
      <sheetName val="2.호선별예상실적"/>
      <sheetName val="4.고용보험"/>
      <sheetName val="1.설계조건"/>
      <sheetName val="기계경비"/>
      <sheetName val="표  지"/>
      <sheetName val="정부노임단가"/>
      <sheetName val="밸브설치"/>
      <sheetName val="0"/>
      <sheetName val="1공구원가계산서"/>
      <sheetName val="1공구산출내역서"/>
      <sheetName val="Sheet4"/>
      <sheetName val="전기일위목록"/>
      <sheetName val="工완성공사율"/>
      <sheetName val="물가시세"/>
      <sheetName val="GEN"/>
      <sheetName val="가설공사내역"/>
      <sheetName val="노무비"/>
      <sheetName val="공기압축기실"/>
      <sheetName val="COST "/>
      <sheetName val="검수고1-1층"/>
      <sheetName val="오수공수량집계표"/>
      <sheetName val="청주(철골발주의뢰서)"/>
      <sheetName val="콤보박스와 리스트박스의 연결"/>
      <sheetName val="내역서중"/>
      <sheetName val="현장경비"/>
      <sheetName val="성원계약"/>
      <sheetName val="#2_일위대가목록"/>
      <sheetName val="기초자료입력"/>
      <sheetName val="기타공"/>
      <sheetName val="DATA 입력란"/>
      <sheetName val="노임이"/>
      <sheetName val="도급FORM"/>
      <sheetName val="총괄-1"/>
      <sheetName val="BOM"/>
      <sheetName val="판"/>
      <sheetName val="데이타"/>
      <sheetName val="식재인부"/>
      <sheetName val="BQ(실행)"/>
      <sheetName val="MIJIBI"/>
      <sheetName val="파일의이용"/>
      <sheetName val="기자재비"/>
      <sheetName val="토공(우물통,기타) "/>
      <sheetName val="1.취수장"/>
      <sheetName val="실행내역서"/>
      <sheetName val="진주방향"/>
      <sheetName val="마산방향"/>
      <sheetName val="마산방향철근집계"/>
      <sheetName val="공정코드"/>
      <sheetName val="용산1(해보)"/>
      <sheetName val="단면별연장"/>
      <sheetName val="교대(토공)"/>
      <sheetName val="제잡비"/>
      <sheetName val="내역표지"/>
      <sheetName val="실행철강하도"/>
      <sheetName val="말고개터널조명전압강하"/>
      <sheetName val="2000년1차"/>
      <sheetName val="2000전체분"/>
      <sheetName val="(원)기흥상갈"/>
      <sheetName val="산근"/>
      <sheetName val="일대-1"/>
      <sheetName val="국도접속 차도부수량"/>
      <sheetName val="전력"/>
      <sheetName val="원가계산"/>
      <sheetName val="건축공사 집계표"/>
      <sheetName val="골조"/>
      <sheetName val="효동"/>
      <sheetName val=" HIT-&gt;HMC 견적(3900)"/>
      <sheetName val="견적"/>
      <sheetName val="ABUT수량-A1"/>
      <sheetName val="3.자재비(총괄)"/>
      <sheetName val="현장관리비"/>
      <sheetName val="한일양산"/>
      <sheetName val="입적표"/>
      <sheetName val="내역서(중수)"/>
      <sheetName val="6.콘덴서"/>
      <sheetName val="단가표"/>
      <sheetName val="노임단가 "/>
      <sheetName val="가설공사"/>
      <sheetName val="수량"/>
      <sheetName val="기준자료"/>
      <sheetName val="GI-LIST"/>
      <sheetName val="광혁기성"/>
      <sheetName val="input"/>
      <sheetName val="철근량 검토"/>
      <sheetName val="대림정보통신"/>
      <sheetName val="2.1중기사용목차"/>
      <sheetName val="1월"/>
      <sheetName val="삼성전기"/>
      <sheetName val="주식"/>
      <sheetName val="자료"/>
      <sheetName val="원가"/>
      <sheetName val="Customer Databas"/>
      <sheetName val="공원2"/>
      <sheetName val="95MAKER"/>
      <sheetName val="가감수량"/>
      <sheetName val="STORAGE"/>
      <sheetName val="명세서"/>
      <sheetName val="총물량표"/>
      <sheetName val="사급자재"/>
      <sheetName val="타공종이기"/>
      <sheetName val="대전-교대(A1-A2)"/>
      <sheetName val="수량산출내역1115"/>
      <sheetName val="일위대가(건축)"/>
      <sheetName val="copy"/>
      <sheetName val="서식"/>
      <sheetName val="2.가정단면"/>
      <sheetName val="남양시작동자105노65기1.3화1.2"/>
      <sheetName val="총투입계"/>
      <sheetName val="일위목록"/>
      <sheetName val="산출"/>
      <sheetName val="wall"/>
      <sheetName val="시설물기초"/>
      <sheetName val="현장관리비참조"/>
      <sheetName val="경비"/>
      <sheetName val="제직재"/>
      <sheetName val="관리노인정"/>
      <sheetName val="토공사"/>
      <sheetName val="입사일"/>
      <sheetName val="기성내역서표지"/>
      <sheetName val="Db"/>
      <sheetName val="자압"/>
      <sheetName val="단위중량"/>
      <sheetName val="안정계산"/>
      <sheetName val="단면검토"/>
      <sheetName val="가도공"/>
      <sheetName val="1호인버트수량"/>
      <sheetName val="석축설면"/>
      <sheetName val="법면단"/>
      <sheetName val="설비"/>
      <sheetName val="공사비예산서(토목분)"/>
      <sheetName val="적격심사표"/>
      <sheetName val="시화점실행"/>
      <sheetName val="기계내역"/>
      <sheetName val="시행후면적"/>
      <sheetName val="조명일위"/>
      <sheetName val="재료집계"/>
      <sheetName val="물가자료"/>
      <sheetName val="원가 계산서"/>
      <sheetName val="측량노임.재료.기재"/>
      <sheetName val="기본 상수"/>
      <sheetName val="5공철탑검토표"/>
      <sheetName val="4공철탑검토"/>
      <sheetName val="기술부대조건"/>
      <sheetName val="전력구구조물산근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경산"/>
      <sheetName val="견적내역"/>
      <sheetName val="계측기"/>
      <sheetName val="노임단가표"/>
      <sheetName val="통계연보"/>
      <sheetName val="자재대"/>
      <sheetName val="기본"/>
      <sheetName val="시멘트"/>
      <sheetName val="형강류 단가 CODE"/>
      <sheetName val="기본가정"/>
      <sheetName val="LF자재단가"/>
      <sheetName val="WORK-VOL"/>
      <sheetName val="95년12월말"/>
      <sheetName val="버스운행안내"/>
      <sheetName val="예방접종계획"/>
      <sheetName val="근태계획서"/>
      <sheetName val="접지수량"/>
      <sheetName val="1_수인터널"/>
      <sheetName val="2000년_공정표"/>
      <sheetName val="토공_total"/>
      <sheetName val="1공구_건정토건_토공"/>
      <sheetName val="2_단면가정"/>
      <sheetName val="5_정산서"/>
      <sheetName val="소방_"/>
      <sheetName val="화재 탐지 설비"/>
      <sheetName val="기둥(하중)"/>
      <sheetName val="수량분배표"/>
      <sheetName val="대공종"/>
      <sheetName val="기본DATA"/>
      <sheetName val="부하계산서"/>
      <sheetName val="참고"/>
      <sheetName val="토목"/>
      <sheetName val="MAIN_TABLE"/>
      <sheetName val="기흥하도용"/>
      <sheetName val="장비가동"/>
      <sheetName val="건축"/>
      <sheetName val="가정조건"/>
      <sheetName val="환율"/>
      <sheetName val="(C)원내역"/>
      <sheetName val="설계(안)"/>
      <sheetName val="빗물받이(910-510-410)"/>
      <sheetName val="1.지형현황측량"/>
      <sheetName val="특별교실"/>
      <sheetName val="자재단가비교표"/>
      <sheetName val="원효펌프교체020812"/>
      <sheetName val="플랜트 설치"/>
      <sheetName val="연결임시"/>
      <sheetName val="대목"/>
      <sheetName val="COPING"/>
      <sheetName val="수지예산"/>
      <sheetName val="예가표"/>
      <sheetName val="단위수량"/>
      <sheetName val="설직재-1"/>
      <sheetName val="일위"/>
      <sheetName val="바닥판"/>
      <sheetName val="입력DATA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오수받이"/>
      <sheetName val="맨홀수량"/>
      <sheetName val="맨홀단위도면"/>
      <sheetName val="맨홀1호"/>
      <sheetName val="맨홀2호"/>
      <sheetName val="가감수량"/>
      <sheetName val="맨홀수량산출"/>
      <sheetName val="Inputs"/>
      <sheetName val="Cost Inputs"/>
      <sheetName val="손익분석"/>
      <sheetName val="원형맨홀수량"/>
      <sheetName val="3련 BOX"/>
      <sheetName val="MOTOR"/>
      <sheetName val="정부노임단가"/>
      <sheetName val="CONUNIT"/>
      <sheetName val="CON포장수량"/>
      <sheetName val="포장공"/>
      <sheetName val="123"/>
      <sheetName val="간선계산"/>
      <sheetName val="98수문일위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"/>
      <sheetName val="가감수량"/>
      <sheetName val="맨홀수량산출"/>
      <sheetName val="Inputs"/>
      <sheetName val="Cost Inputs"/>
      <sheetName val="손익분석"/>
      <sheetName val="esco"/>
      <sheetName val="간선계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통합수주_판품2K0112"/>
      <sheetName val="견적990322"/>
      <sheetName val="갑지"/>
      <sheetName val="#REF"/>
      <sheetName val="Sheet1"/>
      <sheetName val="일위(PN)"/>
      <sheetName val="견적서"/>
      <sheetName val="Y-WORK"/>
      <sheetName val="품셈(기초)"/>
      <sheetName val="내역"/>
      <sheetName val="원가"/>
      <sheetName val="9-1차이내역"/>
      <sheetName val="단가"/>
      <sheetName val="일위대가표"/>
      <sheetName val="프랜트면허"/>
      <sheetName val="98지급계획"/>
      <sheetName val="원형맨홀수량"/>
      <sheetName val="5.세운W-A"/>
      <sheetName val="차량별점검"/>
      <sheetName val="수량산출1"/>
      <sheetName val="일위대가"/>
      <sheetName val="자재단가표"/>
      <sheetName val="간선계산"/>
      <sheetName val="표지 (2)"/>
      <sheetName val="전차선로 물량표"/>
      <sheetName val="포장복구집계"/>
      <sheetName val="을지"/>
      <sheetName val="밸브설치"/>
      <sheetName val="내역서"/>
      <sheetName val="재료"/>
      <sheetName val="별표 "/>
      <sheetName val="Sheet6"/>
      <sheetName val="맨홀수량산출"/>
      <sheetName val="가감수량"/>
      <sheetName val="Inputs"/>
      <sheetName val="Cost Inputs"/>
      <sheetName val="손익분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견적990322"/>
      <sheetName val="대로근거"/>
      <sheetName val="중로근거"/>
      <sheetName val="Y-WORK"/>
      <sheetName val="협조전"/>
      <sheetName val="총괄표"/>
      <sheetName val="ccd원가"/>
      <sheetName val="단가"/>
      <sheetName val="조명율표"/>
      <sheetName val="DATA"/>
      <sheetName val="데이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토공집계"/>
      <sheetName val="관로집계"/>
      <sheetName val="대로근거"/>
      <sheetName val="대로토공"/>
      <sheetName val="중로근거"/>
      <sheetName val="중로토공"/>
      <sheetName val="소로근거"/>
      <sheetName val="소로토공"/>
      <sheetName val="비포장근거"/>
      <sheetName val="비포장토공"/>
      <sheetName val="연결관수량"/>
      <sheetName val="우수받이수량"/>
      <sheetName val="집수정수량"/>
      <sheetName val="집수정단위"/>
      <sheetName val="U형측구수량"/>
      <sheetName val="U형측구단위"/>
      <sheetName val="산마루측구수량"/>
      <sheetName val="산마루측구단위"/>
      <sheetName val="도수로수량"/>
      <sheetName val="도수로단위"/>
      <sheetName val="횡단배수구수량"/>
      <sheetName val="횡단배수구단위"/>
      <sheetName val="말뚝지지력산정"/>
      <sheetName val="견적990322"/>
      <sheetName val="협조전"/>
      <sheetName val="총괄표"/>
      <sheetName val="ccd원가"/>
      <sheetName val="Y-WORK"/>
      <sheetName val="SORCE1"/>
      <sheetName val="노임단가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조도"/>
      <sheetName val="부하"/>
      <sheetName val="동력"/>
      <sheetName val="0.6-1kV 케이블 (전동기)"/>
      <sheetName val="변압기"/>
      <sheetName val="발전기"/>
      <sheetName val="간선"/>
      <sheetName val="APT"/>
      <sheetName val="도체상수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도체종-상수표"/>
      <sheetName val="전기자료"/>
      <sheetName val="#REF"/>
      <sheetName val="GEN"/>
      <sheetName val="DUT-BAT1"/>
      <sheetName val="동부하-L"/>
      <sheetName val="비상용"/>
      <sheetName val="상가"/>
      <sheetName val="병원동"/>
      <sheetName val="수변전설비용량계산서"/>
      <sheetName val="표지"/>
      <sheetName val="변압기E"/>
      <sheetName val="LE"/>
      <sheetName val="지하주차장"/>
      <sheetName val="부속동"/>
      <sheetName val="부속동 (1)"/>
      <sheetName val="동력1"/>
      <sheetName val="접지"/>
      <sheetName val="전화"/>
      <sheetName val="방송"/>
      <sheetName val="Sheet1"/>
      <sheetName val="세대부하"/>
      <sheetName val="동간선"/>
      <sheetName val="코아별부하"/>
      <sheetName val="변압기 "/>
      <sheetName val="P"/>
      <sheetName val="UTILITY"/>
      <sheetName val="환경및유틸리티"/>
      <sheetName val="밧,충전기"/>
      <sheetName val="변압기 용량 계산"/>
      <sheetName val="부하집계"/>
      <sheetName val="변압기별부하집계"/>
      <sheetName val="지하층비상"/>
      <sheetName val="FB25JN"/>
      <sheetName val="N賃率-職"/>
      <sheetName val="약전TRAY"/>
      <sheetName val="동부하합계"/>
      <sheetName val="공용부하합계"/>
      <sheetName val="아파트공용"/>
      <sheetName val="아파트지붕"/>
      <sheetName val="강전TRAY"/>
      <sheetName val="8.PILE  (돌출)"/>
      <sheetName val="품목"/>
      <sheetName val="참조자료"/>
      <sheetName val="노임"/>
      <sheetName val="말뚝지지력산정"/>
      <sheetName val="직노"/>
      <sheetName val="2F 회의실견적(5_14 일대)"/>
      <sheetName val="설직재-1"/>
      <sheetName val="수량산출"/>
      <sheetName val="을지"/>
      <sheetName val="배수공"/>
      <sheetName val="예산내역서"/>
      <sheetName val="설계예산서"/>
      <sheetName val="조명시설"/>
      <sheetName val="차액보증"/>
      <sheetName val="CAPVC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STEP-B"/>
      <sheetName val="NOIM"/>
      <sheetName val="기준표"/>
      <sheetName val="STEP-A"/>
      <sheetName val="YES-F"/>
      <sheetName val="YES-T"/>
      <sheetName val="경비"/>
      <sheetName val="MAIN"/>
      <sheetName val="표"/>
      <sheetName val="dt0301"/>
      <sheetName val="dtt0301"/>
      <sheetName val="관급"/>
      <sheetName val="YES_T"/>
      <sheetName val="빌딩 안내"/>
      <sheetName val="EP0618"/>
      <sheetName val="말뚝지지력산정"/>
      <sheetName val="견적990322"/>
      <sheetName val="협조전"/>
      <sheetName val="총괄표"/>
      <sheetName val="ccd원가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목차"/>
      <sheetName val="전기일위대가"/>
      <sheetName val="DATA"/>
      <sheetName val="dt0301"/>
      <sheetName val="dtt0301"/>
      <sheetName val="말뚝지지력산정"/>
      <sheetName val="견적990322"/>
      <sheetName val="협조전"/>
      <sheetName val="총괄표"/>
    </sheetNames>
    <sheetDataSet>
      <sheetData sheetId="0">
        <row r="3">
          <cell r="D3" t="str">
            <v>톤당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0년1월"/>
      <sheetName val="자동비보수"/>
      <sheetName val="산거각호표"/>
      <sheetName val="전기일위대가"/>
      <sheetName val="dt0301"/>
      <sheetName val="dtt0301"/>
      <sheetName val="말뚝지지력산정"/>
      <sheetName val="견적990322"/>
      <sheetName val="협조전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천내역"/>
      <sheetName val="일위"/>
      <sheetName val="일위(PN)"/>
      <sheetName val="설직재-1"/>
      <sheetName val="금액내역서"/>
      <sheetName val="집계표(OPTION)"/>
      <sheetName val="갑지(추정)"/>
      <sheetName val="Total"/>
      <sheetName val="N賃率-職"/>
      <sheetName val="Sheet2"/>
      <sheetName val="일위대가"/>
      <sheetName val="데이타"/>
      <sheetName val="수량산출"/>
      <sheetName val="Sheet13"/>
      <sheetName val="Sheet14"/>
      <sheetName val="D-경비1"/>
      <sheetName val="I一般比"/>
      <sheetName val="김포IO"/>
      <sheetName val="FD"/>
      <sheetName val="약전닥트"/>
      <sheetName val="건축부하"/>
      <sheetName val="처리단락"/>
      <sheetName val="99관저"/>
      <sheetName val="일지-H"/>
      <sheetName val="LD"/>
      <sheetName val="FA설치명세"/>
      <sheetName val="일위대가 "/>
      <sheetName val="FB25JN"/>
      <sheetName val="6호기"/>
      <sheetName val="준공정산"/>
      <sheetName val="마건사1"/>
      <sheetName val="마검수1"/>
      <sheetName val="마공기1"/>
      <sheetName val="마변전소1"/>
      <sheetName val="마승무1"/>
      <sheetName val="마쓰레기1"/>
      <sheetName val="마운전1"/>
      <sheetName val="마전삭고1"/>
      <sheetName val="마정문1"/>
      <sheetName val="마중앙1"/>
      <sheetName val="마차륜1"/>
      <sheetName val="마차체1"/>
      <sheetName val="마폐수1"/>
      <sheetName val="마환경정비1"/>
      <sheetName val="마후문1"/>
      <sheetName val="설계명세서"/>
      <sheetName val="시행후면적"/>
      <sheetName val="수지예산"/>
      <sheetName val="산거각호표"/>
      <sheetName val="CTEMCOST"/>
      <sheetName val="(참고)계정"/>
      <sheetName val="(참고)재무코드"/>
      <sheetName val="재료율"/>
      <sheetName val="내역서"/>
      <sheetName val="직재"/>
      <sheetName val="아파트 "/>
      <sheetName val="연돌일위집계"/>
      <sheetName val="집계표"/>
      <sheetName val="TYPE-A"/>
      <sheetName val="TYPE-B"/>
      <sheetName val="단가표"/>
      <sheetName val="갑지"/>
      <sheetName val="프랜트면허"/>
      <sheetName val="토목주소"/>
      <sheetName val="잡비"/>
      <sheetName val="일위목록"/>
      <sheetName val="인건비 "/>
      <sheetName val="거래처"/>
      <sheetName val="40총괄"/>
      <sheetName val="40집계"/>
      <sheetName val="SAM"/>
      <sheetName val="J直材4"/>
      <sheetName val="#REF"/>
      <sheetName val="총괄내역서"/>
      <sheetName val="고유코드_설계"/>
      <sheetName val="노임단가표"/>
      <sheetName val="dt0301"/>
      <sheetName val="dtt0301"/>
      <sheetName val="정산리스트(서브탭)"/>
      <sheetName val="정산리스트"/>
      <sheetName val="항목"/>
      <sheetName val="항목명"/>
      <sheetName val="2.26"/>
      <sheetName val="9GNG운반"/>
      <sheetName val="위치"/>
      <sheetName val="증감대비"/>
      <sheetName val="품목구분"/>
      <sheetName val="표지"/>
      <sheetName val="통합배선반내역서"/>
      <sheetName val="단"/>
      <sheetName val="공사개요"/>
      <sheetName val="결과조달"/>
      <sheetName val="조명시설"/>
      <sheetName val="차액보증"/>
      <sheetName val="견적대비"/>
      <sheetName val="LOB"/>
      <sheetName val="설계명세"/>
      <sheetName val="기초단가"/>
      <sheetName val="6PILE  (돌출)"/>
      <sheetName val="Sheet4"/>
      <sheetName val="역T형"/>
      <sheetName val="덕전리"/>
      <sheetName val="DATE"/>
      <sheetName val="실행철강하도"/>
      <sheetName val="구성비"/>
      <sheetName val="내역서1999.8최종"/>
      <sheetName val="wall"/>
      <sheetName val="남양내역"/>
      <sheetName val="심사계산"/>
      <sheetName val="심사물량"/>
      <sheetName val="기초자료입력"/>
      <sheetName val="xSeries255"/>
      <sheetName val="Edit"/>
      <sheetName val="Master Data"/>
      <sheetName val="Edit(01)"/>
      <sheetName val="손익분석"/>
      <sheetName val="data"/>
      <sheetName val="일위산출"/>
      <sheetName val="노임"/>
      <sheetName val="출입자명단"/>
      <sheetName val="식재인부"/>
      <sheetName val="관접합및부설"/>
      <sheetName val="단가"/>
      <sheetName val="내역서적용"/>
      <sheetName val="경영상태"/>
      <sheetName val="철골공사"/>
      <sheetName val="DNT OSBL"/>
      <sheetName val="노임단가"/>
      <sheetName val="실행내역"/>
      <sheetName val="Sheet1 (2)"/>
      <sheetName val="인건비"/>
      <sheetName val="BI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조도"/>
      <sheetName val="부하"/>
      <sheetName val="동력"/>
      <sheetName val="변압기"/>
      <sheetName val="발전기"/>
      <sheetName val="간선"/>
      <sheetName val="APT"/>
      <sheetName val="도체종-상수표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#REF"/>
      <sheetName val="전기자료"/>
      <sheetName val="DUT-BAT1"/>
      <sheetName val="GEN"/>
      <sheetName val="1.수인터널"/>
      <sheetName val="N賃率-職"/>
      <sheetName val="합천내역"/>
      <sheetName val="dte"/>
      <sheetName val="전기일위대가"/>
      <sheetName val="내역1"/>
      <sheetName val="1.원가계산서"/>
      <sheetName val="노무비 근거"/>
      <sheetName val="4-1.일위대가"/>
      <sheetName val="일위대가"/>
      <sheetName val="수량산출"/>
      <sheetName val="I.설계조건"/>
      <sheetName val="노임"/>
      <sheetName val="가로등기초"/>
      <sheetName val="Total"/>
      <sheetName val="조명시설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협조전"/>
      <sheetName val="내역"/>
      <sheetName val="일위대가목차"/>
      <sheetName val="산거각호표"/>
      <sheetName val="전기일위대가"/>
      <sheetName val="dt0301"/>
      <sheetName val="dtt0301"/>
      <sheetName val="말뚝지지력산정"/>
      <sheetName val="견적99032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직급별소요 (3)"/>
      <sheetName val="전기일위대가"/>
      <sheetName val="설계조건"/>
      <sheetName val="2.대외공문"/>
      <sheetName val="협조전"/>
      <sheetName val="Y-WORK"/>
      <sheetName val="일위"/>
      <sheetName val="견적990322"/>
      <sheetName val="일위대가목차"/>
      <sheetName val="98지급계획"/>
      <sheetName val="직노"/>
      <sheetName val="개요"/>
      <sheetName val="차수"/>
      <sheetName val="인원총괄ver3"/>
      <sheetName val="일위대가"/>
      <sheetName val="수량산출서"/>
      <sheetName val="직급별소요_(3)"/>
      <sheetName val="내역서"/>
      <sheetName val="총괄표"/>
      <sheetName val="경상비내역"/>
      <sheetName val="ccd원가"/>
      <sheetName val="단가"/>
      <sheetName val="산거각호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L"/>
      <sheetName val="부대대비"/>
      <sheetName val="냉연집계"/>
      <sheetName val="협조전"/>
      <sheetName val="일위대가목차"/>
      <sheetName val="산거각호표"/>
      <sheetName val="전기일위대가"/>
      <sheetName val="dt0301"/>
      <sheetName val="dtt0301"/>
      <sheetName val="Sheet1"/>
      <sheetName val="조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"/>
      <sheetName val="갑지"/>
      <sheetName val="관람석제출"/>
      <sheetName val="일위대가목차"/>
      <sheetName val="TEL"/>
      <sheetName val="부대대비"/>
      <sheetName val="냉연집계"/>
      <sheetName val="산거각호표"/>
      <sheetName val="협조전"/>
      <sheetName val="보도경계블럭"/>
    </sheetNames>
    <sheetDataSet>
      <sheetData sheetId="0" refreshError="1"/>
      <sheetData sheetId="1" refreshError="1"/>
      <sheetData sheetId="2">
        <row r="4">
          <cell r="A4" t="str">
            <v xml:space="preserve"> 1. 장비설치공사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수량산출"/>
      <sheetName val="중량산출"/>
      <sheetName val="PANEL 중량산출"/>
      <sheetName val="내역서"/>
      <sheetName val="견적대비표"/>
      <sheetName val="단가대비표"/>
      <sheetName val="TEL"/>
      <sheetName val="I一般比"/>
      <sheetName val="과천MAIN"/>
      <sheetName val="대비"/>
      <sheetName val="내역서(총)"/>
      <sheetName val="일위대가"/>
      <sheetName val="N賃率-職"/>
      <sheetName val="부대대비"/>
      <sheetName val="냉연집계"/>
      <sheetName val="Sheet3"/>
      <sheetName val="직노"/>
      <sheetName val="설계조건"/>
      <sheetName val="plan&amp;section of foundation"/>
      <sheetName val="노원열병합  건축공사기성내역서"/>
      <sheetName val="민속촌메뉴"/>
      <sheetName val="수량산출서"/>
      <sheetName val="신우"/>
      <sheetName val="교각계산"/>
      <sheetName val="code"/>
      <sheetName val="합천내역"/>
      <sheetName val="업무"/>
      <sheetName val="DATE"/>
      <sheetName val="sheets"/>
      <sheetName val="예산M12A"/>
      <sheetName val="일위대가목차"/>
      <sheetName val="노임단가"/>
      <sheetName val="경비_원본"/>
      <sheetName val="직재"/>
      <sheetName val="FANDBS"/>
      <sheetName val="GRDATA"/>
      <sheetName val="SHAFTDBSE"/>
      <sheetName val="감가상각"/>
      <sheetName val="J直材4"/>
      <sheetName val="자재단가비교표"/>
      <sheetName val="을지"/>
      <sheetName val="DB"/>
      <sheetName val="경산"/>
      <sheetName val="Sheet2"/>
      <sheetName val="터널조도"/>
      <sheetName val="실행내역서 "/>
      <sheetName val="부하계산서"/>
      <sheetName val="CT "/>
      <sheetName val="노임"/>
      <sheetName val="ABUT수량-A1"/>
      <sheetName val="발신정보"/>
      <sheetName val="기본일위"/>
      <sheetName val="2F 회의실견적(5_14 일대)"/>
      <sheetName val="TOTAL"/>
      <sheetName val="NOMUBI"/>
      <sheetName val="sw1"/>
      <sheetName val="실행철강하도"/>
      <sheetName val="단가비교표"/>
      <sheetName val="동원(3)"/>
      <sheetName val="예정(3)"/>
      <sheetName val="인건-측정"/>
      <sheetName val="조도계산서 (도서)"/>
      <sheetName val="동력부하(도산)"/>
      <sheetName val="명세서"/>
      <sheetName val="20관리비율"/>
      <sheetName val="공사현황"/>
      <sheetName val="C-노임단가"/>
      <sheetName val="입찰안"/>
      <sheetName val="danga"/>
      <sheetName val="ilch"/>
      <sheetName val="Sheet14"/>
      <sheetName val="Sheet13"/>
      <sheetName val="유림골조"/>
      <sheetName val="소비자가"/>
      <sheetName val="6호기"/>
      <sheetName val="공사원가계산서"/>
      <sheetName val="재집"/>
      <sheetName val="견적서"/>
      <sheetName val="단가조사"/>
      <sheetName val="을"/>
      <sheetName val="TABLE"/>
      <sheetName val="유기공정"/>
      <sheetName val="96물가 CODE"/>
      <sheetName val="연부97-1"/>
      <sheetName val="갑지1"/>
      <sheetName val="단가산출2"/>
      <sheetName val="제36-40호표"/>
      <sheetName val="#REF"/>
      <sheetName val="총괄집계표"/>
      <sheetName val="노무비"/>
      <sheetName val="공조기휀"/>
      <sheetName val="재료"/>
      <sheetName val="설치자재"/>
      <sheetName val="기본사항"/>
      <sheetName val="환산"/>
      <sheetName val="일위"/>
      <sheetName val="노임이"/>
      <sheetName val="개요"/>
      <sheetName val="DB단가"/>
      <sheetName val="조명시설"/>
      <sheetName val="예산변경사항"/>
      <sheetName val="세부내역"/>
      <sheetName val="정공공사"/>
      <sheetName val="Sheet5"/>
      <sheetName val="갑지"/>
      <sheetName val="인건비"/>
      <sheetName val="BID"/>
      <sheetName val="도"/>
      <sheetName val="공사내역"/>
      <sheetName val="전기일위대가"/>
      <sheetName val="DATA"/>
      <sheetName val="내역"/>
      <sheetName val="LEGEND"/>
      <sheetName val="갑지(추정)"/>
      <sheetName val="건축내역"/>
      <sheetName val="조경"/>
      <sheetName val="도체종-상수표"/>
      <sheetName val="설직재-1"/>
      <sheetName val="주소록"/>
      <sheetName val="Sheet1"/>
      <sheetName val="본장"/>
      <sheetName val="최종갑지"/>
      <sheetName val="sum1 (2)"/>
      <sheetName val="견적정보"/>
      <sheetName val="PANEL_중량산출"/>
      <sheetName val="노원열병합__건축공사기성내역서"/>
      <sheetName val="plan&amp;section_of_foundation"/>
      <sheetName val="1단계"/>
      <sheetName val="FB25JN"/>
      <sheetName val="년도별실"/>
      <sheetName val="계산서(곡선부)"/>
      <sheetName val="-치수표(곡선부)"/>
      <sheetName val="원가계산서"/>
      <sheetName val="1.설계조건"/>
      <sheetName val="LOPCALC"/>
      <sheetName val="프로그램"/>
      <sheetName val="예산서"/>
      <sheetName val="운반비"/>
      <sheetName val="단가(1)"/>
      <sheetName val="단가(2)"/>
      <sheetName val="배관(TON)"/>
      <sheetName val="물량집계"/>
      <sheetName val="물량비교"/>
      <sheetName val="배관비교"/>
      <sheetName val="리스트"/>
      <sheetName val="용량-침사"/>
      <sheetName val="용량-펌프"/>
      <sheetName val="장애코드"/>
      <sheetName val="현금예금"/>
      <sheetName val="OPT7"/>
      <sheetName val="일위단가"/>
      <sheetName val="Sheet9"/>
      <sheetName val="종배수관"/>
      <sheetName val="CP-E2 (품셈표)"/>
      <sheetName val="품목납기"/>
      <sheetName val="설비"/>
      <sheetName val="U-TYPE(1)"/>
      <sheetName val="조도계산(1)"/>
      <sheetName val="전차선로 물량표"/>
      <sheetName val="일위대가목록"/>
      <sheetName val="001"/>
      <sheetName val="와동25-3(변경)"/>
      <sheetName val="60명당사(총괄)"/>
      <sheetName val="CT_"/>
      <sheetName val="2F_회의실견적(5_14_일대)"/>
      <sheetName val="조도계산서_(도서)"/>
      <sheetName val="96물가_CODE"/>
      <sheetName val="CP-E2_(품셈표)"/>
      <sheetName val="70%"/>
      <sheetName val="전기단가조사서"/>
      <sheetName val="반중력식옹벽3.5"/>
      <sheetName val="중기사용료"/>
      <sheetName val="Macro1"/>
      <sheetName val="Macro2"/>
      <sheetName val="김재복부장님"/>
      <sheetName val="기초대가"/>
      <sheetName val="97"/>
      <sheetName val="WORK"/>
      <sheetName val="K1자재(3차등)"/>
      <sheetName val="자재단가"/>
      <sheetName val="덕전리"/>
      <sheetName val="선급금신청서"/>
      <sheetName val="실행비교"/>
      <sheetName val="화재 탐지 설비"/>
      <sheetName val="工완성공사율"/>
      <sheetName val="Y-WORK"/>
      <sheetName val="UserData"/>
      <sheetName val="환율"/>
      <sheetName val="EACT10"/>
      <sheetName val="음료실행"/>
      <sheetName val="APT내역"/>
      <sheetName val="부대시설"/>
      <sheetName val="기둥(원형)"/>
      <sheetName val="1안"/>
      <sheetName val="신규 수주분(사용자 정의)"/>
      <sheetName val="소상 &quot;1&quot;"/>
      <sheetName val="여과지동"/>
      <sheetName val="기초자료"/>
      <sheetName val="CONCRETE"/>
      <sheetName val="부하LOAD"/>
      <sheetName val="데이타"/>
      <sheetName val="11월 가격"/>
      <sheetName val="일위대가(1)"/>
      <sheetName val="연수동"/>
      <sheetName val="1000 DB구축 부표"/>
      <sheetName val="6PILE  (돌출)"/>
      <sheetName val="청천내"/>
      <sheetName val="차액보증"/>
      <sheetName val="10월가격"/>
      <sheetName val="원형1호맨홀토공수량"/>
      <sheetName val="정부노임단가"/>
      <sheetName val="철거산출근거"/>
      <sheetName val="기계경비산출기준"/>
      <sheetName val="원본(갑지)"/>
      <sheetName val="판매96"/>
      <sheetName val="단가산출(변경없음)"/>
      <sheetName val="제-노임"/>
      <sheetName val="제직재"/>
      <sheetName val="통신원가"/>
      <sheetName val="금액집계"/>
      <sheetName val="기성금내역서"/>
      <sheetName val="터파기및재료"/>
      <sheetName val="GAEYO"/>
      <sheetName val="타견적1"/>
      <sheetName val="타견적2"/>
      <sheetName val="타견적3"/>
      <sheetName val="원가"/>
      <sheetName val="운반"/>
      <sheetName val="UR2-Calculation"/>
      <sheetName val="부속동"/>
      <sheetName val="공사개요(좌)"/>
      <sheetName val="직공비"/>
      <sheetName val="매입세율"/>
      <sheetName val="공사개요"/>
      <sheetName val="Sheet7"/>
      <sheetName val="어음광고주"/>
      <sheetName val="내역서1999.8최종"/>
      <sheetName val="단가표"/>
      <sheetName val="밸브설치"/>
      <sheetName val="사통"/>
      <sheetName val="단"/>
      <sheetName val="FPA"/>
      <sheetName val="순수개발"/>
      <sheetName val="11.단가비교표_"/>
      <sheetName val="16.기계경비산출내역_"/>
      <sheetName val="Data Vol"/>
      <sheetName val="차수"/>
      <sheetName val="공통가설"/>
      <sheetName val="전체"/>
      <sheetName val="Galaxy 소비자가격표"/>
      <sheetName val="7.1 자재단가표(케이블)"/>
      <sheetName val="dt0301"/>
      <sheetName val="dtt0301"/>
      <sheetName val="DRUM"/>
      <sheetName val="노무비 근거"/>
      <sheetName val="견적대비 견적서"/>
      <sheetName val="copy"/>
      <sheetName val="토공정보"/>
      <sheetName val="예산M5A"/>
      <sheetName val="예산M2"/>
      <sheetName val="표지"/>
      <sheetName val="남양시작동자105노65기1.3화1.2"/>
      <sheetName val="지급자재"/>
      <sheetName val="계약내역서(을지)"/>
      <sheetName val="장비분석"/>
      <sheetName val="공조기"/>
      <sheetName val="STORAGE"/>
      <sheetName val="토목주소"/>
      <sheetName val="프랜트면허"/>
      <sheetName val="별표 "/>
      <sheetName val="조명율표"/>
      <sheetName val="단가조사-2"/>
      <sheetName val="집계표"/>
      <sheetName val="VE절감"/>
      <sheetName val="물량표S"/>
      <sheetName val="금액내역서"/>
      <sheetName val="물가시세"/>
      <sheetName val="전기"/>
      <sheetName val="ITEM"/>
      <sheetName val="type-F"/>
      <sheetName val="기성"/>
      <sheetName val="품목"/>
      <sheetName val="교각1"/>
      <sheetName val="토공(우물통,기타) "/>
      <sheetName val="wall"/>
      <sheetName val="COPING"/>
      <sheetName val="AA3000"/>
      <sheetName val="AA3100"/>
      <sheetName val="비계"/>
      <sheetName val="AA3200"/>
      <sheetName val="동바리"/>
      <sheetName val="AA3300"/>
      <sheetName val="특수거푸집"/>
      <sheetName val="AA3400"/>
      <sheetName val="9GNG운반"/>
      <sheetName val="준검 내역서"/>
      <sheetName val="T13(P68~72,78)"/>
      <sheetName val="2"/>
      <sheetName val="여방토공 "/>
      <sheetName val="(C)원내역"/>
      <sheetName val="내역서 (2)"/>
      <sheetName val="총괄내역서"/>
      <sheetName val="원가계산"/>
      <sheetName val="사급자재"/>
      <sheetName val="AV시스템"/>
      <sheetName val="C1"/>
      <sheetName val="기성내역서표지"/>
      <sheetName val="이토변실(A3-LINE)"/>
      <sheetName val="sub"/>
      <sheetName val="(A)내역서"/>
      <sheetName val="값"/>
      <sheetName val="횡 연장"/>
      <sheetName val="호표"/>
      <sheetName val="공사비명세서"/>
      <sheetName val="지수"/>
      <sheetName val="일위대가표"/>
      <sheetName val="자료"/>
      <sheetName val="7단가"/>
      <sheetName val="약품공급2"/>
      <sheetName val="실행"/>
      <sheetName val="dtxl"/>
      <sheetName val="백암비스타내역"/>
      <sheetName val="Oper Amount"/>
      <sheetName val="실적단가"/>
      <sheetName val="일위대가_복합"/>
      <sheetName val="일위대가_서비스"/>
      <sheetName val="장비집계"/>
      <sheetName val="일반수량총괄"/>
      <sheetName val="토공총괄"/>
      <sheetName val="골재수량"/>
      <sheetName val="레미콘집계"/>
      <sheetName val="주요자재"/>
      <sheetName val="타공종이기"/>
      <sheetName val="가로등기초"/>
      <sheetName val="대치판정"/>
      <sheetName val="말뚝지지력산정"/>
      <sheetName val="예산대비"/>
      <sheetName val="공문"/>
      <sheetName val="CTEMCOST"/>
      <sheetName val="8.PILE  (돌출)"/>
      <sheetName val="임차품의(농조)"/>
      <sheetName val="심사물량"/>
      <sheetName val="심사계산"/>
      <sheetName val="입출재고현황 (2)"/>
      <sheetName val="실행내역"/>
      <sheetName val="조도계산서 _도서_"/>
      <sheetName val="목록"/>
      <sheetName val="배수내역 (2)"/>
      <sheetName val="본체"/>
      <sheetName val="설계내역(2001)"/>
      <sheetName val="화재_탐지_설비"/>
      <sheetName val="협조전"/>
      <sheetName val="11"/>
      <sheetName val="소업1교"/>
      <sheetName val="단위수량"/>
      <sheetName val="암거공"/>
      <sheetName val="내부부하"/>
      <sheetName val="외주가공"/>
      <sheetName val="BASIC (2)"/>
      <sheetName val="날개벽수량표"/>
      <sheetName val="첨부파일"/>
      <sheetName val="단면가정"/>
      <sheetName val="토공계산서(부체도로)"/>
      <sheetName val="기계내역"/>
      <sheetName val="소상_&quot;1&quot;"/>
      <sheetName val="단가목록"/>
      <sheetName val="대창(장성)"/>
      <sheetName val="원가 (2)"/>
      <sheetName val="rate"/>
      <sheetName val="산출내역서집계표"/>
      <sheetName val="98수문일위"/>
      <sheetName val="진주방향"/>
      <sheetName val="유통망계획"/>
      <sheetName val="기준자료"/>
      <sheetName val="제품"/>
      <sheetName val="견적계산"/>
      <sheetName val="TRE TABLE"/>
      <sheetName val="토목"/>
      <sheetName val="LOAD-46"/>
      <sheetName val="부하(성남)"/>
      <sheetName val="담장산출"/>
      <sheetName val="NEYOK"/>
      <sheetName val="BOX"/>
      <sheetName val="건축내역서"/>
      <sheetName val="단가산출"/>
      <sheetName val="실정공사비단가표"/>
      <sheetName val="PROCESS"/>
      <sheetName val="일위대가(계측기설치)"/>
      <sheetName val="기계경비(시간당)"/>
      <sheetName val="램머"/>
      <sheetName val="교대(A1-A2)"/>
      <sheetName val="공사비집계"/>
      <sheetName val="건축"/>
      <sheetName val="제잡비"/>
      <sheetName val="B(함)일반수량"/>
      <sheetName val="플랜트 설치"/>
      <sheetName val="산출근거"/>
      <sheetName val="환경평가"/>
      <sheetName val="인구"/>
      <sheetName val="배수관공"/>
      <sheetName val="Sheet1 (2)"/>
      <sheetName val="품산출서"/>
      <sheetName val="1-1"/>
      <sheetName val="차도조도계산"/>
      <sheetName val="7내역"/>
      <sheetName val="자재운반단가일람표"/>
      <sheetName val="표지판단위"/>
      <sheetName val="설계"/>
      <sheetName val="BUS제원1"/>
      <sheetName val="건축원가계산서"/>
      <sheetName val="단가"/>
      <sheetName val="변압기 및 발전기 용량"/>
      <sheetName val="수량산출서 갑지"/>
      <sheetName val="9호관로"/>
      <sheetName val="상승노임"/>
      <sheetName val="건축집계표"/>
      <sheetName val="48일위"/>
      <sheetName val="48수량"/>
      <sheetName val="22수량"/>
      <sheetName val="49일위"/>
      <sheetName val="22일위"/>
      <sheetName val="49수량"/>
      <sheetName val="자재집계"/>
      <sheetName val="골재랑"/>
      <sheetName val="기초총괄"/>
      <sheetName val="구체총괄"/>
      <sheetName val="구체+기초총괄"/>
      <sheetName val="교대집계"/>
      <sheetName val="교대철근(구체)"/>
      <sheetName val="교대철근(기초)"/>
      <sheetName val="교대철근(구체+기초)"/>
      <sheetName val="교각집계"/>
      <sheetName val="교각철근(구체)"/>
      <sheetName val="교각철근 (기초)"/>
      <sheetName val="교각철근 (구체+기초)"/>
      <sheetName val="현장타설말뚝"/>
      <sheetName val="강재집계표"/>
      <sheetName val="원동교강재집계표"/>
      <sheetName val="설계명세서(선로)"/>
      <sheetName val="전기,계장"/>
      <sheetName val="품셈"/>
      <sheetName val="구조물공집계"/>
      <sheetName val="암거집계 "/>
      <sheetName val="암거구체수량"/>
      <sheetName val="암거구체"/>
      <sheetName val="날개벽집계표"/>
      <sheetName val="날개벽단위"/>
      <sheetName val="차수벽집계표"/>
      <sheetName val="차수벽"/>
      <sheetName val="FAB별"/>
      <sheetName val="전선 및 전선관"/>
      <sheetName val="청주(철골발주의뢰서)"/>
      <sheetName val="정렬"/>
      <sheetName val="분전함신설"/>
      <sheetName val="접지1종"/>
      <sheetName val="자재테이블"/>
      <sheetName val="산출금액내역"/>
      <sheetName val="A-4"/>
      <sheetName val="변경갑지"/>
      <sheetName val="증감(갑지)"/>
      <sheetName val="손익차9월2"/>
      <sheetName val="실행간접비용"/>
      <sheetName val="3련 BOX"/>
      <sheetName val="CB"/>
      <sheetName val="단가조사서"/>
      <sheetName val="목차"/>
      <sheetName val="견내"/>
      <sheetName val="매립"/>
      <sheetName val="FACTOR"/>
      <sheetName val="Cost bd-&quot;A&quot;"/>
      <sheetName val="계약내력"/>
      <sheetName val="간지"/>
      <sheetName val="간선계산"/>
      <sheetName val="우각부보강"/>
      <sheetName val="단위중량"/>
      <sheetName val="도근좌표"/>
      <sheetName val="99총공사내역서"/>
      <sheetName val="입상내역"/>
      <sheetName val="견적(갑지)"/>
      <sheetName val="견적"/>
      <sheetName val="EQUIPMENT -2"/>
      <sheetName val="대림경상68억"/>
      <sheetName val="F1"/>
      <sheetName val="포장공자재집계표"/>
      <sheetName val="일반수량"/>
      <sheetName val="자재일람"/>
      <sheetName val="교대(A1)"/>
      <sheetName val="대가표(품셈)"/>
      <sheetName val="단가산출서"/>
      <sheetName val="토목공사"/>
      <sheetName val="위치"/>
      <sheetName val="총공사내역서"/>
      <sheetName val="다곡2교"/>
      <sheetName val="공주-교대(A1)"/>
      <sheetName val="DLA"/>
      <sheetName val=" 견적서"/>
      <sheetName val="cost"/>
      <sheetName val="변화치수"/>
      <sheetName val="기초자료입력"/>
      <sheetName val="토사(PE)"/>
      <sheetName val="Ekog10"/>
      <sheetName val="코드표"/>
      <sheetName val="기초단가"/>
      <sheetName val="자재조사표(참고용)"/>
      <sheetName val="품셈집계표"/>
      <sheetName val="일반부표집계표"/>
      <sheetName val="Baby일위대가"/>
      <sheetName val="가격표"/>
      <sheetName val=" HIT-&gt;HMC 견적(3900)"/>
      <sheetName val="부대내역"/>
      <sheetName val="연령현황"/>
      <sheetName val="자판실행"/>
      <sheetName val="시행후면적"/>
      <sheetName val="수지예산"/>
      <sheetName val="물량산출근거"/>
      <sheetName val="단가대비"/>
      <sheetName val="소요자재"/>
      <sheetName val="ROOF(ALKALI)"/>
      <sheetName val="일위대가(4층원격)"/>
      <sheetName val="단가표 "/>
      <sheetName val="총괄"/>
      <sheetName val="공사비"/>
      <sheetName val="OPT"/>
      <sheetName val="SV"/>
      <sheetName val="1공구(을)"/>
      <sheetName val="XL4Poppy"/>
      <sheetName val="List"/>
      <sheetName val="CHITIET VL-NC"/>
      <sheetName val="DON GIA"/>
      <sheetName val="MOTOR"/>
      <sheetName val="참고"/>
      <sheetName val="7.경제성결과"/>
      <sheetName val="FRP내역서"/>
      <sheetName val="실행내역서_"/>
      <sheetName val="공종별내역서"/>
      <sheetName val="I.설계조건"/>
      <sheetName val="재1"/>
      <sheetName val="설계예산서(2016년 보안등 신설공사 단가계약-).xls"/>
      <sheetName val="DHEQSUPT"/>
      <sheetName val="DATA1"/>
      <sheetName val="목표세부명세"/>
      <sheetName val="우수"/>
      <sheetName val="__"/>
      <sheetName val="DIAPHRAGM"/>
      <sheetName val="원계약서"/>
      <sheetName val="총괄내역"/>
      <sheetName val="안정검토"/>
      <sheetName val="단면검토"/>
      <sheetName val="_산근2_"/>
      <sheetName val="_산근4_"/>
      <sheetName val="_산근5_"/>
      <sheetName val="원가입력"/>
      <sheetName val="교통대책내역"/>
      <sheetName val="수량집계"/>
      <sheetName val="수량산출서 (2)"/>
      <sheetName val="Customer Databas"/>
      <sheetName val="H-pile(298x299)"/>
      <sheetName val="H-pile(250x250)"/>
      <sheetName val="일위_파일"/>
      <sheetName val="연결임시"/>
      <sheetName val="BQ_Utl_Off"/>
      <sheetName val="BREAKDOWN(철거설치)"/>
      <sheetName val="기계경비"/>
      <sheetName val="맨홀토공"/>
      <sheetName val="배수통관(좌)"/>
      <sheetName val="전체현황"/>
      <sheetName val="주요측점"/>
      <sheetName val="시화점실행"/>
      <sheetName val="__MAIN"/>
      <sheetName val="회로내역(승인)"/>
      <sheetName val="안정검토(온1)"/>
      <sheetName val="관급"/>
      <sheetName val="투찰(하수)"/>
      <sheetName val="Site Expenses"/>
      <sheetName val="TYPE-A"/>
      <sheetName val="분류작업"/>
      <sheetName val="기본자료"/>
      <sheetName val="2002상반기노임기준"/>
      <sheetName val="매크로"/>
      <sheetName val="일위대가1"/>
      <sheetName val="원형측구(B-type)"/>
      <sheetName val="총괄표"/>
      <sheetName val="콘_재료분리(1)"/>
      <sheetName val="최종견"/>
      <sheetName val="sun"/>
      <sheetName val="예산M11A"/>
      <sheetName val="자료입력"/>
      <sheetName val="경사수로"/>
      <sheetName val="D16"/>
      <sheetName val="D25"/>
      <sheetName val="D22"/>
      <sheetName val="물가연동제"/>
      <sheetName val="1. 설계조건 2.단면가정 3. 하중계산"/>
      <sheetName val="DATA 입력란"/>
      <sheetName val="시행예산"/>
      <sheetName val="자재"/>
      <sheetName val="원형맨홀수량"/>
      <sheetName val="기기리스트"/>
      <sheetName val="01"/>
      <sheetName val="연돌일위집계"/>
      <sheetName val="AHU집계"/>
      <sheetName val="INPUT"/>
      <sheetName val="Macro(차단기)"/>
      <sheetName val="BQ(실행)"/>
      <sheetName val="JUCK"/>
      <sheetName val="암거"/>
      <sheetName val="포장공"/>
      <sheetName val="배수공"/>
      <sheetName val="요약&amp;결과"/>
      <sheetName val="배관배선 단가조사"/>
      <sheetName val="일위대가집계"/>
      <sheetName val="4안전율"/>
      <sheetName val="본실행경비"/>
      <sheetName val="맨홀토공산출"/>
      <sheetName val="000000"/>
      <sheetName val="총내역서"/>
      <sheetName val="경관내역"/>
      <sheetName val="가로등내역"/>
      <sheetName val="영상수량산출"/>
      <sheetName val="경관수량산출"/>
      <sheetName val="가로등수량산출"/>
      <sheetName val="영상단가대비표 "/>
      <sheetName val="경관단가대비표"/>
      <sheetName val="배관"/>
      <sheetName val=" 냉각수펌프"/>
      <sheetName val="샘플표지"/>
      <sheetName val="수안보-MBR1"/>
      <sheetName val="금융비용"/>
      <sheetName val="주안3차A-A"/>
      <sheetName val="안정계산"/>
      <sheetName val="CATV"/>
      <sheetName val="CAL"/>
      <sheetName val="COVER-P"/>
      <sheetName val="3BL공동구 수량"/>
      <sheetName val="L형 옹벽"/>
      <sheetName val="안정성검토"/>
      <sheetName val="하중계산"/>
      <sheetName val="설계기준"/>
      <sheetName val="대상공사(조달청)"/>
      <sheetName val="자료(통합)"/>
      <sheetName val="횡배수관집현황(2공구)"/>
      <sheetName val="JUCKEYK"/>
      <sheetName val="수목표준대가"/>
      <sheetName val="웅진교-S2"/>
      <sheetName val="시중노임(공사)"/>
      <sheetName val="식재"/>
      <sheetName val="시설물"/>
      <sheetName val="식재출력용"/>
      <sheetName val="유지관리"/>
      <sheetName val="유림총괄"/>
      <sheetName val="몰탈재료산출"/>
      <sheetName val="G.R300경비"/>
      <sheetName val="집계"/>
      <sheetName val="작업일정"/>
      <sheetName val="사다리"/>
      <sheetName val="AA2000"/>
      <sheetName val="AA2100"/>
      <sheetName val="토류시설"/>
      <sheetName val="AA2200"/>
      <sheetName val="배수및물푸기시설집계"/>
      <sheetName val="가배수관"/>
      <sheetName val="가도수로"/>
      <sheetName val="절성경계도수로현황"/>
      <sheetName val="물푸기집계"/>
      <sheetName val="AA2300"/>
      <sheetName val="AA2400"/>
      <sheetName val="AA2500"/>
      <sheetName val="방호시설집계"/>
      <sheetName val="AA2600"/>
      <sheetName val="교통안전시설공집계"/>
      <sheetName val="교통처리가도수량집계"/>
      <sheetName val="국지도70호선-수량"/>
      <sheetName val="국지도70호선-현황"/>
      <sheetName val="남춘천IC접속부-수량"/>
      <sheetName val="남춘천IC접속부-현황"/>
      <sheetName val="군자4교하부-수량"/>
      <sheetName val="군자4교하부-현황"/>
      <sheetName val="AA2700"/>
      <sheetName val="낙하물방지공"/>
      <sheetName val="AA2800"/>
      <sheetName val="작업용가시설"/>
      <sheetName val="AA2900"/>
      <sheetName val="교량환기시설"/>
      <sheetName val="환기시설 (1)"/>
      <sheetName val="환기시설 (2)"/>
      <sheetName val="상-교대(A1-A2)"/>
      <sheetName val="소운반"/>
      <sheetName val="15100"/>
      <sheetName val="현장지지물물량"/>
      <sheetName val="두앙"/>
      <sheetName val="재료비"/>
      <sheetName val="보온자재단가표"/>
      <sheetName val="단가대비표 표지"/>
      <sheetName val="2000시행"/>
      <sheetName val="BOQ(전체)"/>
      <sheetName val="위치조서"/>
      <sheetName val="기성내역서"/>
      <sheetName val="Controls"/>
      <sheetName val="해상PCB"/>
      <sheetName val="예시 (수정 및 삭제금지)"/>
      <sheetName val="3.공통공사대비"/>
      <sheetName val="Macro(전선)"/>
      <sheetName val="기초안정검토"/>
      <sheetName val="출입자명단"/>
      <sheetName val="뚝토공"/>
      <sheetName val="대전-교대(A1-A2)"/>
      <sheetName val="8-1"/>
      <sheetName val="1-3.조건,바닥판 "/>
      <sheetName val="월말"/>
      <sheetName val="데리네이타현황"/>
      <sheetName val="가정오수"/>
      <sheetName val="잔수량(작성)"/>
      <sheetName val="토공총괄표"/>
      <sheetName val="물건도(원본)"/>
      <sheetName val="적용단위길이"/>
      <sheetName val="피벗테이블데이터분석"/>
      <sheetName val="특수기호강도거푸집"/>
      <sheetName val="종배수관면벽신"/>
      <sheetName val="종배수관(신)"/>
      <sheetName val="기본"/>
      <sheetName val="견적대비"/>
      <sheetName val="교차구"/>
      <sheetName val="TABLE DB"/>
      <sheetName val="쌍용 data base"/>
      <sheetName val="guard(mac)"/>
      <sheetName val="추가예산"/>
      <sheetName val="Sheet4"/>
      <sheetName val="산수배수"/>
      <sheetName val="설계명세서"/>
      <sheetName val="우棌"/>
      <sheetName val="1,2공구원가계산서"/>
      <sheetName val="2공구산출내역"/>
      <sheetName val="1공구산출내역서"/>
      <sheetName val="Proposal"/>
      <sheetName val="단위수량산출"/>
      <sheetName val="배수공 시멘트 및 골재량 산출"/>
      <sheetName val="원가계산하도"/>
      <sheetName val="총_x0000_ϭ"/>
      <sheetName val="우륀"/>
      <sheetName val="식재ط"/>
      <sheetName val="총_x0002__x0000_"/>
      <sheetName val="총蚨ϖ"/>
      <sheetName val="총蓨ώ"/>
      <sheetName val="총벝l"/>
      <sheetName val="총벝ê"/>
      <sheetName val="지주목시비량산출서"/>
      <sheetName val="총요약서"/>
      <sheetName val="COVER"/>
      <sheetName val="일보"/>
      <sheetName val="기력고압전동기"/>
      <sheetName val="OH공량old"/>
      <sheetName val="PIPE"/>
      <sheetName val="FLANGE"/>
      <sheetName val="VALVE"/>
      <sheetName val="1을"/>
      <sheetName val="예산내역서"/>
      <sheetName val="VENDOR LIST"/>
      <sheetName val="단면치수"/>
      <sheetName val="입찰견적보고서"/>
      <sheetName val="일반공사"/>
      <sheetName val="사  업  비  수  지  예  산  서"/>
      <sheetName val="암거(내역)"/>
      <sheetName val="EPro"/>
      <sheetName val="오존실배관내역"/>
      <sheetName val="특별교실"/>
      <sheetName val="첨부1-1"/>
      <sheetName val="물가"/>
      <sheetName val="PANEL_중량산출1"/>
      <sheetName val="plan&amp;section_of_foundation1"/>
      <sheetName val="노원열병합__건축공사기성내역서1"/>
      <sheetName val="CT_1"/>
      <sheetName val="2F_회의실견적(5_14_일대)1"/>
      <sheetName val="조도계산서_(도서)1"/>
      <sheetName val="화재_탐지_설비1"/>
      <sheetName val="내역서1999_8최종"/>
      <sheetName val="입출재고현황_(2)"/>
      <sheetName val="소상_&quot;1&quot;1"/>
      <sheetName val="96물가_CODE1"/>
      <sheetName val="sum1_(2)"/>
      <sheetName val="CP-E2_(품셈표)1"/>
      <sheetName val="전차선로_물량표"/>
      <sheetName val="반중력식옹벽3_5"/>
      <sheetName val="1_설계조건"/>
      <sheetName val="견적대비_견적서"/>
      <sheetName val="11_단가비교표_"/>
      <sheetName val="16_기계경비산출내역_"/>
      <sheetName val="신규_수주분(사용자_정의)"/>
      <sheetName val="6PILE__(돌출)"/>
      <sheetName val="11월_가격"/>
      <sheetName val="1000_DB구축_부표"/>
      <sheetName val="토공(우물통,기타)_"/>
      <sheetName val="준검_내역서"/>
      <sheetName val="여방토공_"/>
      <sheetName val="내역서_(2)"/>
      <sheetName val="플랜트_설치"/>
      <sheetName val="Sheet1_(2)"/>
      <sheetName val="Data_Vol"/>
      <sheetName val="Galaxy_소비자가격표"/>
      <sheetName val="남양시작동자105노65기1_3화1_2"/>
      <sheetName val="별표_"/>
      <sheetName val="7_1_자재단가표(케이블)"/>
      <sheetName val="BASIC_(2)"/>
      <sheetName val="변압기_및_발전기_용량"/>
      <sheetName val="교각철근_(기초)"/>
      <sheetName val="교각철근_(구체+기초)"/>
      <sheetName val="40총괄"/>
      <sheetName val="40집계"/>
      <sheetName val="통합"/>
      <sheetName val="사전공사"/>
      <sheetName val="각종양식"/>
      <sheetName val="BSD (2)"/>
      <sheetName val="23"/>
      <sheetName val="총ꊐ˕"/>
      <sheetName val="공통부대비"/>
      <sheetName val="회로내역(승인䠎"/>
      <sheetName val="회로내역(승인Ԉ"/>
      <sheetName val="1. 설계서-갑지"/>
      <sheetName val="2. 설계서-을지"/>
      <sheetName val="3. 산출기계"/>
      <sheetName val="4. 산출전기"/>
      <sheetName val="5. 일위대가목록"/>
      <sheetName val="6. 일위대가 "/>
      <sheetName val="7. 물가조사"/>
      <sheetName val="8. 견적대비"/>
      <sheetName val="9. 시중노임"/>
      <sheetName val="CALCULATION"/>
      <sheetName val="횡배수관재료-"/>
      <sheetName val="계산서(직선부)"/>
      <sheetName val="포장재료집계표"/>
      <sheetName val="콘크리트측구연장"/>
      <sheetName val="-몰탈콘크리트"/>
      <sheetName val="-배수구조물공토공"/>
      <sheetName val="3.현장배치"/>
      <sheetName val="마산방향"/>
      <sheetName val="사리부설"/>
      <sheetName val="식재가격"/>
      <sheetName val="식재총괄"/>
      <sheetName val="일위목록"/>
      <sheetName val="요율"/>
      <sheetName val="일위집계(기존)"/>
      <sheetName val="제경비"/>
      <sheetName val="기초공"/>
      <sheetName val="내역서(삼호)"/>
      <sheetName val="규격"/>
      <sheetName val="입고장부 (4)"/>
      <sheetName val="견적보고(총액)"/>
      <sheetName val="TYPE1"/>
      <sheetName val="공사손익실적"/>
      <sheetName val="96노임기준"/>
      <sheetName val="깨기"/>
      <sheetName val="하부철근수량"/>
      <sheetName val="2000년1차"/>
      <sheetName val="적용기준"/>
      <sheetName val="실행내역 "/>
      <sheetName val="공사명입력"/>
      <sheetName val="근로자자료입력"/>
      <sheetName val="참고자료"/>
      <sheetName val="도급예산내역서봉투"/>
      <sheetName val="도급예산내역서총괄표"/>
      <sheetName val="설계산출표지"/>
      <sheetName val="을부담운반비"/>
      <sheetName val="운반비산출"/>
      <sheetName val="AS포장복구 "/>
      <sheetName val="총"/>
      <sheetName val="우배수"/>
      <sheetName val="설명"/>
      <sheetName val="wing"/>
      <sheetName val="98비정기소모"/>
      <sheetName val="입력자료모음"/>
      <sheetName val="원가계산서(공사)"/>
      <sheetName val="구조물철거타공정이월"/>
      <sheetName val="수목데이타 "/>
      <sheetName val="토공(우물통,기타)_2"/>
      <sheetName val="내역서_(2)2"/>
      <sheetName val="횡_연장2"/>
      <sheetName val="횡_연장"/>
      <sheetName val="토공(우물통,기타)_1"/>
      <sheetName val="내역서_(2)1"/>
      <sheetName val="횡_연장1"/>
      <sheetName val="지주토목내역서"/>
      <sheetName val="일위대가(건축)"/>
      <sheetName val="6. 직접경비"/>
      <sheetName val="DS기성최종"/>
      <sheetName val="DS설변내역서"/>
      <sheetName val="단가_1_"/>
      <sheetName val="ⴭⴭⴭⴭⴭ"/>
      <sheetName val="2001년 건설노임"/>
      <sheetName val="98지급계획"/>
      <sheetName val="맨홀수량산출"/>
      <sheetName val="E.P.T수량산출서"/>
      <sheetName val="교각별수량"/>
      <sheetName val="단가일람"/>
      <sheetName val="단가적용기준"/>
      <sheetName val="대로근거"/>
      <sheetName val="산근1"/>
      <sheetName val="장비"/>
      <sheetName val="노무"/>
      <sheetName val="돈암사업"/>
      <sheetName val="옹벽1"/>
      <sheetName val="토적표"/>
      <sheetName val="Front"/>
      <sheetName val="사용성검토"/>
      <sheetName val="원본"/>
      <sheetName val="관로공표지"/>
      <sheetName val="일위목차"/>
      <sheetName val="24.보증금(전신전화가입권)"/>
      <sheetName val="계정code"/>
      <sheetName val="시산표"/>
      <sheetName val="비교1"/>
      <sheetName val="직접인건비"/>
      <sheetName val="물량표"/>
      <sheetName val="평가데이터"/>
      <sheetName val="깨기수량"/>
      <sheetName val="Oper_Amount"/>
      <sheetName val="8_PILE__(돌출)"/>
      <sheetName val="조도계산서__도서_"/>
      <sheetName val="암거집계_"/>
      <sheetName val="원가_(2)"/>
      <sheetName val="3련_BOX"/>
      <sheetName val="TRE_TABLE"/>
      <sheetName val="노무비_근거"/>
      <sheetName val="_HIT-&gt;HMC_견적(3900)"/>
      <sheetName val="단가표_"/>
      <sheetName val="Cost_bd-&quot;A&quot;"/>
      <sheetName val="전선_및_전선관"/>
      <sheetName val="_견적서"/>
      <sheetName val="보험료산출"/>
      <sheetName val="PIPE내역(FCN)"/>
      <sheetName val="설비내역서"/>
      <sheetName val="전기내역서"/>
      <sheetName val="SW개발대상목록(기능점수)"/>
      <sheetName val="9.1지하2층하부보"/>
      <sheetName val="anchor"/>
      <sheetName val="서울대규장각_가시설흙막이_"/>
      <sheetName val="참조"/>
      <sheetName val="주식"/>
      <sheetName val="본사공가현황"/>
      <sheetName val="11.자재단가"/>
      <sheetName val="NEGO"/>
      <sheetName val="직접경비"/>
      <sheetName val="물가자료"/>
      <sheetName val="부대집계1"/>
      <sheetName val="가도단위"/>
      <sheetName val="C.배수관공"/>
      <sheetName val="비용"/>
      <sheetName val="4.2.1 마루높이 검토"/>
      <sheetName val="타견적(을)"/>
      <sheetName val="SANTOGO"/>
      <sheetName val="SANBAISU"/>
      <sheetName val="사업수지"/>
      <sheetName val="식재품셈"/>
      <sheetName val="TARGET"/>
      <sheetName val="암거ၒ"/>
      <sheetName val="종합단가표"/>
      <sheetName val="총_x0010__x0000_"/>
      <sheetName val="역T형교대(말뚝기초)"/>
      <sheetName val="지급자재조서"/>
      <sheetName val="총肸"/>
      <sheetName val="총Ῐᅯ"/>
      <sheetName val="총缀⇐"/>
      <sheetName val="총葨ù"/>
      <sheetName val="총_x0005__x0000_"/>
      <sheetName val="총䮘໪"/>
      <sheetName val="유지관_x0000_"/>
      <sheetName val="총ꘓÀ"/>
      <sheetName val="총鎠ັ"/>
      <sheetName val="총㳨⎱"/>
      <sheetName val="총౐ʥ"/>
      <sheetName val="총ꊐʮ"/>
      <sheetName val="안정검토(온1"/>
      <sheetName val="안정검토(온1렷"/>
      <sheetName val="총_xdfcc_"/>
      <sheetName val="기본DATA"/>
      <sheetName val="8-3기계경비"/>
      <sheetName val="공통(20-91)"/>
      <sheetName val="궤간정정"/>
      <sheetName val="면(37)"/>
      <sheetName val="면맞춤593-693"/>
      <sheetName val="줄(37)"/>
      <sheetName val="줄맞춤"/>
      <sheetName val="유간(37)"/>
      <sheetName val="유간정정"/>
      <sheetName val="처짐(37)"/>
      <sheetName val="이음처짐"/>
      <sheetName val="위치(37)"/>
      <sheetName val="위치정정"/>
      <sheetName val="다지기(37)"/>
      <sheetName val="총다지기"/>
      <sheetName val="자갈치기(37)"/>
      <sheetName val="자갈치기"/>
      <sheetName val="분기보수"/>
      <sheetName val="기타721-739"/>
      <sheetName val="골재집계"/>
      <sheetName val="공종별 집계"/>
      <sheetName val="호안공"/>
      <sheetName val="H-PILE수량집계"/>
      <sheetName val="하도관리"/>
      <sheetName val="확약서"/>
      <sheetName val="석축설면"/>
      <sheetName val="초기화면"/>
      <sheetName val="중기단가목록"/>
      <sheetName val="설계내역서"/>
      <sheetName val="일위내역"/>
      <sheetName val="회사기초자료"/>
      <sheetName val="단락전류-A"/>
      <sheetName val="수량산출서-2"/>
      <sheetName val="단漰_x001d_潼"/>
      <sheetName val="STEEL BOX 단면설계(SEC.8)"/>
      <sheetName val="3BL공동구 수_x0000_"/>
      <sheetName val="3BL공동구 수嚠"/>
      <sheetName val="3BL공동구 수吐"/>
      <sheetName val="구천"/>
      <sheetName val="근생APT-신마감"/>
      <sheetName val="복지관_FIART"/>
      <sheetName val="근생APT-FIART"/>
      <sheetName val="근생-FIART"/>
      <sheetName val="3BL공동구 수_x0005_"/>
      <sheetName val="rpcc"/>
      <sheetName val="빗물받이(910-510-410)"/>
      <sheetName val="우수공"/>
      <sheetName val="F4-F7"/>
      <sheetName val="일반수량총괄집계"/>
      <sheetName val="내역_ver1.0"/>
      <sheetName val="일위총괄표"/>
      <sheetName val="토적"/>
      <sheetName val="노임단가표"/>
      <sheetName val="C_DATA"/>
      <sheetName val="간접"/>
      <sheetName val="실행예산서"/>
      <sheetName val="실행내역서_1"/>
      <sheetName val="예시_(수정_및_삭제금지)"/>
      <sheetName val="CHITIET_VL-NC"/>
      <sheetName val="DON_GIA"/>
      <sheetName val="7_경제성결과"/>
      <sheetName val="I_설계조건"/>
      <sheetName val="배수내역_(2)"/>
      <sheetName val="1__설계조건_2_단면가정_3__하중계산"/>
      <sheetName val="DATA_입력란"/>
      <sheetName val="수량산출서_(2)"/>
      <sheetName val="배수공_시멘트_및_골재량_산출"/>
      <sheetName val="배관배선_단가조사"/>
      <sheetName val="환기시설_(1)"/>
      <sheetName val="환기시설_(2)"/>
      <sheetName val="EQUIPMENT_-2"/>
      <sheetName val="수량산출서_갑지"/>
      <sheetName val="영상단가대비표_"/>
      <sheetName val="_냉각수펌프"/>
      <sheetName val="설계예산서(2016년_보안등_신설공사_단가계약-)_xls"/>
      <sheetName val="3BL공동구_수량"/>
      <sheetName val="L형_옹벽"/>
      <sheetName val="노무단가"/>
      <sheetName val="EQ-R1"/>
      <sheetName val="수목단가"/>
      <sheetName val="시설수량표"/>
      <sheetName val="식재수량표"/>
      <sheetName val="설계서을"/>
      <sheetName val="가압장구체수량산출서"/>
      <sheetName val="단 box"/>
      <sheetName val="금주1교"/>
      <sheetName val="투찰"/>
      <sheetName val="철근량"/>
      <sheetName val="신림자금"/>
      <sheetName val=" 총괄표"/>
      <sheetName val="woo(mac)"/>
      <sheetName val="FOOTING단면력"/>
      <sheetName val="안정검토(온1瀀"/>
      <sheetName val="안정검토(온1瀕"/>
      <sheetName val="식재퀀濟叏"/>
      <sheetName val="식재က"/>
      <sheetName val="식재Ⴒ꿦휅"/>
      <sheetName val="시설물일위"/>
      <sheetName val="전기자료"/>
      <sheetName val="CVT산정"/>
      <sheetName val="기계경비일람"/>
      <sheetName val="분양가표"/>
      <sheetName val="기초분물량표"/>
      <sheetName val="설치물량표"/>
      <sheetName val="철거분물량표"/>
      <sheetName val="원설계"/>
      <sheetName val="수량"/>
      <sheetName val="부표단가,총괄표"/>
      <sheetName val="진고설계"/>
      <sheetName val="벽산건설"/>
      <sheetName val="FORM-0"/>
      <sheetName val="6공구(당초)"/>
      <sheetName val="현장식당(1)"/>
      <sheetName val="양수장"/>
      <sheetName val="양수장내역"/>
      <sheetName val="1.개요"/>
      <sheetName val="범례표"/>
      <sheetName val="증감내역서"/>
      <sheetName val="교량data"/>
      <sheetName val="토공"/>
      <sheetName val="품셈TABLE"/>
      <sheetName val="시점교대"/>
      <sheetName val="총괄BOQ"/>
      <sheetName val="내역(전체)"/>
      <sheetName val="입력"/>
      <sheetName val="경비2내역"/>
      <sheetName val="95년12월말"/>
      <sheetName val="basic_info"/>
      <sheetName val="옹벽"/>
      <sheetName val="표지 (2)"/>
      <sheetName val="잔공사현황"/>
      <sheetName val="원가서"/>
      <sheetName val="05년"/>
      <sheetName val="설계내역"/>
      <sheetName val="계수시트"/>
      <sheetName val="3.CCTV설비공사"/>
      <sheetName val="이름정의"/>
      <sheetName val="Calcs"/>
      <sheetName val="c_balju"/>
      <sheetName val="sheet10"/>
      <sheetName val="단면 (2)"/>
      <sheetName val="감액총괄표"/>
      <sheetName val="총집계표"/>
      <sheetName val="공양식"/>
      <sheetName val="제안서입력"/>
      <sheetName val="절감계산"/>
      <sheetName val="TEST1"/>
      <sheetName val="건축공사 집계표"/>
      <sheetName val="골조"/>
      <sheetName val="구조물터파기수량집계"/>
      <sheetName val="인건비 "/>
      <sheetName val="DOGI"/>
      <sheetName val="가시설단위수량"/>
      <sheetName val="eq_data"/>
      <sheetName val="현장관리비"/>
      <sheetName val="물가시세표"/>
      <sheetName val="1.2.1 마루높이결정"/>
      <sheetName val="은행코드"/>
      <sheetName val="주형"/>
      <sheetName val="단가 (2)"/>
      <sheetName val="INFO"/>
      <sheetName val="지장물C"/>
      <sheetName val="하수급견적대비"/>
      <sheetName val="AS복구"/>
      <sheetName val="중기터파기"/>
      <sheetName val="변수값"/>
      <sheetName val="중기상차"/>
      <sheetName val="산거각호표"/>
      <sheetName val="예산명세서"/>
      <sheetName val="Bill 2.2 Villa 2 beds"/>
      <sheetName val="외천교"/>
      <sheetName val="Prices"/>
      <sheetName val="암거단위-1련"/>
      <sheetName val="순공사비"/>
      <sheetName val="배수장공사비"/>
      <sheetName val="내역서01"/>
      <sheetName val="투찰금액"/>
      <sheetName val="암거날개벽"/>
      <sheetName val="군자4교하부-Ö_x0000_"/>
      <sheetName val="제품별"/>
      <sheetName val="집수정(600-700)"/>
      <sheetName val="부적합유형"/>
      <sheetName val="부적합 유형"/>
      <sheetName val="데이터"/>
      <sheetName val=" 내역"/>
      <sheetName val="공내역"/>
      <sheetName val="[TOTAL.xls]______D_2001_______3"/>
      <sheetName val="[TOTAL.xls]______D_2001_______2"/>
      <sheetName val="[TOTAL.xls]______D_2001_______4"/>
      <sheetName val="REINF."/>
      <sheetName val="SKETCH"/>
      <sheetName val="LOADS"/>
      <sheetName val="design criteria"/>
      <sheetName val="CHECK1"/>
      <sheetName val="예산조서"/>
      <sheetName val="b"/>
      <sheetName val="[TOTAL.xls]__4_c_1_________TO_2"/>
      <sheetName val="대상공사(조_x0011__x0000__x0000_"/>
      <sheetName val="一発シート"/>
      <sheetName val="노무비(전지2기)"/>
      <sheetName val="소일위대가코드표"/>
      <sheetName val="날개벽(시점좌측)"/>
      <sheetName val="지사인원사무실"/>
      <sheetName val="설계산출기초"/>
      <sheetName val="관람석제출"/>
      <sheetName val="내역(영일)"/>
      <sheetName val="진행 DATA (2)"/>
      <sheetName val="품의양"/>
      <sheetName val="예산계획"/>
      <sheetName val="내역(입찰)"/>
      <sheetName val="골조시행"/>
      <sheetName val="BOX1"/>
      <sheetName val="전체내역 (2)"/>
      <sheetName val="VS P-Q"/>
      <sheetName val="7 th"/>
      <sheetName val="아파트 "/>
      <sheetName val="금융"/>
      <sheetName val="평균H"/>
      <sheetName val="입찰내역 발주처 양식"/>
      <sheetName val="산근"/>
      <sheetName val="시중노임단가"/>
      <sheetName val="Trans"/>
      <sheetName val="C.C RIAL접지"/>
      <sheetName val="전선관부설(1)"/>
      <sheetName val="전선관부설(2)"/>
      <sheetName val="조명TOWER보호대기초"/>
      <sheetName val="울타리기둥기초"/>
      <sheetName val="PAD TR보호대기초"/>
      <sheetName val="울타리출입문기초"/>
      <sheetName val="조명탑기초-32m용"/>
      <sheetName val="조명탑기초-20m용"/>
      <sheetName val="PAD TR 기초"/>
      <sheetName val="CCTV POLE기초"/>
      <sheetName val="차량신호등철주기초"/>
      <sheetName val="보행신호등기초"/>
      <sheetName val="조명제어반기초"/>
      <sheetName val="맨홀(&quot;A&quot; TYPE)"/>
      <sheetName val="맨홀(&quot;B&quot; TYPE)"/>
      <sheetName val="맨홀(&quot;C&quot; TYPE)"/>
      <sheetName val="HANDHOLE"/>
      <sheetName val="HANDHOLE(2)"/>
      <sheetName val="예가표"/>
      <sheetName val="연습"/>
      <sheetName val="설계예산서"/>
      <sheetName val="1-3_조건,바닥판_"/>
      <sheetName val="입고장부_(4)"/>
      <sheetName val="TABLE_DB"/>
      <sheetName val="쌍용_data_base"/>
      <sheetName val="3_현장배치"/>
      <sheetName val="실행내역_"/>
      <sheetName val="AS포장복구_"/>
      <sheetName val="PANEL_중량산출2"/>
      <sheetName val="plan&amp;section_of_foundation2"/>
      <sheetName val="노원열병합__건축공사기성내역서2"/>
      <sheetName val="실행내역서_2"/>
      <sheetName val="CT_2"/>
      <sheetName val="2F_회의실견적(5_14_일대)2"/>
      <sheetName val="조도계산서_(도서)2"/>
      <sheetName val="화재_탐지_설비2"/>
      <sheetName val="변압기_및_발전기_용량1"/>
      <sheetName val="96물가_CODE2"/>
      <sheetName val="sum1_(2)1"/>
      <sheetName val="1_설계조건1"/>
      <sheetName val="CP-E2_(품셈표)2"/>
      <sheetName val="전차선로_물량표1"/>
      <sheetName val="반중력식옹벽3_51"/>
      <sheetName val="신규_수주분(사용자_정의)1"/>
      <sheetName val="소상_&quot;1&quot;2"/>
      <sheetName val="11월_가격1"/>
      <sheetName val="1000_DB구축_부표1"/>
      <sheetName val="6PILE__(돌출)1"/>
      <sheetName val="남양시작동자105노65기1_3화1_21"/>
      <sheetName val="별표_1"/>
      <sheetName val="전선_및_전선관1"/>
      <sheetName val="11_단가비교표_1"/>
      <sheetName val="16_기계경비산출내역_1"/>
      <sheetName val="7_1_자재단가표(케이블)1"/>
      <sheetName val="토공(우물통,기타)_3"/>
      <sheetName val="준검_내역서1"/>
      <sheetName val="여방토공_1"/>
      <sheetName val="내역서1999_8최종1"/>
      <sheetName val="견적대비_견적서1"/>
      <sheetName val="내역서_(2)3"/>
      <sheetName val="Data_Vol1"/>
      <sheetName val="Galaxy_소비자가격표1"/>
      <sheetName val="BASIC_(2)1"/>
      <sheetName val="플랜트_설치1"/>
      <sheetName val="입출재고현황_(2)1"/>
      <sheetName val="Sheet1_(2)1"/>
      <sheetName val="Oper_Amount1"/>
      <sheetName val="8_PILE__(돌출)1"/>
      <sheetName val="_견적서1"/>
      <sheetName val="1__설계조건_2_단면가정_3__하중계산1"/>
      <sheetName val="DATA_입력란1"/>
      <sheetName val="I_설계조건1"/>
      <sheetName val="배수내역_(2)1"/>
      <sheetName val="7_경제성결과1"/>
      <sheetName val="Cost_bd-&quot;A&quot;1"/>
      <sheetName val="교각철근_(기초)1"/>
      <sheetName val="교각철근_(구체+기초)1"/>
      <sheetName val="3련_BOX1"/>
      <sheetName val="조도계산서__도서_1"/>
      <sheetName val="원가_(2)1"/>
      <sheetName val="TRE_TABLE1"/>
      <sheetName val="횡_연장3"/>
      <sheetName val="수량산출서_(2)1"/>
      <sheetName val="_HIT-&gt;HMC_견적(3900)1"/>
      <sheetName val="암거집계_1"/>
      <sheetName val="단가표_1"/>
      <sheetName val="노무비_근거1"/>
      <sheetName val="CHITIET_VL-NC1"/>
      <sheetName val="DON_GIA1"/>
      <sheetName val="배관배선_단가조사1"/>
      <sheetName val="EQUIPMENT_-21"/>
      <sheetName val="수량산출서_갑지1"/>
      <sheetName val="1-3_조건,바닥판_1"/>
      <sheetName val="입고장부_(4)1"/>
      <sheetName val="환기시설_(1)1"/>
      <sheetName val="환기시설_(2)1"/>
      <sheetName val="예시_(수정_및_삭제금지)1"/>
      <sheetName val="3BL공동구_수량1"/>
      <sheetName val="L형_옹벽1"/>
      <sheetName val="설계예산서(2016년_보안등_신설공사_단가계약-)_xl1"/>
      <sheetName val="Site_Expenses"/>
      <sheetName val="TABLE_DB1"/>
      <sheetName val="쌍용_data_base1"/>
      <sheetName val="_냉각수펌프1"/>
      <sheetName val="배수공_시멘트_및_골재량_산출1"/>
      <sheetName val="실행내역_1"/>
      <sheetName val="AS포장복구_1"/>
      <sheetName val="BSD_(2)"/>
      <sheetName val="Customer_Databas"/>
      <sheetName val="C_배수관공"/>
      <sheetName val="4_2_1_마루높이_검토"/>
      <sheetName val="3_현장배치1"/>
      <sheetName val="단가대비표_표지"/>
      <sheetName val="영상단가대비표_1"/>
      <sheetName val="단_box"/>
      <sheetName val="내역_ver1_0"/>
      <sheetName val="사__업__비__수__지__예__산__서"/>
      <sheetName val="VENDOR_LIST"/>
      <sheetName val="G_R300경비"/>
      <sheetName val="수목데이타_"/>
      <sheetName val="6__직접경비"/>
      <sheetName val="2001년_건설노임"/>
      <sheetName val="E_P_T수량산출서"/>
      <sheetName val="11_자재단가"/>
      <sheetName val="9_1지하2층하부보"/>
      <sheetName val="표지_(2)"/>
      <sheetName val="단가_(2)"/>
      <sheetName val="STEEL_BOX_단면설계(SEC_8)"/>
      <sheetName val="1__설계서-갑지"/>
      <sheetName val="2__설계서-을지"/>
      <sheetName val="3__산출기계"/>
      <sheetName val="4__산출전기"/>
      <sheetName val="5__일위대가목록"/>
      <sheetName val="6__일위대가_"/>
      <sheetName val="7__물가조사"/>
      <sheetName val="8__견적대비"/>
      <sheetName val="9__시중노임"/>
      <sheetName val="24_보증금(전신전화가입권)"/>
      <sheetName val="3_공통공사대비"/>
      <sheetName val="단면_(2)"/>
      <sheetName val="단漰潼"/>
      <sheetName val="부적합_유형"/>
      <sheetName val="1_개요"/>
      <sheetName val="인건비_"/>
      <sheetName val="3_CCTV설비공사"/>
      <sheetName val="총 괄 표"/>
      <sheetName val="안_x0000__x0000_"/>
      <sheetName val="costing_ESDV"/>
      <sheetName val="costing_FE"/>
      <sheetName val="costing_MOV"/>
      <sheetName val="costing_Press"/>
      <sheetName val="anaysis_sheet"/>
      <sheetName val="재무가정"/>
      <sheetName val="Assets"/>
      <sheetName val="CC Down load 0716"/>
      <sheetName val="END직무"/>
      <sheetName val="linehaul cost model (2)"/>
      <sheetName val="__Data__"/>
      <sheetName val="Common Wheat"/>
      <sheetName val="トピックス"/>
      <sheetName val="2 카드채권(대출포함)"/>
      <sheetName val="개산공사비"/>
      <sheetName val="tower 10ton"/>
      <sheetName val="Sch7a (토요일)"/>
      <sheetName val="X68"/>
      <sheetName val="2.대외공문"/>
      <sheetName val="생산DATA"/>
      <sheetName val="판매DATA"/>
      <sheetName val="평가차손90"/>
      <sheetName val="DAT(목표)"/>
      <sheetName val="생산"/>
      <sheetName val="진도현황"/>
      <sheetName val="controll"/>
      <sheetName val="CoA map"/>
      <sheetName val="선급비용"/>
      <sheetName val="대외공문"/>
      <sheetName val="기계공사"/>
      <sheetName val="1"/>
      <sheetName val="업무처리전"/>
      <sheetName val="설비_(FAB)"/>
      <sheetName val="조작대(1연)"/>
      <sheetName val="차선도색수량집계"/>
      <sheetName val="대비표"/>
      <sheetName val="P-J"/>
      <sheetName val="고객리스트 담당자"/>
      <sheetName val="견적 (2)"/>
      <sheetName val="[TOTAL.xls]___________________2"/>
      <sheetName val="TOTAL.xls"/>
      <sheetName val="인부노임"/>
      <sheetName val="물가대비표"/>
      <sheetName val="조정금액결과표 (차수별)"/>
      <sheetName val="견적3"/>
      <sheetName val="매입세"/>
      <sheetName val="취합표"/>
      <sheetName val="물량산출"/>
      <sheetName val="소요자재명세서2"/>
      <sheetName val="자재목록"/>
      <sheetName val="중기목록"/>
      <sheetName val="교량"/>
      <sheetName val="설계조정율"/>
      <sheetName val="가설"/>
      <sheetName val="경상"/>
      <sheetName val="5.모델링"/>
      <sheetName val="식재인부"/>
      <sheetName val="조도계산"/>
      <sheetName val="J형측구단위수량"/>
      <sheetName val="횡배수관집현황_2공구_"/>
      <sheetName val="입찰"/>
      <sheetName val="본공사"/>
      <sheetName val="현경"/>
      <sheetName val="BOX날개벽"/>
      <sheetName val="가설개략"/>
      <sheetName val="hvac(제어동)"/>
      <sheetName val="일위대가(목록)"/>
      <sheetName val="흄관기초"/>
      <sheetName val="산출내역서"/>
      <sheetName val="전기일위목록"/>
      <sheetName val="총焘ʒ"/>
      <sheetName val="총̉"/>
      <sheetName val="우_xdb4a_"/>
      <sheetName val="각형맨홀"/>
      <sheetName val="TARG＠ͷ"/>
      <sheetName val="설䨕쟛ꀀ"/>
      <sheetName val="안정검토(온1ჿ"/>
      <sheetName val="총_x005f_x0000_ϭ"/>
      <sheetName val="총_x005f_x0002__x005f_x0000_"/>
      <sheetName val="총_x005f_x0005__x005f_x0000_"/>
      <sheetName val="유지관_x005f_x0000_"/>
      <sheetName val="총_x005f_xdfcc_"/>
      <sheetName val="총_x005f_x0010__x005f_x0000_"/>
      <sheetName val="군자4교하부-Ö_x005f_x0000_"/>
      <sheetName val="단漰_x005f_x001d_潼"/>
      <sheetName val="TARGȞ$"/>
      <sheetName val="안정검토(온1蠷"/>
      <sheetName val="특수선일위대가"/>
      <sheetName val="공문(신)"/>
      <sheetName val="TTL"/>
      <sheetName val="변경증감내역서"/>
      <sheetName val="충주"/>
    </sheetNames>
    <sheetDataSet>
      <sheetData sheetId="0" refreshError="1"/>
      <sheetData sheetId="1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  <row r="5">
          <cell r="A5">
            <v>5</v>
          </cell>
        </row>
        <row r="6">
          <cell r="A6">
            <v>6</v>
          </cell>
        </row>
        <row r="7">
          <cell r="A7">
            <v>7</v>
          </cell>
        </row>
        <row r="8">
          <cell r="A8">
            <v>8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  <row r="14">
          <cell r="A14">
            <v>14</v>
          </cell>
        </row>
        <row r="15">
          <cell r="A15">
            <v>15</v>
          </cell>
        </row>
        <row r="16">
          <cell r="A16">
            <v>16</v>
          </cell>
        </row>
        <row r="17">
          <cell r="A17">
            <v>17</v>
          </cell>
        </row>
        <row r="18">
          <cell r="A18">
            <v>18</v>
          </cell>
        </row>
        <row r="19">
          <cell r="A19">
            <v>19</v>
          </cell>
        </row>
        <row r="20">
          <cell r="A20">
            <v>20</v>
          </cell>
        </row>
        <row r="21">
          <cell r="A21">
            <v>21</v>
          </cell>
        </row>
        <row r="22">
          <cell r="A22">
            <v>22</v>
          </cell>
        </row>
        <row r="23">
          <cell r="A23">
            <v>23</v>
          </cell>
        </row>
        <row r="24">
          <cell r="A24">
            <v>24</v>
          </cell>
        </row>
        <row r="25">
          <cell r="A25">
            <v>25</v>
          </cell>
        </row>
        <row r="26">
          <cell r="A26">
            <v>26</v>
          </cell>
        </row>
        <row r="27">
          <cell r="A27">
            <v>27</v>
          </cell>
        </row>
        <row r="28">
          <cell r="A28">
            <v>28</v>
          </cell>
        </row>
        <row r="29">
          <cell r="A29">
            <v>29</v>
          </cell>
        </row>
        <row r="30">
          <cell r="A30">
            <v>30</v>
          </cell>
        </row>
        <row r="31">
          <cell r="A31">
            <v>31</v>
          </cell>
        </row>
        <row r="32">
          <cell r="A32">
            <v>32</v>
          </cell>
        </row>
        <row r="33">
          <cell r="A33">
            <v>33</v>
          </cell>
        </row>
        <row r="34">
          <cell r="A34">
            <v>34</v>
          </cell>
        </row>
        <row r="35">
          <cell r="A35">
            <v>35</v>
          </cell>
        </row>
        <row r="36">
          <cell r="A36">
            <v>36</v>
          </cell>
        </row>
        <row r="37">
          <cell r="A37">
            <v>37</v>
          </cell>
        </row>
        <row r="38">
          <cell r="A38">
            <v>38</v>
          </cell>
        </row>
        <row r="39">
          <cell r="A39">
            <v>39</v>
          </cell>
        </row>
        <row r="40">
          <cell r="A40">
            <v>40</v>
          </cell>
        </row>
        <row r="41">
          <cell r="A41">
            <v>41</v>
          </cell>
        </row>
        <row r="42">
          <cell r="A42">
            <v>42</v>
          </cell>
        </row>
        <row r="43">
          <cell r="A43">
            <v>43</v>
          </cell>
        </row>
        <row r="44">
          <cell r="A44">
            <v>44</v>
          </cell>
        </row>
        <row r="45">
          <cell r="A45">
            <v>45</v>
          </cell>
        </row>
        <row r="46">
          <cell r="A46">
            <v>46</v>
          </cell>
        </row>
        <row r="47">
          <cell r="A47">
            <v>47</v>
          </cell>
        </row>
        <row r="48">
          <cell r="A48">
            <v>48</v>
          </cell>
        </row>
        <row r="49">
          <cell r="A49">
            <v>49</v>
          </cell>
        </row>
        <row r="50">
          <cell r="A50">
            <v>50</v>
          </cell>
        </row>
        <row r="51">
          <cell r="A51">
            <v>51</v>
          </cell>
        </row>
        <row r="52">
          <cell r="A52">
            <v>52</v>
          </cell>
        </row>
        <row r="53">
          <cell r="A53">
            <v>53</v>
          </cell>
        </row>
        <row r="54">
          <cell r="A54">
            <v>54</v>
          </cell>
        </row>
        <row r="55">
          <cell r="A55">
            <v>55</v>
          </cell>
        </row>
        <row r="56">
          <cell r="A56">
            <v>56</v>
          </cell>
        </row>
        <row r="57">
          <cell r="A57">
            <v>57</v>
          </cell>
        </row>
        <row r="58">
          <cell r="A58">
            <v>58</v>
          </cell>
        </row>
        <row r="59">
          <cell r="A59">
            <v>59</v>
          </cell>
        </row>
        <row r="60">
          <cell r="A60">
            <v>60</v>
          </cell>
        </row>
        <row r="61">
          <cell r="A61">
            <v>61</v>
          </cell>
        </row>
        <row r="62">
          <cell r="A62">
            <v>62</v>
          </cell>
        </row>
        <row r="63">
          <cell r="A63">
            <v>63</v>
          </cell>
        </row>
        <row r="64">
          <cell r="A64">
            <v>64</v>
          </cell>
        </row>
        <row r="65">
          <cell r="A65">
            <v>65</v>
          </cell>
        </row>
        <row r="66">
          <cell r="A66">
            <v>66</v>
          </cell>
        </row>
        <row r="67">
          <cell r="A67">
            <v>67</v>
          </cell>
        </row>
        <row r="68">
          <cell r="A68">
            <v>68</v>
          </cell>
        </row>
        <row r="69">
          <cell r="A69">
            <v>69</v>
          </cell>
        </row>
        <row r="70">
          <cell r="A70">
            <v>70</v>
          </cell>
        </row>
        <row r="71">
          <cell r="A71">
            <v>71</v>
          </cell>
        </row>
        <row r="72">
          <cell r="A72">
            <v>72</v>
          </cell>
        </row>
        <row r="73">
          <cell r="A73">
            <v>73</v>
          </cell>
        </row>
        <row r="74">
          <cell r="A74">
            <v>74</v>
          </cell>
        </row>
        <row r="75">
          <cell r="A75">
            <v>75</v>
          </cell>
        </row>
        <row r="76">
          <cell r="A76">
            <v>76</v>
          </cell>
        </row>
        <row r="77">
          <cell r="A77">
            <v>77</v>
          </cell>
        </row>
        <row r="78">
          <cell r="A78">
            <v>78</v>
          </cell>
        </row>
        <row r="79">
          <cell r="A79">
            <v>79</v>
          </cell>
        </row>
        <row r="80">
          <cell r="A80">
            <v>80</v>
          </cell>
        </row>
        <row r="81">
          <cell r="A81">
            <v>81</v>
          </cell>
        </row>
        <row r="82">
          <cell r="A82">
            <v>82</v>
          </cell>
        </row>
        <row r="83">
          <cell r="A83">
            <v>83</v>
          </cell>
        </row>
        <row r="84">
          <cell r="A84">
            <v>84</v>
          </cell>
        </row>
        <row r="85">
          <cell r="A85">
            <v>85</v>
          </cell>
        </row>
        <row r="86">
          <cell r="A86">
            <v>86</v>
          </cell>
        </row>
        <row r="87">
          <cell r="A87">
            <v>87</v>
          </cell>
        </row>
        <row r="88">
          <cell r="A88">
            <v>88</v>
          </cell>
        </row>
        <row r="89">
          <cell r="A89">
            <v>89</v>
          </cell>
        </row>
        <row r="90">
          <cell r="A90">
            <v>90</v>
          </cell>
        </row>
        <row r="91">
          <cell r="A91">
            <v>91</v>
          </cell>
        </row>
        <row r="92">
          <cell r="A92">
            <v>92</v>
          </cell>
        </row>
        <row r="93">
          <cell r="A93">
            <v>93</v>
          </cell>
        </row>
        <row r="94">
          <cell r="A94">
            <v>94</v>
          </cell>
        </row>
        <row r="95">
          <cell r="A95">
            <v>95</v>
          </cell>
        </row>
        <row r="96">
          <cell r="A96">
            <v>96</v>
          </cell>
        </row>
        <row r="97">
          <cell r="A97">
            <v>97</v>
          </cell>
        </row>
        <row r="98">
          <cell r="A98">
            <v>98</v>
          </cell>
        </row>
        <row r="99">
          <cell r="A99">
            <v>99</v>
          </cell>
        </row>
        <row r="100">
          <cell r="A100">
            <v>100</v>
          </cell>
        </row>
        <row r="101">
          <cell r="A101">
            <v>101</v>
          </cell>
        </row>
        <row r="102">
          <cell r="A102">
            <v>102</v>
          </cell>
        </row>
        <row r="103">
          <cell r="A103">
            <v>103</v>
          </cell>
        </row>
        <row r="104">
          <cell r="A104">
            <v>104</v>
          </cell>
        </row>
        <row r="105">
          <cell r="A105">
            <v>105</v>
          </cell>
        </row>
        <row r="106">
          <cell r="A106">
            <v>106</v>
          </cell>
        </row>
        <row r="107">
          <cell r="A107">
            <v>107</v>
          </cell>
        </row>
        <row r="108">
          <cell r="A108">
            <v>108</v>
          </cell>
        </row>
        <row r="109">
          <cell r="A109">
            <v>109</v>
          </cell>
        </row>
        <row r="110">
          <cell r="A110">
            <v>110</v>
          </cell>
        </row>
        <row r="111">
          <cell r="A111">
            <v>111</v>
          </cell>
        </row>
        <row r="112">
          <cell r="A112">
            <v>112</v>
          </cell>
        </row>
        <row r="113">
          <cell r="A113">
            <v>113</v>
          </cell>
        </row>
        <row r="114">
          <cell r="A114">
            <v>114</v>
          </cell>
        </row>
        <row r="115">
          <cell r="A115">
            <v>115</v>
          </cell>
        </row>
        <row r="116">
          <cell r="A116">
            <v>116</v>
          </cell>
        </row>
        <row r="117">
          <cell r="A117">
            <v>117</v>
          </cell>
        </row>
        <row r="118">
          <cell r="A118">
            <v>118</v>
          </cell>
        </row>
        <row r="119">
          <cell r="A119">
            <v>119</v>
          </cell>
        </row>
        <row r="120">
          <cell r="A120">
            <v>120</v>
          </cell>
        </row>
        <row r="121">
          <cell r="A121">
            <v>121</v>
          </cell>
        </row>
        <row r="122">
          <cell r="A122">
            <v>122</v>
          </cell>
        </row>
        <row r="123">
          <cell r="A123">
            <v>123</v>
          </cell>
        </row>
        <row r="124">
          <cell r="A124">
            <v>124</v>
          </cell>
        </row>
        <row r="125">
          <cell r="A125">
            <v>125</v>
          </cell>
        </row>
        <row r="126">
          <cell r="A126">
            <v>126</v>
          </cell>
        </row>
        <row r="127">
          <cell r="A127">
            <v>127</v>
          </cell>
        </row>
        <row r="128">
          <cell r="A128">
            <v>128</v>
          </cell>
        </row>
        <row r="129">
          <cell r="A129">
            <v>129</v>
          </cell>
        </row>
        <row r="130">
          <cell r="A130">
            <v>130</v>
          </cell>
        </row>
        <row r="131">
          <cell r="A131">
            <v>131</v>
          </cell>
        </row>
        <row r="132">
          <cell r="A132">
            <v>132</v>
          </cell>
        </row>
        <row r="133">
          <cell r="A133">
            <v>133</v>
          </cell>
        </row>
        <row r="134">
          <cell r="A134">
            <v>134</v>
          </cell>
        </row>
        <row r="135">
          <cell r="A135">
            <v>135</v>
          </cell>
        </row>
        <row r="136">
          <cell r="A136">
            <v>136</v>
          </cell>
        </row>
        <row r="137">
          <cell r="A137">
            <v>137</v>
          </cell>
        </row>
        <row r="138">
          <cell r="A138">
            <v>138</v>
          </cell>
        </row>
        <row r="139">
          <cell r="A139">
            <v>139</v>
          </cell>
        </row>
        <row r="140">
          <cell r="A140">
            <v>140</v>
          </cell>
        </row>
        <row r="141">
          <cell r="A141">
            <v>141</v>
          </cell>
        </row>
        <row r="142">
          <cell r="A142">
            <v>142</v>
          </cell>
        </row>
        <row r="143">
          <cell r="A143">
            <v>143</v>
          </cell>
        </row>
        <row r="144">
          <cell r="A144">
            <v>144</v>
          </cell>
        </row>
        <row r="145">
          <cell r="A145">
            <v>145</v>
          </cell>
        </row>
        <row r="146">
          <cell r="A146">
            <v>146</v>
          </cell>
        </row>
        <row r="147">
          <cell r="A147">
            <v>147</v>
          </cell>
        </row>
        <row r="148">
          <cell r="A148">
            <v>148</v>
          </cell>
        </row>
        <row r="149">
          <cell r="A149">
            <v>149</v>
          </cell>
        </row>
        <row r="150">
          <cell r="A150">
            <v>150</v>
          </cell>
        </row>
        <row r="151">
          <cell r="A151">
            <v>151</v>
          </cell>
        </row>
        <row r="152">
          <cell r="A152">
            <v>152</v>
          </cell>
        </row>
        <row r="153">
          <cell r="A153">
            <v>153</v>
          </cell>
        </row>
        <row r="154">
          <cell r="A154">
            <v>154</v>
          </cell>
        </row>
        <row r="155">
          <cell r="A155">
            <v>155</v>
          </cell>
        </row>
        <row r="156">
          <cell r="A156">
            <v>156</v>
          </cell>
        </row>
        <row r="157">
          <cell r="A157">
            <v>157</v>
          </cell>
        </row>
        <row r="158">
          <cell r="A158">
            <v>158</v>
          </cell>
        </row>
        <row r="159">
          <cell r="A159">
            <v>159</v>
          </cell>
        </row>
        <row r="160">
          <cell r="A160">
            <v>160</v>
          </cell>
        </row>
        <row r="161">
          <cell r="A161">
            <v>161</v>
          </cell>
        </row>
        <row r="162">
          <cell r="A162">
            <v>162</v>
          </cell>
        </row>
        <row r="163">
          <cell r="A163">
            <v>163</v>
          </cell>
        </row>
        <row r="164">
          <cell r="A164">
            <v>164</v>
          </cell>
        </row>
        <row r="165">
          <cell r="A165">
            <v>165</v>
          </cell>
        </row>
        <row r="166">
          <cell r="A166">
            <v>166</v>
          </cell>
        </row>
        <row r="167">
          <cell r="A167">
            <v>167</v>
          </cell>
        </row>
        <row r="168">
          <cell r="A168">
            <v>168</v>
          </cell>
        </row>
        <row r="169">
          <cell r="A169">
            <v>169</v>
          </cell>
        </row>
        <row r="170">
          <cell r="A170">
            <v>170</v>
          </cell>
        </row>
        <row r="171">
          <cell r="A171">
            <v>171</v>
          </cell>
        </row>
        <row r="172">
          <cell r="A172">
            <v>172</v>
          </cell>
        </row>
        <row r="173">
          <cell r="A173">
            <v>173</v>
          </cell>
        </row>
        <row r="174">
          <cell r="A174">
            <v>174</v>
          </cell>
        </row>
        <row r="175">
          <cell r="A175">
            <v>175</v>
          </cell>
        </row>
        <row r="176">
          <cell r="A176">
            <v>176</v>
          </cell>
        </row>
        <row r="177">
          <cell r="A177">
            <v>177</v>
          </cell>
        </row>
        <row r="178">
          <cell r="A178">
            <v>178</v>
          </cell>
        </row>
        <row r="179">
          <cell r="A179">
            <v>179</v>
          </cell>
        </row>
        <row r="180">
          <cell r="A180">
            <v>180</v>
          </cell>
        </row>
        <row r="181">
          <cell r="A181">
            <v>181</v>
          </cell>
        </row>
        <row r="182">
          <cell r="A182">
            <v>182</v>
          </cell>
        </row>
        <row r="183">
          <cell r="A183">
            <v>183</v>
          </cell>
        </row>
        <row r="184">
          <cell r="A184">
            <v>184</v>
          </cell>
        </row>
        <row r="185">
          <cell r="A185">
            <v>185</v>
          </cell>
        </row>
        <row r="186">
          <cell r="A186">
            <v>186</v>
          </cell>
        </row>
        <row r="187">
          <cell r="A187">
            <v>187</v>
          </cell>
        </row>
        <row r="188">
          <cell r="A188">
            <v>188</v>
          </cell>
        </row>
        <row r="189">
          <cell r="A189">
            <v>189</v>
          </cell>
        </row>
        <row r="190">
          <cell r="A190">
            <v>190</v>
          </cell>
        </row>
        <row r="191">
          <cell r="A191">
            <v>191</v>
          </cell>
        </row>
        <row r="192">
          <cell r="A192">
            <v>192</v>
          </cell>
        </row>
        <row r="193">
          <cell r="A193">
            <v>193</v>
          </cell>
        </row>
        <row r="194">
          <cell r="A194">
            <v>194</v>
          </cell>
        </row>
        <row r="195">
          <cell r="A195">
            <v>195</v>
          </cell>
        </row>
        <row r="196">
          <cell r="A196">
            <v>196</v>
          </cell>
        </row>
        <row r="197">
          <cell r="A197">
            <v>197</v>
          </cell>
        </row>
        <row r="198">
          <cell r="A198">
            <v>198</v>
          </cell>
        </row>
        <row r="199">
          <cell r="A199">
            <v>199</v>
          </cell>
        </row>
        <row r="200">
          <cell r="A200">
            <v>200</v>
          </cell>
        </row>
        <row r="201">
          <cell r="A201">
            <v>201</v>
          </cell>
        </row>
        <row r="202">
          <cell r="A202">
            <v>202</v>
          </cell>
        </row>
        <row r="203">
          <cell r="A203">
            <v>203</v>
          </cell>
        </row>
        <row r="204">
          <cell r="A204">
            <v>204</v>
          </cell>
        </row>
        <row r="205">
          <cell r="A205">
            <v>205</v>
          </cell>
        </row>
        <row r="206">
          <cell r="A206">
            <v>206</v>
          </cell>
        </row>
        <row r="207">
          <cell r="A207">
            <v>207</v>
          </cell>
        </row>
        <row r="208">
          <cell r="A208">
            <v>208</v>
          </cell>
        </row>
        <row r="209">
          <cell r="A209">
            <v>209</v>
          </cell>
        </row>
        <row r="210">
          <cell r="A210">
            <v>210</v>
          </cell>
        </row>
        <row r="211">
          <cell r="A211">
            <v>211</v>
          </cell>
        </row>
        <row r="212">
          <cell r="A212">
            <v>212</v>
          </cell>
        </row>
        <row r="213">
          <cell r="A213">
            <v>213</v>
          </cell>
        </row>
        <row r="214">
          <cell r="A214">
            <v>214</v>
          </cell>
        </row>
        <row r="215">
          <cell r="A215">
            <v>215</v>
          </cell>
        </row>
        <row r="216">
          <cell r="A216">
            <v>216</v>
          </cell>
        </row>
        <row r="217">
          <cell r="A217">
            <v>217</v>
          </cell>
        </row>
        <row r="218">
          <cell r="A218">
            <v>218</v>
          </cell>
        </row>
        <row r="219">
          <cell r="A219">
            <v>219</v>
          </cell>
        </row>
        <row r="220">
          <cell r="A220">
            <v>220</v>
          </cell>
        </row>
        <row r="221">
          <cell r="A221">
            <v>221</v>
          </cell>
        </row>
        <row r="222">
          <cell r="A222">
            <v>222</v>
          </cell>
        </row>
        <row r="223">
          <cell r="A223">
            <v>223</v>
          </cell>
        </row>
        <row r="224">
          <cell r="A224">
            <v>224</v>
          </cell>
        </row>
        <row r="225">
          <cell r="A225">
            <v>225</v>
          </cell>
        </row>
        <row r="226">
          <cell r="A226">
            <v>226</v>
          </cell>
        </row>
        <row r="227">
          <cell r="A227">
            <v>227</v>
          </cell>
        </row>
        <row r="228">
          <cell r="A228">
            <v>228</v>
          </cell>
        </row>
        <row r="229">
          <cell r="A229">
            <v>229</v>
          </cell>
        </row>
        <row r="230">
          <cell r="A230">
            <v>230</v>
          </cell>
        </row>
        <row r="231">
          <cell r="A231">
            <v>231</v>
          </cell>
        </row>
        <row r="232">
          <cell r="A232">
            <v>232</v>
          </cell>
        </row>
        <row r="233">
          <cell r="A233">
            <v>233</v>
          </cell>
        </row>
        <row r="234">
          <cell r="A234">
            <v>234</v>
          </cell>
        </row>
        <row r="235">
          <cell r="A235">
            <v>235</v>
          </cell>
        </row>
        <row r="236">
          <cell r="A236">
            <v>236</v>
          </cell>
        </row>
        <row r="237">
          <cell r="A237">
            <v>237</v>
          </cell>
        </row>
        <row r="238">
          <cell r="A238">
            <v>238</v>
          </cell>
        </row>
        <row r="239">
          <cell r="A239">
            <v>239</v>
          </cell>
        </row>
        <row r="240">
          <cell r="A240">
            <v>240</v>
          </cell>
        </row>
        <row r="241">
          <cell r="A241">
            <v>241</v>
          </cell>
        </row>
        <row r="242">
          <cell r="A242">
            <v>242</v>
          </cell>
        </row>
        <row r="243">
          <cell r="A243">
            <v>243</v>
          </cell>
        </row>
        <row r="244">
          <cell r="A244">
            <v>244</v>
          </cell>
        </row>
        <row r="245">
          <cell r="A245">
            <v>245</v>
          </cell>
        </row>
        <row r="246">
          <cell r="A246">
            <v>246</v>
          </cell>
        </row>
        <row r="247">
          <cell r="A247">
            <v>247</v>
          </cell>
        </row>
        <row r="248">
          <cell r="A248">
            <v>248</v>
          </cell>
        </row>
        <row r="249">
          <cell r="A249">
            <v>249</v>
          </cell>
        </row>
        <row r="250">
          <cell r="A250">
            <v>250</v>
          </cell>
        </row>
        <row r="251">
          <cell r="A251">
            <v>251</v>
          </cell>
        </row>
        <row r="252">
          <cell r="A252">
            <v>252</v>
          </cell>
        </row>
        <row r="253">
          <cell r="A253">
            <v>253</v>
          </cell>
        </row>
        <row r="254">
          <cell r="A254">
            <v>254</v>
          </cell>
        </row>
        <row r="255">
          <cell r="A255">
            <v>255</v>
          </cell>
        </row>
        <row r="256">
          <cell r="A256">
            <v>256</v>
          </cell>
        </row>
        <row r="257">
          <cell r="A257">
            <v>257</v>
          </cell>
        </row>
        <row r="258">
          <cell r="A258">
            <v>258</v>
          </cell>
        </row>
        <row r="259">
          <cell r="A259">
            <v>259</v>
          </cell>
        </row>
        <row r="260">
          <cell r="A260">
            <v>260</v>
          </cell>
        </row>
        <row r="261">
          <cell r="A261">
            <v>261</v>
          </cell>
        </row>
        <row r="262">
          <cell r="A262">
            <v>262</v>
          </cell>
        </row>
        <row r="263">
          <cell r="A263">
            <v>263</v>
          </cell>
        </row>
        <row r="264">
          <cell r="A264">
            <v>264</v>
          </cell>
        </row>
        <row r="265">
          <cell r="A265">
            <v>265</v>
          </cell>
        </row>
        <row r="266">
          <cell r="A266">
            <v>266</v>
          </cell>
        </row>
        <row r="267">
          <cell r="A267">
            <v>267</v>
          </cell>
        </row>
        <row r="268">
          <cell r="A268">
            <v>268</v>
          </cell>
        </row>
        <row r="269">
          <cell r="A269">
            <v>269</v>
          </cell>
        </row>
        <row r="270">
          <cell r="A270">
            <v>270</v>
          </cell>
        </row>
        <row r="271">
          <cell r="A271">
            <v>271</v>
          </cell>
        </row>
        <row r="272">
          <cell r="A272">
            <v>272</v>
          </cell>
        </row>
        <row r="273">
          <cell r="A273">
            <v>273</v>
          </cell>
        </row>
        <row r="274">
          <cell r="A274">
            <v>274</v>
          </cell>
        </row>
        <row r="275">
          <cell r="A275">
            <v>275</v>
          </cell>
        </row>
        <row r="276">
          <cell r="A276">
            <v>276</v>
          </cell>
        </row>
        <row r="277">
          <cell r="A277">
            <v>277</v>
          </cell>
        </row>
        <row r="278">
          <cell r="A278">
            <v>278</v>
          </cell>
        </row>
        <row r="279">
          <cell r="A279">
            <v>279</v>
          </cell>
        </row>
        <row r="280">
          <cell r="A280">
            <v>280</v>
          </cell>
        </row>
        <row r="281">
          <cell r="A281">
            <v>281</v>
          </cell>
        </row>
        <row r="282">
          <cell r="A282">
            <v>282</v>
          </cell>
        </row>
        <row r="283">
          <cell r="A283">
            <v>283</v>
          </cell>
        </row>
        <row r="284">
          <cell r="A284">
            <v>284</v>
          </cell>
        </row>
        <row r="285">
          <cell r="A285">
            <v>285</v>
          </cell>
        </row>
        <row r="286">
          <cell r="A286">
            <v>286</v>
          </cell>
        </row>
        <row r="287">
          <cell r="A287">
            <v>287</v>
          </cell>
        </row>
        <row r="288">
          <cell r="A288">
            <v>288</v>
          </cell>
        </row>
        <row r="289">
          <cell r="A289">
            <v>289</v>
          </cell>
        </row>
        <row r="290">
          <cell r="A290">
            <v>290</v>
          </cell>
        </row>
        <row r="291">
          <cell r="A291">
            <v>291</v>
          </cell>
        </row>
        <row r="292">
          <cell r="A292">
            <v>292</v>
          </cell>
        </row>
        <row r="293">
          <cell r="A293">
            <v>293</v>
          </cell>
        </row>
        <row r="294">
          <cell r="A294">
            <v>294</v>
          </cell>
        </row>
        <row r="295">
          <cell r="A295">
            <v>295</v>
          </cell>
        </row>
        <row r="296">
          <cell r="A296">
            <v>296</v>
          </cell>
        </row>
        <row r="297">
          <cell r="A297">
            <v>297</v>
          </cell>
        </row>
        <row r="298">
          <cell r="A298">
            <v>298</v>
          </cell>
        </row>
        <row r="299">
          <cell r="A299">
            <v>299</v>
          </cell>
        </row>
        <row r="300">
          <cell r="A300">
            <v>300</v>
          </cell>
        </row>
        <row r="301">
          <cell r="A301">
            <v>301</v>
          </cell>
        </row>
        <row r="302">
          <cell r="A302">
            <v>302</v>
          </cell>
        </row>
        <row r="303">
          <cell r="A303">
            <v>303</v>
          </cell>
        </row>
        <row r="304">
          <cell r="A304">
            <v>304</v>
          </cell>
        </row>
        <row r="305">
          <cell r="A305">
            <v>305</v>
          </cell>
        </row>
        <row r="306">
          <cell r="A306">
            <v>306</v>
          </cell>
        </row>
        <row r="307">
          <cell r="A307">
            <v>307</v>
          </cell>
        </row>
        <row r="308">
          <cell r="A308">
            <v>308</v>
          </cell>
        </row>
        <row r="309">
          <cell r="A309">
            <v>309</v>
          </cell>
        </row>
        <row r="310">
          <cell r="A310">
            <v>310</v>
          </cell>
        </row>
        <row r="311">
          <cell r="A311">
            <v>311</v>
          </cell>
        </row>
        <row r="312">
          <cell r="A312">
            <v>312</v>
          </cell>
        </row>
        <row r="313">
          <cell r="A313">
            <v>313</v>
          </cell>
        </row>
        <row r="314">
          <cell r="A314">
            <v>314</v>
          </cell>
        </row>
        <row r="315">
          <cell r="A315">
            <v>315</v>
          </cell>
        </row>
        <row r="316">
          <cell r="A316">
            <v>316</v>
          </cell>
        </row>
        <row r="317">
          <cell r="A317">
            <v>317</v>
          </cell>
        </row>
        <row r="318">
          <cell r="A318">
            <v>318</v>
          </cell>
        </row>
        <row r="319">
          <cell r="A319">
            <v>319</v>
          </cell>
        </row>
        <row r="320">
          <cell r="A320">
            <v>320</v>
          </cell>
        </row>
        <row r="321">
          <cell r="A321">
            <v>321</v>
          </cell>
        </row>
        <row r="322">
          <cell r="A322">
            <v>322</v>
          </cell>
        </row>
        <row r="323">
          <cell r="A323">
            <v>323</v>
          </cell>
        </row>
        <row r="324">
          <cell r="A324">
            <v>324</v>
          </cell>
        </row>
        <row r="325">
          <cell r="A325">
            <v>325</v>
          </cell>
        </row>
        <row r="326">
          <cell r="A326">
            <v>326</v>
          </cell>
        </row>
        <row r="327">
          <cell r="A327">
            <v>327</v>
          </cell>
        </row>
        <row r="328">
          <cell r="A328">
            <v>328</v>
          </cell>
        </row>
        <row r="329">
          <cell r="A329">
            <v>329</v>
          </cell>
        </row>
        <row r="330">
          <cell r="A330">
            <v>330</v>
          </cell>
        </row>
        <row r="331">
          <cell r="A331">
            <v>331</v>
          </cell>
        </row>
        <row r="332">
          <cell r="A332">
            <v>332</v>
          </cell>
        </row>
        <row r="333">
          <cell r="A333">
            <v>333</v>
          </cell>
        </row>
        <row r="334">
          <cell r="A334">
            <v>334</v>
          </cell>
        </row>
        <row r="335">
          <cell r="A335">
            <v>335</v>
          </cell>
        </row>
        <row r="336">
          <cell r="A336">
            <v>336</v>
          </cell>
        </row>
        <row r="337">
          <cell r="A337">
            <v>337</v>
          </cell>
        </row>
        <row r="338">
          <cell r="A338">
            <v>338</v>
          </cell>
        </row>
        <row r="339">
          <cell r="A339">
            <v>339</v>
          </cell>
        </row>
        <row r="340">
          <cell r="A340">
            <v>340</v>
          </cell>
        </row>
        <row r="341">
          <cell r="A341">
            <v>341</v>
          </cell>
        </row>
        <row r="342">
          <cell r="A342">
            <v>342</v>
          </cell>
        </row>
        <row r="343">
          <cell r="A343">
            <v>343</v>
          </cell>
        </row>
        <row r="344">
          <cell r="A344">
            <v>344</v>
          </cell>
        </row>
        <row r="345">
          <cell r="A345">
            <v>345</v>
          </cell>
        </row>
        <row r="346">
          <cell r="A346">
            <v>346</v>
          </cell>
        </row>
        <row r="347">
          <cell r="A347">
            <v>347</v>
          </cell>
        </row>
        <row r="348">
          <cell r="A348">
            <v>348</v>
          </cell>
        </row>
        <row r="349">
          <cell r="A349">
            <v>349</v>
          </cell>
        </row>
        <row r="350">
          <cell r="A350">
            <v>350</v>
          </cell>
        </row>
        <row r="351">
          <cell r="A351">
            <v>351</v>
          </cell>
        </row>
        <row r="352">
          <cell r="A352">
            <v>352</v>
          </cell>
        </row>
        <row r="353">
          <cell r="A353">
            <v>353</v>
          </cell>
        </row>
        <row r="354">
          <cell r="A354">
            <v>354</v>
          </cell>
        </row>
        <row r="355">
          <cell r="A355">
            <v>355</v>
          </cell>
        </row>
        <row r="356">
          <cell r="A356">
            <v>356</v>
          </cell>
        </row>
        <row r="357">
          <cell r="A357">
            <v>357</v>
          </cell>
        </row>
        <row r="358">
          <cell r="A358">
            <v>358</v>
          </cell>
        </row>
        <row r="359">
          <cell r="A359">
            <v>359</v>
          </cell>
        </row>
        <row r="360">
          <cell r="A360">
            <v>360</v>
          </cell>
        </row>
        <row r="361">
          <cell r="A361">
            <v>361</v>
          </cell>
        </row>
        <row r="362">
          <cell r="A362">
            <v>362</v>
          </cell>
        </row>
        <row r="363">
          <cell r="A363">
            <v>363</v>
          </cell>
        </row>
        <row r="364">
          <cell r="A364">
            <v>364</v>
          </cell>
        </row>
        <row r="365">
          <cell r="A365">
            <v>365</v>
          </cell>
        </row>
        <row r="366">
          <cell r="A366">
            <v>366</v>
          </cell>
        </row>
        <row r="367">
          <cell r="A367">
            <v>367</v>
          </cell>
        </row>
        <row r="368">
          <cell r="A368">
            <v>368</v>
          </cell>
        </row>
        <row r="369">
          <cell r="A369">
            <v>369</v>
          </cell>
        </row>
        <row r="370">
          <cell r="A370">
            <v>370</v>
          </cell>
        </row>
        <row r="371">
          <cell r="A371">
            <v>371</v>
          </cell>
        </row>
        <row r="372">
          <cell r="A372">
            <v>372</v>
          </cell>
        </row>
        <row r="373">
          <cell r="A373">
            <v>373</v>
          </cell>
        </row>
        <row r="374">
          <cell r="A374">
            <v>374</v>
          </cell>
        </row>
        <row r="375">
          <cell r="A375">
            <v>375</v>
          </cell>
        </row>
        <row r="376">
          <cell r="A376">
            <v>376</v>
          </cell>
        </row>
        <row r="377">
          <cell r="A377">
            <v>377</v>
          </cell>
        </row>
        <row r="378">
          <cell r="A378">
            <v>378</v>
          </cell>
        </row>
        <row r="379">
          <cell r="A379">
            <v>379</v>
          </cell>
        </row>
        <row r="380">
          <cell r="A380">
            <v>380</v>
          </cell>
        </row>
        <row r="381">
          <cell r="A381">
            <v>381</v>
          </cell>
        </row>
        <row r="382">
          <cell r="A382">
            <v>382</v>
          </cell>
        </row>
        <row r="383">
          <cell r="A383">
            <v>383</v>
          </cell>
        </row>
        <row r="384">
          <cell r="A384">
            <v>384</v>
          </cell>
        </row>
        <row r="385">
          <cell r="A385">
            <v>385</v>
          </cell>
        </row>
        <row r="386">
          <cell r="A386">
            <v>386</v>
          </cell>
        </row>
        <row r="387">
          <cell r="A387">
            <v>387</v>
          </cell>
        </row>
        <row r="388">
          <cell r="A388">
            <v>388</v>
          </cell>
        </row>
        <row r="389">
          <cell r="A389">
            <v>389</v>
          </cell>
        </row>
        <row r="390">
          <cell r="A390">
            <v>390</v>
          </cell>
        </row>
        <row r="391">
          <cell r="A391">
            <v>391</v>
          </cell>
        </row>
        <row r="392">
          <cell r="A392">
            <v>392</v>
          </cell>
        </row>
        <row r="393">
          <cell r="A393">
            <v>393</v>
          </cell>
        </row>
        <row r="394">
          <cell r="A394">
            <v>394</v>
          </cell>
        </row>
        <row r="395">
          <cell r="A395">
            <v>395</v>
          </cell>
        </row>
        <row r="396">
          <cell r="A396">
            <v>396</v>
          </cell>
        </row>
        <row r="397">
          <cell r="A397">
            <v>397</v>
          </cell>
        </row>
        <row r="398">
          <cell r="A398">
            <v>398</v>
          </cell>
        </row>
        <row r="399">
          <cell r="A399">
            <v>399</v>
          </cell>
        </row>
        <row r="400">
          <cell r="A400">
            <v>400</v>
          </cell>
        </row>
        <row r="401">
          <cell r="A401">
            <v>401</v>
          </cell>
        </row>
        <row r="402">
          <cell r="A402">
            <v>402</v>
          </cell>
        </row>
        <row r="403">
          <cell r="A403">
            <v>403</v>
          </cell>
        </row>
        <row r="404">
          <cell r="A404">
            <v>404</v>
          </cell>
        </row>
        <row r="405">
          <cell r="A405">
            <v>405</v>
          </cell>
        </row>
        <row r="406">
          <cell r="A406">
            <v>406</v>
          </cell>
        </row>
        <row r="407">
          <cell r="A407">
            <v>407</v>
          </cell>
        </row>
        <row r="408">
          <cell r="A408">
            <v>408</v>
          </cell>
        </row>
        <row r="409">
          <cell r="A409">
            <v>409</v>
          </cell>
        </row>
        <row r="410">
          <cell r="A410">
            <v>410</v>
          </cell>
        </row>
        <row r="411">
          <cell r="A411">
            <v>411</v>
          </cell>
        </row>
        <row r="412">
          <cell r="A412">
            <v>412</v>
          </cell>
        </row>
        <row r="413">
          <cell r="A413">
            <v>413</v>
          </cell>
        </row>
        <row r="414">
          <cell r="A414">
            <v>414</v>
          </cell>
        </row>
        <row r="415">
          <cell r="A415">
            <v>415</v>
          </cell>
        </row>
        <row r="416">
          <cell r="A416">
            <v>416</v>
          </cell>
        </row>
        <row r="417">
          <cell r="A417">
            <v>417</v>
          </cell>
        </row>
        <row r="418">
          <cell r="A418">
            <v>418</v>
          </cell>
        </row>
        <row r="419">
          <cell r="A419">
            <v>419</v>
          </cell>
        </row>
        <row r="420">
          <cell r="A420">
            <v>420</v>
          </cell>
        </row>
        <row r="421">
          <cell r="A421">
            <v>421</v>
          </cell>
        </row>
        <row r="422">
          <cell r="A422">
            <v>422</v>
          </cell>
        </row>
        <row r="423">
          <cell r="A423">
            <v>423</v>
          </cell>
        </row>
        <row r="424">
          <cell r="A424">
            <v>424</v>
          </cell>
        </row>
        <row r="425">
          <cell r="A425">
            <v>425</v>
          </cell>
        </row>
        <row r="426">
          <cell r="A426">
            <v>426</v>
          </cell>
        </row>
        <row r="427">
          <cell r="A427">
            <v>427</v>
          </cell>
        </row>
        <row r="428">
          <cell r="A428">
            <v>428</v>
          </cell>
        </row>
        <row r="429">
          <cell r="A429">
            <v>429</v>
          </cell>
        </row>
        <row r="430">
          <cell r="A430">
            <v>430</v>
          </cell>
        </row>
        <row r="431">
          <cell r="A431">
            <v>431</v>
          </cell>
        </row>
        <row r="432">
          <cell r="A432">
            <v>432</v>
          </cell>
        </row>
        <row r="433">
          <cell r="A433">
            <v>433</v>
          </cell>
        </row>
        <row r="434">
          <cell r="A434">
            <v>434</v>
          </cell>
        </row>
        <row r="435">
          <cell r="A435">
            <v>435</v>
          </cell>
        </row>
        <row r="436">
          <cell r="A436">
            <v>436</v>
          </cell>
        </row>
        <row r="437">
          <cell r="A437">
            <v>437</v>
          </cell>
        </row>
        <row r="438">
          <cell r="A438">
            <v>438</v>
          </cell>
        </row>
        <row r="439">
          <cell r="A439">
            <v>439</v>
          </cell>
        </row>
        <row r="440">
          <cell r="A440">
            <v>440</v>
          </cell>
        </row>
        <row r="441">
          <cell r="A441">
            <v>441</v>
          </cell>
        </row>
        <row r="442">
          <cell r="A442">
            <v>442</v>
          </cell>
        </row>
        <row r="443">
          <cell r="A443">
            <v>443</v>
          </cell>
        </row>
        <row r="444">
          <cell r="A444">
            <v>444</v>
          </cell>
        </row>
        <row r="445">
          <cell r="A445">
            <v>445</v>
          </cell>
        </row>
        <row r="446">
          <cell r="A446">
            <v>446</v>
          </cell>
        </row>
        <row r="447">
          <cell r="A447">
            <v>447</v>
          </cell>
        </row>
        <row r="448">
          <cell r="A448">
            <v>448</v>
          </cell>
        </row>
        <row r="449">
          <cell r="A449">
            <v>449</v>
          </cell>
        </row>
        <row r="450">
          <cell r="A450">
            <v>450</v>
          </cell>
        </row>
        <row r="451">
          <cell r="A451">
            <v>451</v>
          </cell>
        </row>
        <row r="452">
          <cell r="A452">
            <v>452</v>
          </cell>
        </row>
        <row r="453">
          <cell r="A453">
            <v>453</v>
          </cell>
        </row>
        <row r="454">
          <cell r="A454">
            <v>454</v>
          </cell>
        </row>
        <row r="455">
          <cell r="A455">
            <v>455</v>
          </cell>
        </row>
        <row r="456">
          <cell r="A456">
            <v>456</v>
          </cell>
        </row>
        <row r="457">
          <cell r="A457">
            <v>457</v>
          </cell>
        </row>
        <row r="458">
          <cell r="A458">
            <v>458</v>
          </cell>
        </row>
        <row r="459">
          <cell r="A459">
            <v>459</v>
          </cell>
        </row>
        <row r="460">
          <cell r="A460">
            <v>460</v>
          </cell>
        </row>
        <row r="461">
          <cell r="A461">
            <v>461</v>
          </cell>
        </row>
        <row r="462">
          <cell r="A462">
            <v>462</v>
          </cell>
        </row>
        <row r="463">
          <cell r="A463">
            <v>463</v>
          </cell>
        </row>
        <row r="464">
          <cell r="A464">
            <v>464</v>
          </cell>
        </row>
        <row r="465">
          <cell r="A465">
            <v>465</v>
          </cell>
        </row>
        <row r="466">
          <cell r="A466">
            <v>466</v>
          </cell>
        </row>
        <row r="467">
          <cell r="A467">
            <v>467</v>
          </cell>
        </row>
        <row r="468">
          <cell r="A468">
            <v>468</v>
          </cell>
        </row>
        <row r="469">
          <cell r="A469">
            <v>469</v>
          </cell>
        </row>
        <row r="470">
          <cell r="A470">
            <v>470</v>
          </cell>
        </row>
        <row r="471">
          <cell r="A471">
            <v>471</v>
          </cell>
        </row>
        <row r="472">
          <cell r="A472">
            <v>472</v>
          </cell>
        </row>
        <row r="473">
          <cell r="A473">
            <v>473</v>
          </cell>
        </row>
        <row r="474">
          <cell r="A474">
            <v>474</v>
          </cell>
        </row>
        <row r="475">
          <cell r="A475">
            <v>475</v>
          </cell>
        </row>
        <row r="476">
          <cell r="A476">
            <v>476</v>
          </cell>
        </row>
        <row r="477">
          <cell r="A477">
            <v>477</v>
          </cell>
        </row>
        <row r="478">
          <cell r="A478">
            <v>478</v>
          </cell>
        </row>
        <row r="479">
          <cell r="A479">
            <v>479</v>
          </cell>
        </row>
        <row r="480">
          <cell r="A480">
            <v>480</v>
          </cell>
        </row>
        <row r="481">
          <cell r="A481">
            <v>481</v>
          </cell>
        </row>
        <row r="482">
          <cell r="A482">
            <v>482</v>
          </cell>
        </row>
        <row r="483">
          <cell r="A483">
            <v>483</v>
          </cell>
        </row>
        <row r="484">
          <cell r="A484">
            <v>484</v>
          </cell>
        </row>
        <row r="485">
          <cell r="A485">
            <v>485</v>
          </cell>
        </row>
        <row r="486">
          <cell r="A486">
            <v>486</v>
          </cell>
        </row>
        <row r="487">
          <cell r="A487">
            <v>487</v>
          </cell>
        </row>
        <row r="488">
          <cell r="A488">
            <v>488</v>
          </cell>
        </row>
        <row r="489">
          <cell r="A489">
            <v>489</v>
          </cell>
        </row>
        <row r="490">
          <cell r="A490">
            <v>490</v>
          </cell>
        </row>
        <row r="491">
          <cell r="A491">
            <v>491</v>
          </cell>
        </row>
        <row r="492">
          <cell r="A492">
            <v>492</v>
          </cell>
        </row>
        <row r="493">
          <cell r="A493">
            <v>493</v>
          </cell>
        </row>
        <row r="494">
          <cell r="A494">
            <v>494</v>
          </cell>
        </row>
        <row r="495">
          <cell r="A495">
            <v>495</v>
          </cell>
        </row>
        <row r="496">
          <cell r="A496">
            <v>496</v>
          </cell>
        </row>
        <row r="497">
          <cell r="A497">
            <v>497</v>
          </cell>
        </row>
        <row r="498">
          <cell r="A498">
            <v>498</v>
          </cell>
        </row>
        <row r="499">
          <cell r="A499">
            <v>499</v>
          </cell>
        </row>
        <row r="500">
          <cell r="A500">
            <v>500</v>
          </cell>
        </row>
        <row r="501">
          <cell r="A501">
            <v>501</v>
          </cell>
        </row>
        <row r="502">
          <cell r="A502">
            <v>502</v>
          </cell>
        </row>
        <row r="503">
          <cell r="A503">
            <v>503</v>
          </cell>
        </row>
        <row r="504">
          <cell r="A504">
            <v>504</v>
          </cell>
        </row>
        <row r="505">
          <cell r="A505">
            <v>505</v>
          </cell>
        </row>
        <row r="506">
          <cell r="A506">
            <v>506</v>
          </cell>
        </row>
        <row r="507">
          <cell r="A507">
            <v>507</v>
          </cell>
        </row>
        <row r="508">
          <cell r="A508">
            <v>508</v>
          </cell>
        </row>
        <row r="509">
          <cell r="A509">
            <v>509</v>
          </cell>
        </row>
        <row r="510">
          <cell r="A510">
            <v>510</v>
          </cell>
        </row>
        <row r="511">
          <cell r="A511">
            <v>511</v>
          </cell>
        </row>
        <row r="512">
          <cell r="A512">
            <v>512</v>
          </cell>
        </row>
        <row r="513">
          <cell r="A513">
            <v>513</v>
          </cell>
        </row>
        <row r="514">
          <cell r="A514">
            <v>514</v>
          </cell>
        </row>
        <row r="515">
          <cell r="A515">
            <v>515</v>
          </cell>
        </row>
        <row r="516">
          <cell r="A516">
            <v>516</v>
          </cell>
        </row>
        <row r="517">
          <cell r="A517">
            <v>517</v>
          </cell>
        </row>
        <row r="518">
          <cell r="A518">
            <v>518</v>
          </cell>
        </row>
        <row r="519">
          <cell r="A519">
            <v>519</v>
          </cell>
        </row>
        <row r="520">
          <cell r="A520">
            <v>520</v>
          </cell>
        </row>
        <row r="521">
          <cell r="A521">
            <v>521</v>
          </cell>
        </row>
        <row r="522">
          <cell r="A522">
            <v>522</v>
          </cell>
        </row>
        <row r="523">
          <cell r="A523">
            <v>523</v>
          </cell>
        </row>
        <row r="524">
          <cell r="A524">
            <v>524</v>
          </cell>
        </row>
        <row r="525">
          <cell r="A525">
            <v>525</v>
          </cell>
        </row>
        <row r="526">
          <cell r="A526">
            <v>526</v>
          </cell>
        </row>
        <row r="527">
          <cell r="A527">
            <v>527</v>
          </cell>
        </row>
        <row r="528">
          <cell r="A528">
            <v>528</v>
          </cell>
        </row>
        <row r="529">
          <cell r="A529">
            <v>529</v>
          </cell>
        </row>
        <row r="530">
          <cell r="A530">
            <v>530</v>
          </cell>
        </row>
        <row r="531">
          <cell r="A531">
            <v>531</v>
          </cell>
        </row>
        <row r="532">
          <cell r="A532">
            <v>532</v>
          </cell>
        </row>
        <row r="533">
          <cell r="A533">
            <v>533</v>
          </cell>
        </row>
        <row r="534">
          <cell r="A534">
            <v>534</v>
          </cell>
        </row>
        <row r="535">
          <cell r="A535">
            <v>535</v>
          </cell>
        </row>
        <row r="536">
          <cell r="A536">
            <v>536</v>
          </cell>
        </row>
        <row r="537">
          <cell r="A537">
            <v>537</v>
          </cell>
        </row>
        <row r="538">
          <cell r="A538">
            <v>538</v>
          </cell>
        </row>
        <row r="539">
          <cell r="A539">
            <v>539</v>
          </cell>
        </row>
        <row r="540">
          <cell r="A540">
            <v>540</v>
          </cell>
        </row>
        <row r="541">
          <cell r="A541">
            <v>541</v>
          </cell>
        </row>
        <row r="542">
          <cell r="A542">
            <v>542</v>
          </cell>
        </row>
        <row r="543">
          <cell r="A543">
            <v>543</v>
          </cell>
        </row>
        <row r="544">
          <cell r="A544">
            <v>544</v>
          </cell>
        </row>
        <row r="545">
          <cell r="A545">
            <v>545</v>
          </cell>
        </row>
        <row r="546">
          <cell r="A546">
            <v>546</v>
          </cell>
        </row>
        <row r="547">
          <cell r="A547">
            <v>547</v>
          </cell>
        </row>
        <row r="548">
          <cell r="A548">
            <v>548</v>
          </cell>
        </row>
        <row r="549">
          <cell r="A549">
            <v>549</v>
          </cell>
        </row>
        <row r="550">
          <cell r="A550">
            <v>550</v>
          </cell>
        </row>
        <row r="551">
          <cell r="A551">
            <v>551</v>
          </cell>
        </row>
        <row r="552">
          <cell r="A552">
            <v>552</v>
          </cell>
        </row>
        <row r="553">
          <cell r="A553">
            <v>553</v>
          </cell>
        </row>
        <row r="554">
          <cell r="A554">
            <v>554</v>
          </cell>
        </row>
        <row r="555">
          <cell r="A555">
            <v>555</v>
          </cell>
        </row>
        <row r="556">
          <cell r="A556">
            <v>556</v>
          </cell>
        </row>
        <row r="557">
          <cell r="A557">
            <v>557</v>
          </cell>
        </row>
        <row r="558">
          <cell r="A558">
            <v>558</v>
          </cell>
        </row>
        <row r="559">
          <cell r="A559">
            <v>559</v>
          </cell>
        </row>
        <row r="560">
          <cell r="A560">
            <v>560</v>
          </cell>
        </row>
        <row r="561">
          <cell r="A561">
            <v>561</v>
          </cell>
        </row>
        <row r="562">
          <cell r="A562">
            <v>562</v>
          </cell>
        </row>
        <row r="563">
          <cell r="A563">
            <v>563</v>
          </cell>
        </row>
        <row r="564">
          <cell r="A564">
            <v>564</v>
          </cell>
        </row>
        <row r="565">
          <cell r="A565">
            <v>565</v>
          </cell>
        </row>
        <row r="566">
          <cell r="A566">
            <v>566</v>
          </cell>
        </row>
        <row r="567">
          <cell r="A567">
            <v>567</v>
          </cell>
        </row>
        <row r="568">
          <cell r="A568">
            <v>568</v>
          </cell>
        </row>
        <row r="569">
          <cell r="A569">
            <v>569</v>
          </cell>
        </row>
        <row r="570">
          <cell r="A570">
            <v>570</v>
          </cell>
        </row>
        <row r="571">
          <cell r="A571">
            <v>571</v>
          </cell>
        </row>
        <row r="572">
          <cell r="A572">
            <v>572</v>
          </cell>
        </row>
        <row r="573">
          <cell r="A573">
            <v>573</v>
          </cell>
        </row>
        <row r="574">
          <cell r="A574">
            <v>574</v>
          </cell>
        </row>
        <row r="575">
          <cell r="A575">
            <v>575</v>
          </cell>
        </row>
        <row r="576">
          <cell r="A576">
            <v>576</v>
          </cell>
        </row>
        <row r="577">
          <cell r="A577">
            <v>577</v>
          </cell>
        </row>
        <row r="578">
          <cell r="A578">
            <v>578</v>
          </cell>
        </row>
        <row r="579">
          <cell r="A579">
            <v>579</v>
          </cell>
        </row>
        <row r="580">
          <cell r="A580">
            <v>580</v>
          </cell>
        </row>
        <row r="581">
          <cell r="A581">
            <v>581</v>
          </cell>
        </row>
        <row r="582">
          <cell r="A582">
            <v>582</v>
          </cell>
        </row>
        <row r="583">
          <cell r="A583">
            <v>583</v>
          </cell>
        </row>
        <row r="584">
          <cell r="A584">
            <v>584</v>
          </cell>
        </row>
        <row r="585">
          <cell r="A585">
            <v>585</v>
          </cell>
        </row>
        <row r="586">
          <cell r="A586">
            <v>586</v>
          </cell>
        </row>
        <row r="587">
          <cell r="A587">
            <v>587</v>
          </cell>
        </row>
        <row r="588">
          <cell r="A588">
            <v>588</v>
          </cell>
        </row>
        <row r="589">
          <cell r="A589">
            <v>589</v>
          </cell>
        </row>
        <row r="590">
          <cell r="A590">
            <v>590</v>
          </cell>
        </row>
        <row r="591">
          <cell r="A591">
            <v>591</v>
          </cell>
        </row>
        <row r="592">
          <cell r="A592">
            <v>592</v>
          </cell>
        </row>
        <row r="593">
          <cell r="A593">
            <v>593</v>
          </cell>
        </row>
        <row r="594">
          <cell r="A594">
            <v>594</v>
          </cell>
        </row>
        <row r="595">
          <cell r="A595">
            <v>595</v>
          </cell>
        </row>
        <row r="596">
          <cell r="A596">
            <v>596</v>
          </cell>
        </row>
        <row r="597">
          <cell r="A597">
            <v>597</v>
          </cell>
        </row>
        <row r="598">
          <cell r="A598">
            <v>598</v>
          </cell>
        </row>
        <row r="599">
          <cell r="A599">
            <v>599</v>
          </cell>
        </row>
        <row r="600">
          <cell r="A600">
            <v>600</v>
          </cell>
        </row>
        <row r="601">
          <cell r="A601">
            <v>601</v>
          </cell>
        </row>
        <row r="602">
          <cell r="A602">
            <v>602</v>
          </cell>
        </row>
        <row r="603">
          <cell r="A603">
            <v>603</v>
          </cell>
        </row>
        <row r="604">
          <cell r="A604">
            <v>604</v>
          </cell>
        </row>
        <row r="605">
          <cell r="A605">
            <v>605</v>
          </cell>
        </row>
        <row r="606">
          <cell r="A606">
            <v>606</v>
          </cell>
        </row>
        <row r="607">
          <cell r="A607">
            <v>607</v>
          </cell>
        </row>
        <row r="608">
          <cell r="A608">
            <v>608</v>
          </cell>
        </row>
        <row r="609">
          <cell r="A609">
            <v>609</v>
          </cell>
        </row>
        <row r="610">
          <cell r="A610">
            <v>610</v>
          </cell>
        </row>
        <row r="611">
          <cell r="A611">
            <v>611</v>
          </cell>
        </row>
        <row r="612">
          <cell r="A612">
            <v>612</v>
          </cell>
        </row>
        <row r="613">
          <cell r="A613">
            <v>613</v>
          </cell>
        </row>
        <row r="614">
          <cell r="A614">
            <v>614</v>
          </cell>
        </row>
        <row r="615">
          <cell r="A615">
            <v>615</v>
          </cell>
        </row>
        <row r="616">
          <cell r="A616">
            <v>616</v>
          </cell>
        </row>
        <row r="617">
          <cell r="A617">
            <v>617</v>
          </cell>
        </row>
        <row r="618">
          <cell r="A618">
            <v>618</v>
          </cell>
        </row>
        <row r="619">
          <cell r="A619">
            <v>619</v>
          </cell>
        </row>
        <row r="620">
          <cell r="A620">
            <v>620</v>
          </cell>
        </row>
        <row r="621">
          <cell r="A621">
            <v>621</v>
          </cell>
        </row>
        <row r="622">
          <cell r="A622">
            <v>622</v>
          </cell>
        </row>
        <row r="623">
          <cell r="A623">
            <v>623</v>
          </cell>
        </row>
        <row r="624">
          <cell r="A624">
            <v>624</v>
          </cell>
        </row>
        <row r="625">
          <cell r="A625">
            <v>625</v>
          </cell>
        </row>
        <row r="626">
          <cell r="A626">
            <v>626</v>
          </cell>
        </row>
        <row r="627">
          <cell r="A627">
            <v>627</v>
          </cell>
        </row>
        <row r="628">
          <cell r="A628">
            <v>628</v>
          </cell>
        </row>
        <row r="629">
          <cell r="A629">
            <v>629</v>
          </cell>
        </row>
        <row r="630">
          <cell r="A630">
            <v>630</v>
          </cell>
        </row>
        <row r="631">
          <cell r="A631">
            <v>631</v>
          </cell>
        </row>
        <row r="632">
          <cell r="A632">
            <v>632</v>
          </cell>
        </row>
        <row r="633">
          <cell r="A633">
            <v>633</v>
          </cell>
        </row>
        <row r="634">
          <cell r="A634">
            <v>634</v>
          </cell>
        </row>
        <row r="635">
          <cell r="A635">
            <v>635</v>
          </cell>
        </row>
        <row r="636">
          <cell r="A636">
            <v>636</v>
          </cell>
        </row>
        <row r="637">
          <cell r="A637">
            <v>637</v>
          </cell>
        </row>
        <row r="638">
          <cell r="A638">
            <v>638</v>
          </cell>
        </row>
        <row r="639">
          <cell r="A639">
            <v>639</v>
          </cell>
        </row>
        <row r="640">
          <cell r="A640">
            <v>640</v>
          </cell>
        </row>
        <row r="641">
          <cell r="A641">
            <v>641</v>
          </cell>
        </row>
        <row r="642">
          <cell r="A642">
            <v>642</v>
          </cell>
        </row>
        <row r="643">
          <cell r="A643">
            <v>643</v>
          </cell>
        </row>
        <row r="644">
          <cell r="A644">
            <v>644</v>
          </cell>
        </row>
        <row r="645">
          <cell r="A645">
            <v>645</v>
          </cell>
        </row>
        <row r="646">
          <cell r="A646">
            <v>646</v>
          </cell>
        </row>
        <row r="647">
          <cell r="A647">
            <v>647</v>
          </cell>
        </row>
        <row r="648">
          <cell r="A648">
            <v>648</v>
          </cell>
        </row>
        <row r="649">
          <cell r="A649">
            <v>649</v>
          </cell>
        </row>
        <row r="650">
          <cell r="A650">
            <v>650</v>
          </cell>
        </row>
        <row r="651">
          <cell r="A651">
            <v>651</v>
          </cell>
        </row>
        <row r="652">
          <cell r="A652">
            <v>652</v>
          </cell>
        </row>
        <row r="653">
          <cell r="A653">
            <v>653</v>
          </cell>
        </row>
        <row r="654">
          <cell r="A654">
            <v>654</v>
          </cell>
        </row>
        <row r="655">
          <cell r="A655">
            <v>655</v>
          </cell>
        </row>
        <row r="656">
          <cell r="A656">
            <v>656</v>
          </cell>
        </row>
        <row r="657">
          <cell r="A657">
            <v>657</v>
          </cell>
        </row>
        <row r="658">
          <cell r="A658">
            <v>658</v>
          </cell>
        </row>
        <row r="659">
          <cell r="A659">
            <v>659</v>
          </cell>
        </row>
        <row r="660">
          <cell r="A660">
            <v>660</v>
          </cell>
        </row>
        <row r="661">
          <cell r="A661">
            <v>661</v>
          </cell>
        </row>
        <row r="662">
          <cell r="A662">
            <v>662</v>
          </cell>
        </row>
        <row r="663">
          <cell r="A663">
            <v>663</v>
          </cell>
        </row>
        <row r="664">
          <cell r="A664">
            <v>664</v>
          </cell>
        </row>
        <row r="665">
          <cell r="A665">
            <v>665</v>
          </cell>
        </row>
        <row r="666">
          <cell r="A666">
            <v>666</v>
          </cell>
        </row>
        <row r="667">
          <cell r="A667">
            <v>667</v>
          </cell>
        </row>
        <row r="668">
          <cell r="A668">
            <v>668</v>
          </cell>
        </row>
        <row r="669">
          <cell r="A669">
            <v>669</v>
          </cell>
        </row>
        <row r="670">
          <cell r="A670">
            <v>670</v>
          </cell>
        </row>
        <row r="671">
          <cell r="A671">
            <v>671</v>
          </cell>
        </row>
        <row r="672">
          <cell r="A672">
            <v>672</v>
          </cell>
        </row>
        <row r="673">
          <cell r="A673">
            <v>673</v>
          </cell>
        </row>
        <row r="674">
          <cell r="A674">
            <v>674</v>
          </cell>
        </row>
        <row r="675">
          <cell r="A675">
            <v>675</v>
          </cell>
        </row>
        <row r="676">
          <cell r="A676">
            <v>676</v>
          </cell>
        </row>
        <row r="677">
          <cell r="A677">
            <v>677</v>
          </cell>
        </row>
        <row r="678">
          <cell r="A678">
            <v>678</v>
          </cell>
        </row>
        <row r="679">
          <cell r="A679">
            <v>679</v>
          </cell>
        </row>
        <row r="680">
          <cell r="A680">
            <v>680</v>
          </cell>
        </row>
        <row r="681">
          <cell r="A681">
            <v>681</v>
          </cell>
        </row>
        <row r="682">
          <cell r="A682">
            <v>682</v>
          </cell>
        </row>
        <row r="683">
          <cell r="A683">
            <v>683</v>
          </cell>
        </row>
        <row r="684">
          <cell r="A684">
            <v>684</v>
          </cell>
        </row>
        <row r="685">
          <cell r="A685">
            <v>685</v>
          </cell>
        </row>
        <row r="686">
          <cell r="A686">
            <v>686</v>
          </cell>
        </row>
        <row r="687">
          <cell r="A687">
            <v>687</v>
          </cell>
        </row>
        <row r="688">
          <cell r="A688">
            <v>688</v>
          </cell>
        </row>
        <row r="689">
          <cell r="A689">
            <v>689</v>
          </cell>
        </row>
        <row r="690">
          <cell r="A690">
            <v>690</v>
          </cell>
        </row>
        <row r="691">
          <cell r="A691">
            <v>691</v>
          </cell>
        </row>
        <row r="692">
          <cell r="A692">
            <v>692</v>
          </cell>
        </row>
        <row r="693">
          <cell r="A693">
            <v>693</v>
          </cell>
        </row>
        <row r="694">
          <cell r="A694">
            <v>694</v>
          </cell>
        </row>
        <row r="695">
          <cell r="A695">
            <v>695</v>
          </cell>
        </row>
        <row r="696">
          <cell r="A696">
            <v>696</v>
          </cell>
        </row>
        <row r="697">
          <cell r="A697">
            <v>697</v>
          </cell>
        </row>
        <row r="698">
          <cell r="A698">
            <v>698</v>
          </cell>
        </row>
        <row r="699">
          <cell r="A699">
            <v>699</v>
          </cell>
        </row>
        <row r="700">
          <cell r="A700">
            <v>700</v>
          </cell>
        </row>
        <row r="701">
          <cell r="A701">
            <v>701</v>
          </cell>
        </row>
        <row r="702">
          <cell r="A702">
            <v>702</v>
          </cell>
        </row>
        <row r="703">
          <cell r="A703">
            <v>703</v>
          </cell>
        </row>
        <row r="704">
          <cell r="A704">
            <v>704</v>
          </cell>
        </row>
        <row r="705">
          <cell r="A705">
            <v>705</v>
          </cell>
        </row>
        <row r="706">
          <cell r="A706">
            <v>706</v>
          </cell>
        </row>
        <row r="707">
          <cell r="A707">
            <v>707</v>
          </cell>
        </row>
        <row r="708">
          <cell r="A708">
            <v>708</v>
          </cell>
        </row>
        <row r="709">
          <cell r="A709">
            <v>709</v>
          </cell>
        </row>
        <row r="710">
          <cell r="A710">
            <v>710</v>
          </cell>
        </row>
        <row r="711">
          <cell r="A711">
            <v>711</v>
          </cell>
        </row>
        <row r="712">
          <cell r="A712">
            <v>712</v>
          </cell>
        </row>
        <row r="713">
          <cell r="A713">
            <v>713</v>
          </cell>
        </row>
        <row r="714">
          <cell r="A714">
            <v>714</v>
          </cell>
        </row>
        <row r="715">
          <cell r="A715">
            <v>715</v>
          </cell>
        </row>
        <row r="716">
          <cell r="A716">
            <v>716</v>
          </cell>
        </row>
        <row r="717">
          <cell r="A717">
            <v>717</v>
          </cell>
        </row>
        <row r="718">
          <cell r="A718">
            <v>718</v>
          </cell>
        </row>
        <row r="719">
          <cell r="A719">
            <v>719</v>
          </cell>
        </row>
        <row r="720">
          <cell r="A720">
            <v>720</v>
          </cell>
        </row>
        <row r="721">
          <cell r="A721">
            <v>721</v>
          </cell>
        </row>
        <row r="722">
          <cell r="A722">
            <v>722</v>
          </cell>
        </row>
        <row r="723">
          <cell r="A723">
            <v>723</v>
          </cell>
        </row>
        <row r="724">
          <cell r="A724">
            <v>724</v>
          </cell>
        </row>
        <row r="725">
          <cell r="A725">
            <v>725</v>
          </cell>
        </row>
        <row r="726">
          <cell r="A726">
            <v>726</v>
          </cell>
        </row>
        <row r="727">
          <cell r="A727">
            <v>727</v>
          </cell>
        </row>
        <row r="728">
          <cell r="A728">
            <v>728</v>
          </cell>
        </row>
        <row r="729">
          <cell r="A729">
            <v>729</v>
          </cell>
        </row>
        <row r="730">
          <cell r="A730">
            <v>730</v>
          </cell>
        </row>
        <row r="731">
          <cell r="A731">
            <v>731</v>
          </cell>
        </row>
        <row r="732">
          <cell r="A732">
            <v>732</v>
          </cell>
        </row>
        <row r="733">
          <cell r="A733">
            <v>733</v>
          </cell>
        </row>
        <row r="734">
          <cell r="A734">
            <v>734</v>
          </cell>
        </row>
        <row r="735">
          <cell r="A735">
            <v>735</v>
          </cell>
        </row>
        <row r="736">
          <cell r="A736">
            <v>736</v>
          </cell>
        </row>
        <row r="737">
          <cell r="A737">
            <v>737</v>
          </cell>
        </row>
        <row r="738">
          <cell r="A738">
            <v>738</v>
          </cell>
        </row>
        <row r="739">
          <cell r="A739">
            <v>739</v>
          </cell>
        </row>
        <row r="740">
          <cell r="A740">
            <v>740</v>
          </cell>
        </row>
        <row r="741">
          <cell r="A741">
            <v>741</v>
          </cell>
        </row>
        <row r="742">
          <cell r="A742">
            <v>742</v>
          </cell>
        </row>
        <row r="743">
          <cell r="A743">
            <v>743</v>
          </cell>
        </row>
        <row r="744">
          <cell r="A744">
            <v>744</v>
          </cell>
        </row>
        <row r="745">
          <cell r="A745">
            <v>745</v>
          </cell>
        </row>
        <row r="746">
          <cell r="A746">
            <v>746</v>
          </cell>
        </row>
        <row r="747">
          <cell r="A747">
            <v>747</v>
          </cell>
        </row>
        <row r="748">
          <cell r="A748">
            <v>748</v>
          </cell>
        </row>
        <row r="749">
          <cell r="A749">
            <v>749</v>
          </cell>
        </row>
        <row r="750">
          <cell r="A750">
            <v>750</v>
          </cell>
        </row>
        <row r="751">
          <cell r="A751">
            <v>751</v>
          </cell>
        </row>
        <row r="752">
          <cell r="A752">
            <v>752</v>
          </cell>
        </row>
        <row r="753">
          <cell r="A753">
            <v>753</v>
          </cell>
        </row>
        <row r="754">
          <cell r="A754">
            <v>754</v>
          </cell>
        </row>
        <row r="755">
          <cell r="A755">
            <v>755</v>
          </cell>
        </row>
        <row r="756">
          <cell r="A756">
            <v>756</v>
          </cell>
        </row>
        <row r="757">
          <cell r="A757">
            <v>757</v>
          </cell>
        </row>
        <row r="758">
          <cell r="A758">
            <v>758</v>
          </cell>
        </row>
        <row r="759">
          <cell r="A759">
            <v>759</v>
          </cell>
        </row>
        <row r="760">
          <cell r="A760">
            <v>760</v>
          </cell>
        </row>
        <row r="761">
          <cell r="A761">
            <v>761</v>
          </cell>
        </row>
        <row r="762">
          <cell r="A762">
            <v>762</v>
          </cell>
        </row>
        <row r="763">
          <cell r="A763">
            <v>763</v>
          </cell>
        </row>
        <row r="764">
          <cell r="A764">
            <v>764</v>
          </cell>
        </row>
        <row r="765">
          <cell r="A765">
            <v>765</v>
          </cell>
        </row>
        <row r="766">
          <cell r="A766">
            <v>766</v>
          </cell>
        </row>
        <row r="767">
          <cell r="A767">
            <v>767</v>
          </cell>
        </row>
        <row r="768">
          <cell r="A768">
            <v>768</v>
          </cell>
        </row>
        <row r="769">
          <cell r="A769">
            <v>769</v>
          </cell>
        </row>
        <row r="770">
          <cell r="A770">
            <v>770</v>
          </cell>
        </row>
        <row r="771">
          <cell r="A771">
            <v>771</v>
          </cell>
        </row>
        <row r="772">
          <cell r="A772">
            <v>772</v>
          </cell>
        </row>
        <row r="773">
          <cell r="A773">
            <v>773</v>
          </cell>
        </row>
        <row r="774">
          <cell r="A774">
            <v>774</v>
          </cell>
        </row>
        <row r="775">
          <cell r="A775">
            <v>775</v>
          </cell>
        </row>
        <row r="776">
          <cell r="A776">
            <v>776</v>
          </cell>
        </row>
        <row r="777">
          <cell r="A777">
            <v>777</v>
          </cell>
        </row>
        <row r="778">
          <cell r="A778">
            <v>778</v>
          </cell>
        </row>
        <row r="779">
          <cell r="A779">
            <v>779</v>
          </cell>
        </row>
        <row r="780">
          <cell r="A780">
            <v>780</v>
          </cell>
        </row>
        <row r="781">
          <cell r="A781">
            <v>781</v>
          </cell>
        </row>
        <row r="782">
          <cell r="A782">
            <v>782</v>
          </cell>
        </row>
        <row r="783">
          <cell r="A783">
            <v>783</v>
          </cell>
        </row>
        <row r="784">
          <cell r="A784">
            <v>784</v>
          </cell>
        </row>
        <row r="785">
          <cell r="A785">
            <v>785</v>
          </cell>
        </row>
        <row r="786">
          <cell r="A786">
            <v>786</v>
          </cell>
        </row>
        <row r="787">
          <cell r="A787">
            <v>787</v>
          </cell>
        </row>
        <row r="788">
          <cell r="A788">
            <v>788</v>
          </cell>
        </row>
        <row r="789">
          <cell r="A789">
            <v>789</v>
          </cell>
        </row>
        <row r="790">
          <cell r="A790">
            <v>790</v>
          </cell>
        </row>
        <row r="791">
          <cell r="A791">
            <v>791</v>
          </cell>
        </row>
        <row r="792">
          <cell r="A792">
            <v>792</v>
          </cell>
        </row>
        <row r="793">
          <cell r="A793">
            <v>793</v>
          </cell>
        </row>
        <row r="794">
          <cell r="A794">
            <v>794</v>
          </cell>
        </row>
        <row r="795">
          <cell r="A795">
            <v>795</v>
          </cell>
        </row>
        <row r="796">
          <cell r="A796">
            <v>796</v>
          </cell>
        </row>
        <row r="797">
          <cell r="A797">
            <v>797</v>
          </cell>
        </row>
        <row r="798">
          <cell r="A798">
            <v>798</v>
          </cell>
        </row>
        <row r="799">
          <cell r="A799">
            <v>799</v>
          </cell>
        </row>
        <row r="800">
          <cell r="A800">
            <v>800</v>
          </cell>
        </row>
        <row r="801">
          <cell r="A801">
            <v>801</v>
          </cell>
        </row>
        <row r="802">
          <cell r="A802">
            <v>802</v>
          </cell>
        </row>
        <row r="803">
          <cell r="A803">
            <v>803</v>
          </cell>
        </row>
        <row r="804">
          <cell r="A804">
            <v>804</v>
          </cell>
        </row>
        <row r="805">
          <cell r="A805">
            <v>805</v>
          </cell>
        </row>
        <row r="806">
          <cell r="A806">
            <v>806</v>
          </cell>
        </row>
        <row r="807">
          <cell r="A807">
            <v>807</v>
          </cell>
        </row>
        <row r="808">
          <cell r="A808">
            <v>808</v>
          </cell>
        </row>
        <row r="809">
          <cell r="A809">
            <v>809</v>
          </cell>
        </row>
        <row r="810">
          <cell r="A810">
            <v>810</v>
          </cell>
        </row>
        <row r="811">
          <cell r="A811">
            <v>811</v>
          </cell>
        </row>
        <row r="812">
          <cell r="A812">
            <v>812</v>
          </cell>
        </row>
        <row r="813">
          <cell r="A813">
            <v>813</v>
          </cell>
        </row>
        <row r="814">
          <cell r="A814">
            <v>814</v>
          </cell>
        </row>
        <row r="815">
          <cell r="A815">
            <v>815</v>
          </cell>
        </row>
        <row r="816">
          <cell r="A816">
            <v>816</v>
          </cell>
        </row>
        <row r="817">
          <cell r="A817">
            <v>817</v>
          </cell>
        </row>
        <row r="818">
          <cell r="A818">
            <v>818</v>
          </cell>
        </row>
        <row r="819">
          <cell r="A819">
            <v>819</v>
          </cell>
        </row>
        <row r="820">
          <cell r="A820">
            <v>820</v>
          </cell>
        </row>
        <row r="821">
          <cell r="A821">
            <v>821</v>
          </cell>
        </row>
        <row r="822">
          <cell r="A822">
            <v>822</v>
          </cell>
        </row>
        <row r="823">
          <cell r="A823">
            <v>823</v>
          </cell>
        </row>
        <row r="824">
          <cell r="A824">
            <v>824</v>
          </cell>
        </row>
        <row r="825">
          <cell r="A825">
            <v>825</v>
          </cell>
        </row>
        <row r="826">
          <cell r="A826">
            <v>826</v>
          </cell>
        </row>
        <row r="827">
          <cell r="A827">
            <v>827</v>
          </cell>
        </row>
        <row r="828">
          <cell r="A828">
            <v>828</v>
          </cell>
        </row>
        <row r="829">
          <cell r="A829">
            <v>829</v>
          </cell>
        </row>
        <row r="830">
          <cell r="A830">
            <v>830</v>
          </cell>
        </row>
        <row r="831">
          <cell r="A831">
            <v>831</v>
          </cell>
        </row>
        <row r="832">
          <cell r="A832">
            <v>832</v>
          </cell>
        </row>
        <row r="833">
          <cell r="A833">
            <v>833</v>
          </cell>
        </row>
        <row r="834">
          <cell r="A834">
            <v>834</v>
          </cell>
        </row>
        <row r="835">
          <cell r="A835">
            <v>835</v>
          </cell>
        </row>
        <row r="836">
          <cell r="A836">
            <v>836</v>
          </cell>
        </row>
        <row r="837">
          <cell r="A837">
            <v>837</v>
          </cell>
        </row>
        <row r="838">
          <cell r="A838">
            <v>838</v>
          </cell>
        </row>
        <row r="839">
          <cell r="A839">
            <v>839</v>
          </cell>
        </row>
        <row r="840">
          <cell r="A840">
            <v>840</v>
          </cell>
        </row>
        <row r="841">
          <cell r="A841">
            <v>841</v>
          </cell>
        </row>
        <row r="842">
          <cell r="A842">
            <v>842</v>
          </cell>
        </row>
        <row r="843">
          <cell r="A843">
            <v>843</v>
          </cell>
        </row>
        <row r="844">
          <cell r="A844">
            <v>844</v>
          </cell>
        </row>
        <row r="845">
          <cell r="A845">
            <v>845</v>
          </cell>
        </row>
        <row r="846">
          <cell r="A846">
            <v>846</v>
          </cell>
        </row>
        <row r="847">
          <cell r="A847">
            <v>847</v>
          </cell>
        </row>
        <row r="848">
          <cell r="A848">
            <v>848</v>
          </cell>
        </row>
        <row r="849">
          <cell r="A849">
            <v>849</v>
          </cell>
        </row>
        <row r="850">
          <cell r="A850">
            <v>850</v>
          </cell>
        </row>
        <row r="851">
          <cell r="A851">
            <v>851</v>
          </cell>
        </row>
        <row r="852">
          <cell r="A852">
            <v>852</v>
          </cell>
        </row>
        <row r="853">
          <cell r="A853">
            <v>853</v>
          </cell>
        </row>
        <row r="854">
          <cell r="A854">
            <v>854</v>
          </cell>
        </row>
        <row r="855">
          <cell r="A855">
            <v>855</v>
          </cell>
        </row>
        <row r="856">
          <cell r="A856">
            <v>856</v>
          </cell>
        </row>
        <row r="857">
          <cell r="A857">
            <v>857</v>
          </cell>
        </row>
        <row r="858">
          <cell r="A858">
            <v>858</v>
          </cell>
        </row>
        <row r="859">
          <cell r="A859">
            <v>859</v>
          </cell>
        </row>
        <row r="860">
          <cell r="A860">
            <v>860</v>
          </cell>
        </row>
        <row r="861">
          <cell r="A861">
            <v>861</v>
          </cell>
        </row>
        <row r="862">
          <cell r="A862">
            <v>862</v>
          </cell>
        </row>
        <row r="863">
          <cell r="A863">
            <v>863</v>
          </cell>
        </row>
        <row r="864">
          <cell r="A864">
            <v>864</v>
          </cell>
        </row>
        <row r="865">
          <cell r="A865">
            <v>865</v>
          </cell>
        </row>
        <row r="866">
          <cell r="A866">
            <v>866</v>
          </cell>
        </row>
        <row r="867">
          <cell r="A867">
            <v>867</v>
          </cell>
        </row>
        <row r="868">
          <cell r="A868">
            <v>868</v>
          </cell>
        </row>
        <row r="869">
          <cell r="A869">
            <v>869</v>
          </cell>
        </row>
        <row r="870">
          <cell r="A870">
            <v>870</v>
          </cell>
        </row>
        <row r="871">
          <cell r="A871">
            <v>871</v>
          </cell>
        </row>
        <row r="872">
          <cell r="A872">
            <v>872</v>
          </cell>
        </row>
        <row r="873">
          <cell r="A873">
            <v>873</v>
          </cell>
        </row>
        <row r="874">
          <cell r="A874">
            <v>874</v>
          </cell>
        </row>
        <row r="875">
          <cell r="A875">
            <v>875</v>
          </cell>
        </row>
        <row r="876">
          <cell r="A876">
            <v>876</v>
          </cell>
        </row>
        <row r="877">
          <cell r="A877">
            <v>877</v>
          </cell>
        </row>
        <row r="878">
          <cell r="A878">
            <v>878</v>
          </cell>
        </row>
        <row r="879">
          <cell r="A879">
            <v>879</v>
          </cell>
        </row>
        <row r="880">
          <cell r="A880">
            <v>880</v>
          </cell>
        </row>
        <row r="881">
          <cell r="A881">
            <v>881</v>
          </cell>
        </row>
        <row r="882">
          <cell r="A882">
            <v>882</v>
          </cell>
        </row>
        <row r="883">
          <cell r="A883">
            <v>883</v>
          </cell>
        </row>
        <row r="884">
          <cell r="A884">
            <v>884</v>
          </cell>
        </row>
        <row r="885">
          <cell r="A885">
            <v>885</v>
          </cell>
        </row>
        <row r="886">
          <cell r="A886">
            <v>886</v>
          </cell>
        </row>
        <row r="887">
          <cell r="A887">
            <v>887</v>
          </cell>
        </row>
        <row r="888">
          <cell r="A888">
            <v>888</v>
          </cell>
        </row>
        <row r="889">
          <cell r="A889">
            <v>889</v>
          </cell>
        </row>
        <row r="890">
          <cell r="A890">
            <v>890</v>
          </cell>
        </row>
        <row r="891">
          <cell r="A891">
            <v>891</v>
          </cell>
        </row>
        <row r="892">
          <cell r="A892">
            <v>892</v>
          </cell>
        </row>
        <row r="893">
          <cell r="A893">
            <v>893</v>
          </cell>
        </row>
        <row r="894">
          <cell r="A894">
            <v>894</v>
          </cell>
        </row>
        <row r="895">
          <cell r="A895">
            <v>895</v>
          </cell>
        </row>
        <row r="896">
          <cell r="A896">
            <v>896</v>
          </cell>
        </row>
        <row r="897">
          <cell r="A897">
            <v>897</v>
          </cell>
        </row>
        <row r="898">
          <cell r="A898">
            <v>898</v>
          </cell>
        </row>
        <row r="899">
          <cell r="A899">
            <v>899</v>
          </cell>
        </row>
        <row r="900">
          <cell r="A900">
            <v>900</v>
          </cell>
        </row>
        <row r="901">
          <cell r="A901">
            <v>901</v>
          </cell>
        </row>
        <row r="902">
          <cell r="A902">
            <v>902</v>
          </cell>
        </row>
        <row r="903">
          <cell r="A903">
            <v>903</v>
          </cell>
        </row>
        <row r="904">
          <cell r="A904">
            <v>904</v>
          </cell>
        </row>
        <row r="905">
          <cell r="A905">
            <v>905</v>
          </cell>
        </row>
        <row r="906">
          <cell r="A906">
            <v>906</v>
          </cell>
        </row>
        <row r="907">
          <cell r="A907">
            <v>907</v>
          </cell>
        </row>
        <row r="908">
          <cell r="A908">
            <v>908</v>
          </cell>
        </row>
        <row r="909">
          <cell r="A909">
            <v>909</v>
          </cell>
        </row>
        <row r="910">
          <cell r="A910">
            <v>910</v>
          </cell>
        </row>
        <row r="911">
          <cell r="A911">
            <v>911</v>
          </cell>
        </row>
        <row r="912">
          <cell r="A912">
            <v>912</v>
          </cell>
        </row>
        <row r="913">
          <cell r="A913">
            <v>913</v>
          </cell>
        </row>
        <row r="914">
          <cell r="A914">
            <v>914</v>
          </cell>
        </row>
        <row r="915">
          <cell r="A915">
            <v>915</v>
          </cell>
        </row>
        <row r="916">
          <cell r="A916">
            <v>916</v>
          </cell>
        </row>
        <row r="917">
          <cell r="A917">
            <v>917</v>
          </cell>
        </row>
        <row r="918">
          <cell r="A918">
            <v>918</v>
          </cell>
        </row>
        <row r="919">
          <cell r="A919">
            <v>919</v>
          </cell>
        </row>
        <row r="920">
          <cell r="A920">
            <v>920</v>
          </cell>
        </row>
        <row r="921">
          <cell r="A921">
            <v>921</v>
          </cell>
        </row>
        <row r="922">
          <cell r="A922">
            <v>922</v>
          </cell>
        </row>
        <row r="923">
          <cell r="A923">
            <v>923</v>
          </cell>
        </row>
        <row r="924">
          <cell r="A924">
            <v>924</v>
          </cell>
        </row>
        <row r="925">
          <cell r="A925">
            <v>925</v>
          </cell>
        </row>
        <row r="926">
          <cell r="A926">
            <v>926</v>
          </cell>
        </row>
        <row r="927">
          <cell r="A927">
            <v>927</v>
          </cell>
        </row>
        <row r="928">
          <cell r="A928">
            <v>928</v>
          </cell>
        </row>
        <row r="929">
          <cell r="A929">
            <v>929</v>
          </cell>
        </row>
        <row r="930">
          <cell r="A930">
            <v>930</v>
          </cell>
        </row>
        <row r="931">
          <cell r="A931">
            <v>931</v>
          </cell>
        </row>
        <row r="932">
          <cell r="A932">
            <v>932</v>
          </cell>
        </row>
        <row r="933">
          <cell r="A933">
            <v>933</v>
          </cell>
        </row>
        <row r="934">
          <cell r="A934">
            <v>934</v>
          </cell>
        </row>
        <row r="935">
          <cell r="A935">
            <v>935</v>
          </cell>
        </row>
        <row r="936">
          <cell r="A936">
            <v>936</v>
          </cell>
        </row>
        <row r="937">
          <cell r="A937">
            <v>937</v>
          </cell>
        </row>
        <row r="938">
          <cell r="A938">
            <v>938</v>
          </cell>
        </row>
        <row r="939">
          <cell r="A939">
            <v>939</v>
          </cell>
        </row>
        <row r="940">
          <cell r="A940">
            <v>940</v>
          </cell>
        </row>
        <row r="941">
          <cell r="A941">
            <v>941</v>
          </cell>
        </row>
        <row r="942">
          <cell r="A942">
            <v>942</v>
          </cell>
        </row>
        <row r="943">
          <cell r="A943">
            <v>943</v>
          </cell>
        </row>
        <row r="944">
          <cell r="A944">
            <v>944</v>
          </cell>
        </row>
        <row r="945">
          <cell r="A945">
            <v>945</v>
          </cell>
        </row>
        <row r="946">
          <cell r="A946">
            <v>946</v>
          </cell>
        </row>
        <row r="947">
          <cell r="A947">
            <v>947</v>
          </cell>
        </row>
        <row r="948">
          <cell r="A948">
            <v>948</v>
          </cell>
        </row>
        <row r="949">
          <cell r="A949">
            <v>949</v>
          </cell>
        </row>
        <row r="950">
          <cell r="A950">
            <v>950</v>
          </cell>
        </row>
        <row r="951">
          <cell r="A951">
            <v>951</v>
          </cell>
        </row>
        <row r="952">
          <cell r="A952">
            <v>952</v>
          </cell>
        </row>
        <row r="953">
          <cell r="A953">
            <v>953</v>
          </cell>
        </row>
        <row r="954">
          <cell r="A954">
            <v>954</v>
          </cell>
        </row>
        <row r="955">
          <cell r="A955">
            <v>955</v>
          </cell>
        </row>
        <row r="956">
          <cell r="A956">
            <v>956</v>
          </cell>
        </row>
        <row r="957">
          <cell r="A957">
            <v>957</v>
          </cell>
        </row>
        <row r="958">
          <cell r="A958">
            <v>958</v>
          </cell>
        </row>
        <row r="959">
          <cell r="A959">
            <v>959</v>
          </cell>
        </row>
        <row r="960">
          <cell r="A960">
            <v>960</v>
          </cell>
        </row>
        <row r="961">
          <cell r="A961">
            <v>961</v>
          </cell>
        </row>
        <row r="962">
          <cell r="A962">
            <v>962</v>
          </cell>
        </row>
        <row r="963">
          <cell r="A963">
            <v>963</v>
          </cell>
        </row>
        <row r="964">
          <cell r="A964">
            <v>964</v>
          </cell>
        </row>
        <row r="965">
          <cell r="A965">
            <v>965</v>
          </cell>
        </row>
        <row r="966">
          <cell r="A966">
            <v>966</v>
          </cell>
        </row>
        <row r="967">
          <cell r="A967">
            <v>967</v>
          </cell>
        </row>
        <row r="968">
          <cell r="A968">
            <v>968</v>
          </cell>
        </row>
        <row r="969">
          <cell r="A969">
            <v>969</v>
          </cell>
        </row>
        <row r="970">
          <cell r="A970">
            <v>970</v>
          </cell>
        </row>
        <row r="971">
          <cell r="A971">
            <v>971</v>
          </cell>
        </row>
        <row r="972">
          <cell r="A972">
            <v>972</v>
          </cell>
        </row>
        <row r="973">
          <cell r="A973">
            <v>973</v>
          </cell>
        </row>
        <row r="974">
          <cell r="A974">
            <v>974</v>
          </cell>
        </row>
        <row r="975">
          <cell r="A975">
            <v>975</v>
          </cell>
        </row>
        <row r="976">
          <cell r="A976">
            <v>976</v>
          </cell>
        </row>
        <row r="977">
          <cell r="A977">
            <v>977</v>
          </cell>
        </row>
        <row r="978">
          <cell r="A978">
            <v>978</v>
          </cell>
        </row>
        <row r="979">
          <cell r="A979">
            <v>979</v>
          </cell>
        </row>
        <row r="980">
          <cell r="A980">
            <v>980</v>
          </cell>
        </row>
        <row r="981">
          <cell r="A981">
            <v>981</v>
          </cell>
        </row>
        <row r="982">
          <cell r="A982">
            <v>982</v>
          </cell>
        </row>
        <row r="983">
          <cell r="A983">
            <v>983</v>
          </cell>
        </row>
        <row r="984">
          <cell r="A984">
            <v>984</v>
          </cell>
        </row>
        <row r="985">
          <cell r="A985">
            <v>985</v>
          </cell>
        </row>
        <row r="986">
          <cell r="A986">
            <v>986</v>
          </cell>
        </row>
        <row r="987">
          <cell r="A987">
            <v>987</v>
          </cell>
        </row>
        <row r="988">
          <cell r="A988">
            <v>988</v>
          </cell>
        </row>
        <row r="989">
          <cell r="A989">
            <v>989</v>
          </cell>
        </row>
        <row r="990">
          <cell r="A990">
            <v>990</v>
          </cell>
        </row>
        <row r="991">
          <cell r="A991">
            <v>991</v>
          </cell>
        </row>
        <row r="992">
          <cell r="A992">
            <v>992</v>
          </cell>
        </row>
        <row r="993">
          <cell r="A993">
            <v>993</v>
          </cell>
        </row>
        <row r="994">
          <cell r="A994">
            <v>994</v>
          </cell>
        </row>
        <row r="995">
          <cell r="A995">
            <v>995</v>
          </cell>
        </row>
        <row r="996">
          <cell r="A996">
            <v>996</v>
          </cell>
        </row>
        <row r="997">
          <cell r="A997">
            <v>997</v>
          </cell>
        </row>
        <row r="998">
          <cell r="A998">
            <v>998</v>
          </cell>
        </row>
        <row r="999">
          <cell r="A999">
            <v>999</v>
          </cell>
        </row>
        <row r="1000">
          <cell r="A1000">
            <v>1000</v>
          </cell>
        </row>
        <row r="1001">
          <cell r="A1001">
            <v>1001</v>
          </cell>
        </row>
        <row r="1002">
          <cell r="A1002">
            <v>1002</v>
          </cell>
        </row>
        <row r="1003">
          <cell r="A1003">
            <v>1003</v>
          </cell>
        </row>
        <row r="1004">
          <cell r="A1004">
            <v>1004</v>
          </cell>
        </row>
        <row r="1005">
          <cell r="A1005">
            <v>1005</v>
          </cell>
        </row>
        <row r="1006">
          <cell r="A1006">
            <v>1006</v>
          </cell>
        </row>
        <row r="1007">
          <cell r="A1007">
            <v>1007</v>
          </cell>
        </row>
        <row r="1008">
          <cell r="A1008">
            <v>1008</v>
          </cell>
        </row>
        <row r="1009">
          <cell r="A1009">
            <v>1009</v>
          </cell>
        </row>
        <row r="1010">
          <cell r="A1010">
            <v>1010</v>
          </cell>
        </row>
        <row r="1011">
          <cell r="A1011">
            <v>1011</v>
          </cell>
        </row>
        <row r="1012">
          <cell r="A1012">
            <v>1012</v>
          </cell>
        </row>
        <row r="1013">
          <cell r="A1013">
            <v>1013</v>
          </cell>
        </row>
        <row r="1014">
          <cell r="A1014">
            <v>1014</v>
          </cell>
        </row>
        <row r="1015">
          <cell r="A1015">
            <v>1015</v>
          </cell>
        </row>
        <row r="1016">
          <cell r="A1016">
            <v>1016</v>
          </cell>
        </row>
        <row r="1017">
          <cell r="A1017">
            <v>1017</v>
          </cell>
        </row>
        <row r="1018">
          <cell r="A1018">
            <v>1018</v>
          </cell>
        </row>
        <row r="1019">
          <cell r="A1019">
            <v>1019</v>
          </cell>
        </row>
        <row r="1020">
          <cell r="A1020">
            <v>1020</v>
          </cell>
        </row>
        <row r="1021">
          <cell r="A1021">
            <v>1021</v>
          </cell>
        </row>
        <row r="1022">
          <cell r="A1022">
            <v>1022</v>
          </cell>
        </row>
        <row r="1023">
          <cell r="A1023">
            <v>1023</v>
          </cell>
        </row>
        <row r="1024">
          <cell r="A1024">
            <v>1024</v>
          </cell>
        </row>
        <row r="1025">
          <cell r="A1025">
            <v>1025</v>
          </cell>
        </row>
        <row r="1026">
          <cell r="A1026">
            <v>1026</v>
          </cell>
        </row>
        <row r="1027">
          <cell r="A1027">
            <v>1027</v>
          </cell>
        </row>
        <row r="1028">
          <cell r="A1028">
            <v>1028</v>
          </cell>
        </row>
        <row r="1029">
          <cell r="A1029">
            <v>1029</v>
          </cell>
        </row>
        <row r="1030">
          <cell r="A1030">
            <v>1030</v>
          </cell>
        </row>
        <row r="1031">
          <cell r="A1031">
            <v>1031</v>
          </cell>
        </row>
        <row r="1032">
          <cell r="A1032">
            <v>1032</v>
          </cell>
        </row>
        <row r="1033">
          <cell r="A1033">
            <v>1033</v>
          </cell>
        </row>
        <row r="1034">
          <cell r="A1034">
            <v>1034</v>
          </cell>
        </row>
        <row r="1035">
          <cell r="A1035">
            <v>1035</v>
          </cell>
        </row>
        <row r="1036">
          <cell r="A1036">
            <v>1036</v>
          </cell>
        </row>
        <row r="1037">
          <cell r="A1037">
            <v>1037</v>
          </cell>
        </row>
        <row r="1038">
          <cell r="A1038">
            <v>1038</v>
          </cell>
        </row>
        <row r="1039">
          <cell r="A1039">
            <v>1039</v>
          </cell>
        </row>
        <row r="1040">
          <cell r="A1040">
            <v>1040</v>
          </cell>
        </row>
        <row r="1041">
          <cell r="A1041">
            <v>1041</v>
          </cell>
        </row>
        <row r="1042">
          <cell r="A1042">
            <v>1042</v>
          </cell>
        </row>
        <row r="1043">
          <cell r="A1043">
            <v>1043</v>
          </cell>
        </row>
        <row r="1044">
          <cell r="A1044">
            <v>1044</v>
          </cell>
        </row>
        <row r="1045">
          <cell r="A1045">
            <v>1045</v>
          </cell>
        </row>
        <row r="1046">
          <cell r="A1046">
            <v>1046</v>
          </cell>
        </row>
        <row r="1047">
          <cell r="A1047">
            <v>1047</v>
          </cell>
        </row>
        <row r="1048">
          <cell r="A1048">
            <v>1048</v>
          </cell>
        </row>
        <row r="1049">
          <cell r="A1049">
            <v>1049</v>
          </cell>
        </row>
        <row r="1050">
          <cell r="A1050">
            <v>1050</v>
          </cell>
        </row>
        <row r="1051">
          <cell r="A1051">
            <v>1051</v>
          </cell>
        </row>
        <row r="1052">
          <cell r="A1052">
            <v>1052</v>
          </cell>
        </row>
        <row r="1053">
          <cell r="A1053">
            <v>1053</v>
          </cell>
        </row>
        <row r="1054">
          <cell r="A1054">
            <v>1054</v>
          </cell>
        </row>
        <row r="1055">
          <cell r="A1055">
            <v>1055</v>
          </cell>
        </row>
        <row r="1056">
          <cell r="A1056">
            <v>1056</v>
          </cell>
        </row>
        <row r="1057">
          <cell r="A1057">
            <v>1057</v>
          </cell>
        </row>
        <row r="1058">
          <cell r="A1058">
            <v>1058</v>
          </cell>
        </row>
        <row r="1059">
          <cell r="A1059">
            <v>1059</v>
          </cell>
        </row>
        <row r="1060">
          <cell r="A1060">
            <v>1060</v>
          </cell>
        </row>
        <row r="1061">
          <cell r="A1061">
            <v>1061</v>
          </cell>
        </row>
        <row r="1062">
          <cell r="A1062">
            <v>1062</v>
          </cell>
        </row>
        <row r="1063">
          <cell r="A1063">
            <v>1063</v>
          </cell>
        </row>
        <row r="1064">
          <cell r="A1064">
            <v>1064</v>
          </cell>
        </row>
        <row r="1065">
          <cell r="A1065">
            <v>1065</v>
          </cell>
        </row>
        <row r="1066">
          <cell r="A1066">
            <v>1066</v>
          </cell>
        </row>
        <row r="1067">
          <cell r="A1067">
            <v>1067</v>
          </cell>
        </row>
        <row r="1068">
          <cell r="A1068">
            <v>1068</v>
          </cell>
        </row>
        <row r="1069">
          <cell r="A1069">
            <v>1069</v>
          </cell>
        </row>
        <row r="1070">
          <cell r="A1070">
            <v>1070</v>
          </cell>
        </row>
        <row r="1071">
          <cell r="A1071">
            <v>1071</v>
          </cell>
        </row>
        <row r="1072">
          <cell r="A1072">
            <v>1072</v>
          </cell>
        </row>
        <row r="1073">
          <cell r="A1073">
            <v>1073</v>
          </cell>
        </row>
        <row r="1074">
          <cell r="A1074">
            <v>1074</v>
          </cell>
        </row>
        <row r="1075">
          <cell r="A1075">
            <v>1075</v>
          </cell>
        </row>
        <row r="1076">
          <cell r="A1076">
            <v>1076</v>
          </cell>
        </row>
        <row r="1077">
          <cell r="A1077">
            <v>1077</v>
          </cell>
        </row>
        <row r="1078">
          <cell r="A1078">
            <v>1078</v>
          </cell>
        </row>
        <row r="1079">
          <cell r="A1079">
            <v>1079</v>
          </cell>
        </row>
        <row r="1080">
          <cell r="A1080">
            <v>1080</v>
          </cell>
        </row>
        <row r="1081">
          <cell r="A1081">
            <v>1081</v>
          </cell>
        </row>
        <row r="1082">
          <cell r="A1082">
            <v>1082</v>
          </cell>
        </row>
        <row r="1083">
          <cell r="A1083">
            <v>1083</v>
          </cell>
        </row>
        <row r="1084">
          <cell r="A1084">
            <v>1084</v>
          </cell>
        </row>
        <row r="1085">
          <cell r="A1085">
            <v>1085</v>
          </cell>
        </row>
        <row r="1086">
          <cell r="A1086">
            <v>1086</v>
          </cell>
        </row>
        <row r="1087">
          <cell r="A1087">
            <v>1087</v>
          </cell>
        </row>
        <row r="1088">
          <cell r="A1088">
            <v>1088</v>
          </cell>
        </row>
        <row r="1089">
          <cell r="A1089">
            <v>1089</v>
          </cell>
        </row>
        <row r="1090">
          <cell r="A1090">
            <v>1090</v>
          </cell>
        </row>
        <row r="1091">
          <cell r="A1091">
            <v>1091</v>
          </cell>
        </row>
        <row r="1092">
          <cell r="A1092">
            <v>1092</v>
          </cell>
        </row>
        <row r="1093">
          <cell r="A1093">
            <v>1093</v>
          </cell>
        </row>
        <row r="1094">
          <cell r="A1094">
            <v>1094</v>
          </cell>
        </row>
        <row r="1095">
          <cell r="A1095">
            <v>1095</v>
          </cell>
        </row>
        <row r="1096">
          <cell r="A1096">
            <v>1096</v>
          </cell>
        </row>
        <row r="1097">
          <cell r="A1097">
            <v>1097</v>
          </cell>
        </row>
        <row r="1098">
          <cell r="A1098">
            <v>1098</v>
          </cell>
        </row>
        <row r="1099">
          <cell r="A1099">
            <v>1099</v>
          </cell>
        </row>
        <row r="1100">
          <cell r="A1100">
            <v>1100</v>
          </cell>
        </row>
        <row r="1101">
          <cell r="A1101">
            <v>1101</v>
          </cell>
        </row>
        <row r="1102">
          <cell r="A1102">
            <v>1102</v>
          </cell>
        </row>
        <row r="1103">
          <cell r="A1103">
            <v>1103</v>
          </cell>
        </row>
        <row r="1104">
          <cell r="A1104">
            <v>1104</v>
          </cell>
        </row>
        <row r="1105">
          <cell r="A1105">
            <v>1105</v>
          </cell>
        </row>
        <row r="1106">
          <cell r="A1106">
            <v>1106</v>
          </cell>
        </row>
        <row r="1107">
          <cell r="A1107">
            <v>1107</v>
          </cell>
        </row>
        <row r="1108">
          <cell r="A1108">
            <v>1108</v>
          </cell>
        </row>
        <row r="1109">
          <cell r="A1109">
            <v>1109</v>
          </cell>
        </row>
        <row r="1110">
          <cell r="A1110">
            <v>1110</v>
          </cell>
        </row>
        <row r="1111">
          <cell r="A1111">
            <v>1111</v>
          </cell>
        </row>
        <row r="1112">
          <cell r="A1112">
            <v>1112</v>
          </cell>
        </row>
        <row r="1113">
          <cell r="A1113">
            <v>1113</v>
          </cell>
        </row>
        <row r="1114">
          <cell r="A1114">
            <v>1114</v>
          </cell>
        </row>
        <row r="1115">
          <cell r="A1115">
            <v>1115</v>
          </cell>
        </row>
        <row r="1116">
          <cell r="A1116">
            <v>1116</v>
          </cell>
        </row>
        <row r="1117">
          <cell r="A1117">
            <v>1117</v>
          </cell>
        </row>
        <row r="1118">
          <cell r="A1118">
            <v>1118</v>
          </cell>
        </row>
        <row r="1119">
          <cell r="A1119">
            <v>1119</v>
          </cell>
        </row>
        <row r="1120">
          <cell r="A1120">
            <v>1120</v>
          </cell>
        </row>
        <row r="1121">
          <cell r="A1121">
            <v>1121</v>
          </cell>
        </row>
        <row r="1122">
          <cell r="A1122">
            <v>1122</v>
          </cell>
        </row>
        <row r="1123">
          <cell r="A1123">
            <v>1123</v>
          </cell>
        </row>
        <row r="1124">
          <cell r="A1124">
            <v>1124</v>
          </cell>
        </row>
        <row r="1125">
          <cell r="A1125">
            <v>1125</v>
          </cell>
        </row>
        <row r="1126">
          <cell r="A1126">
            <v>1126</v>
          </cell>
        </row>
        <row r="1127">
          <cell r="A1127">
            <v>1127</v>
          </cell>
        </row>
        <row r="1128">
          <cell r="A1128">
            <v>1128</v>
          </cell>
        </row>
        <row r="1129">
          <cell r="A1129">
            <v>1129</v>
          </cell>
        </row>
        <row r="1130">
          <cell r="A1130">
            <v>1130</v>
          </cell>
        </row>
        <row r="1131">
          <cell r="A1131">
            <v>1131</v>
          </cell>
        </row>
        <row r="1132">
          <cell r="A1132">
            <v>1132</v>
          </cell>
        </row>
        <row r="1133">
          <cell r="A1133">
            <v>1133</v>
          </cell>
        </row>
        <row r="1134">
          <cell r="A1134">
            <v>1134</v>
          </cell>
        </row>
        <row r="1135">
          <cell r="A1135">
            <v>1135</v>
          </cell>
        </row>
        <row r="1136">
          <cell r="A1136">
            <v>1136</v>
          </cell>
        </row>
        <row r="1137">
          <cell r="A1137">
            <v>1137</v>
          </cell>
        </row>
        <row r="1138">
          <cell r="A1138">
            <v>1138</v>
          </cell>
        </row>
        <row r="1139">
          <cell r="A1139">
            <v>1139</v>
          </cell>
        </row>
        <row r="1140">
          <cell r="A1140">
            <v>1140</v>
          </cell>
        </row>
        <row r="1141">
          <cell r="A1141">
            <v>1141</v>
          </cell>
        </row>
        <row r="1142">
          <cell r="A1142">
            <v>1142</v>
          </cell>
        </row>
        <row r="1143">
          <cell r="A1143">
            <v>1143</v>
          </cell>
        </row>
        <row r="1144">
          <cell r="A1144">
            <v>1144</v>
          </cell>
        </row>
        <row r="1145">
          <cell r="A1145">
            <v>1145</v>
          </cell>
        </row>
        <row r="1146">
          <cell r="A1146">
            <v>1146</v>
          </cell>
        </row>
        <row r="1147">
          <cell r="A1147">
            <v>1147</v>
          </cell>
        </row>
        <row r="1148">
          <cell r="A1148">
            <v>1148</v>
          </cell>
        </row>
        <row r="1149">
          <cell r="A1149">
            <v>1149</v>
          </cell>
        </row>
        <row r="1150">
          <cell r="A1150">
            <v>1150</v>
          </cell>
        </row>
        <row r="1151">
          <cell r="A1151">
            <v>1151</v>
          </cell>
        </row>
        <row r="1152">
          <cell r="A1152">
            <v>1152</v>
          </cell>
        </row>
        <row r="1153">
          <cell r="A1153">
            <v>1153</v>
          </cell>
        </row>
        <row r="1154">
          <cell r="A1154">
            <v>1154</v>
          </cell>
        </row>
        <row r="1155">
          <cell r="A1155">
            <v>1155</v>
          </cell>
        </row>
        <row r="1156">
          <cell r="A1156">
            <v>1156</v>
          </cell>
        </row>
        <row r="1157">
          <cell r="A1157">
            <v>1157</v>
          </cell>
        </row>
        <row r="1158">
          <cell r="A1158">
            <v>1158</v>
          </cell>
        </row>
        <row r="1159">
          <cell r="A1159">
            <v>1159</v>
          </cell>
        </row>
        <row r="1160">
          <cell r="A1160">
            <v>1160</v>
          </cell>
        </row>
        <row r="1161">
          <cell r="A1161">
            <v>1161</v>
          </cell>
        </row>
        <row r="1162">
          <cell r="A1162">
            <v>1162</v>
          </cell>
        </row>
        <row r="1163">
          <cell r="A1163">
            <v>1163</v>
          </cell>
        </row>
        <row r="1164">
          <cell r="A1164">
            <v>1164</v>
          </cell>
        </row>
        <row r="1165">
          <cell r="A1165">
            <v>1165</v>
          </cell>
        </row>
        <row r="1166">
          <cell r="A1166">
            <v>1166</v>
          </cell>
        </row>
        <row r="1167">
          <cell r="A1167">
            <v>1167</v>
          </cell>
        </row>
        <row r="1168">
          <cell r="A1168">
            <v>1168</v>
          </cell>
        </row>
        <row r="1169">
          <cell r="A1169">
            <v>1169</v>
          </cell>
        </row>
        <row r="1170">
          <cell r="A1170">
            <v>1170</v>
          </cell>
        </row>
        <row r="1171">
          <cell r="A1171">
            <v>1171</v>
          </cell>
        </row>
        <row r="1172">
          <cell r="A1172">
            <v>1172</v>
          </cell>
        </row>
        <row r="1173">
          <cell r="A1173">
            <v>1173</v>
          </cell>
        </row>
        <row r="1174">
          <cell r="A1174">
            <v>1174</v>
          </cell>
        </row>
        <row r="1175">
          <cell r="A1175">
            <v>1175</v>
          </cell>
        </row>
        <row r="1176">
          <cell r="A1176">
            <v>1176</v>
          </cell>
        </row>
        <row r="1177">
          <cell r="A1177">
            <v>1177</v>
          </cell>
        </row>
        <row r="1178">
          <cell r="A1178">
            <v>1178</v>
          </cell>
        </row>
        <row r="1179">
          <cell r="A1179">
            <v>1179</v>
          </cell>
        </row>
        <row r="1180">
          <cell r="A1180">
            <v>1180</v>
          </cell>
        </row>
        <row r="1181">
          <cell r="A1181">
            <v>1181</v>
          </cell>
        </row>
        <row r="1182">
          <cell r="A1182">
            <v>1182</v>
          </cell>
        </row>
        <row r="1183">
          <cell r="A1183">
            <v>1183</v>
          </cell>
        </row>
        <row r="1184">
          <cell r="A1184">
            <v>1184</v>
          </cell>
        </row>
        <row r="1185">
          <cell r="A1185">
            <v>1185</v>
          </cell>
        </row>
        <row r="1186">
          <cell r="A1186">
            <v>1186</v>
          </cell>
        </row>
        <row r="1187">
          <cell r="A1187">
            <v>1187</v>
          </cell>
        </row>
        <row r="1188">
          <cell r="A1188">
            <v>1188</v>
          </cell>
        </row>
        <row r="1189">
          <cell r="A1189">
            <v>1189</v>
          </cell>
        </row>
        <row r="1190">
          <cell r="A1190">
            <v>1190</v>
          </cell>
        </row>
        <row r="1191">
          <cell r="A1191">
            <v>1191</v>
          </cell>
        </row>
        <row r="1192">
          <cell r="A1192">
            <v>1192</v>
          </cell>
        </row>
        <row r="1193">
          <cell r="A1193">
            <v>1193</v>
          </cell>
        </row>
        <row r="1194">
          <cell r="A1194">
            <v>1194</v>
          </cell>
        </row>
        <row r="1195">
          <cell r="A1195">
            <v>1195</v>
          </cell>
        </row>
        <row r="1196">
          <cell r="A1196">
            <v>1196</v>
          </cell>
        </row>
        <row r="1197">
          <cell r="A1197">
            <v>1197</v>
          </cell>
        </row>
        <row r="1198">
          <cell r="A1198">
            <v>1198</v>
          </cell>
        </row>
        <row r="1199">
          <cell r="A1199">
            <v>1199</v>
          </cell>
        </row>
        <row r="1200">
          <cell r="A1200">
            <v>1200</v>
          </cell>
        </row>
        <row r="1201">
          <cell r="A1201">
            <v>1201</v>
          </cell>
        </row>
        <row r="1202">
          <cell r="A1202">
            <v>1202</v>
          </cell>
        </row>
        <row r="1203">
          <cell r="A1203">
            <v>1203</v>
          </cell>
        </row>
        <row r="1204">
          <cell r="A1204">
            <v>1204</v>
          </cell>
        </row>
        <row r="1205">
          <cell r="A1205">
            <v>1205</v>
          </cell>
        </row>
        <row r="1206">
          <cell r="A1206">
            <v>1206</v>
          </cell>
        </row>
        <row r="1207">
          <cell r="A1207">
            <v>1207</v>
          </cell>
        </row>
        <row r="1208">
          <cell r="A1208">
            <v>1208</v>
          </cell>
        </row>
        <row r="1209">
          <cell r="A1209">
            <v>1209</v>
          </cell>
        </row>
        <row r="1210">
          <cell r="A1210">
            <v>1210</v>
          </cell>
        </row>
        <row r="1211">
          <cell r="A1211">
            <v>1211</v>
          </cell>
        </row>
        <row r="1212">
          <cell r="A1212">
            <v>1212</v>
          </cell>
        </row>
        <row r="1213">
          <cell r="A1213">
            <v>1213</v>
          </cell>
        </row>
        <row r="1214">
          <cell r="A1214">
            <v>1214</v>
          </cell>
        </row>
        <row r="1215">
          <cell r="A1215">
            <v>1215</v>
          </cell>
        </row>
        <row r="1216">
          <cell r="A1216">
            <v>1216</v>
          </cell>
        </row>
        <row r="1217">
          <cell r="A1217">
            <v>1217</v>
          </cell>
        </row>
        <row r="1218">
          <cell r="A1218">
            <v>1218</v>
          </cell>
        </row>
        <row r="1219">
          <cell r="A1219">
            <v>1219</v>
          </cell>
        </row>
        <row r="1220">
          <cell r="A1220">
            <v>1220</v>
          </cell>
        </row>
        <row r="1221">
          <cell r="A1221">
            <v>1221</v>
          </cell>
        </row>
        <row r="1222">
          <cell r="A1222">
            <v>1222</v>
          </cell>
        </row>
        <row r="1223">
          <cell r="A1223">
            <v>1223</v>
          </cell>
        </row>
        <row r="1224">
          <cell r="A1224">
            <v>1224</v>
          </cell>
        </row>
        <row r="1225">
          <cell r="A1225">
            <v>1225</v>
          </cell>
        </row>
        <row r="1226">
          <cell r="A1226">
            <v>1226</v>
          </cell>
        </row>
        <row r="1227">
          <cell r="A1227">
            <v>1227</v>
          </cell>
        </row>
        <row r="1228">
          <cell r="A1228">
            <v>1228</v>
          </cell>
        </row>
        <row r="1229">
          <cell r="A1229">
            <v>1229</v>
          </cell>
        </row>
        <row r="1230">
          <cell r="A1230">
            <v>1230</v>
          </cell>
        </row>
        <row r="1231">
          <cell r="A1231">
            <v>1231</v>
          </cell>
        </row>
        <row r="1232">
          <cell r="A1232">
            <v>1232</v>
          </cell>
        </row>
        <row r="1233">
          <cell r="A1233">
            <v>1233</v>
          </cell>
        </row>
        <row r="1234">
          <cell r="A1234">
            <v>1234</v>
          </cell>
        </row>
        <row r="1235">
          <cell r="A1235">
            <v>1235</v>
          </cell>
        </row>
        <row r="1236">
          <cell r="A1236">
            <v>1236</v>
          </cell>
        </row>
        <row r="1237">
          <cell r="A1237">
            <v>1237</v>
          </cell>
        </row>
        <row r="1238">
          <cell r="A1238">
            <v>1238</v>
          </cell>
        </row>
        <row r="1239">
          <cell r="A1239">
            <v>1239</v>
          </cell>
        </row>
        <row r="1240">
          <cell r="A1240">
            <v>1240</v>
          </cell>
        </row>
        <row r="1241">
          <cell r="A1241">
            <v>1241</v>
          </cell>
        </row>
        <row r="1242">
          <cell r="A1242">
            <v>1242</v>
          </cell>
        </row>
        <row r="1243">
          <cell r="A1243">
            <v>1243</v>
          </cell>
        </row>
        <row r="1244">
          <cell r="A1244">
            <v>1244</v>
          </cell>
        </row>
        <row r="1245">
          <cell r="A1245">
            <v>1245</v>
          </cell>
        </row>
        <row r="1246">
          <cell r="A1246">
            <v>1246</v>
          </cell>
        </row>
        <row r="1247">
          <cell r="A1247">
            <v>1247</v>
          </cell>
        </row>
        <row r="1248">
          <cell r="A1248">
            <v>1248</v>
          </cell>
        </row>
        <row r="1249">
          <cell r="A1249">
            <v>1249</v>
          </cell>
        </row>
        <row r="1250">
          <cell r="A1250">
            <v>1250</v>
          </cell>
        </row>
        <row r="1251">
          <cell r="A1251">
            <v>1251</v>
          </cell>
        </row>
        <row r="1252">
          <cell r="A1252">
            <v>1252</v>
          </cell>
        </row>
        <row r="1253">
          <cell r="A1253">
            <v>1253</v>
          </cell>
        </row>
        <row r="1254">
          <cell r="A1254">
            <v>1254</v>
          </cell>
        </row>
        <row r="1255">
          <cell r="A1255">
            <v>1255</v>
          </cell>
        </row>
        <row r="1256">
          <cell r="A1256">
            <v>1256</v>
          </cell>
        </row>
        <row r="1257">
          <cell r="A1257">
            <v>1257</v>
          </cell>
        </row>
        <row r="1258">
          <cell r="A1258">
            <v>1258</v>
          </cell>
        </row>
        <row r="1259">
          <cell r="A1259">
            <v>1259</v>
          </cell>
        </row>
        <row r="1260">
          <cell r="A1260">
            <v>1260</v>
          </cell>
        </row>
        <row r="1261">
          <cell r="A1261">
            <v>1261</v>
          </cell>
        </row>
        <row r="1262">
          <cell r="A1262">
            <v>1262</v>
          </cell>
        </row>
        <row r="1263">
          <cell r="A1263">
            <v>1263</v>
          </cell>
        </row>
        <row r="1264">
          <cell r="A1264">
            <v>1264</v>
          </cell>
        </row>
        <row r="1265">
          <cell r="A1265">
            <v>1265</v>
          </cell>
        </row>
        <row r="1266">
          <cell r="A1266">
            <v>1266</v>
          </cell>
        </row>
        <row r="1267">
          <cell r="A1267">
            <v>1267</v>
          </cell>
        </row>
        <row r="1268">
          <cell r="A1268">
            <v>1268</v>
          </cell>
        </row>
        <row r="1269">
          <cell r="A1269">
            <v>1269</v>
          </cell>
        </row>
        <row r="1270">
          <cell r="A1270">
            <v>1270</v>
          </cell>
        </row>
        <row r="1271">
          <cell r="A1271">
            <v>1271</v>
          </cell>
        </row>
        <row r="1272">
          <cell r="A1272">
            <v>1272</v>
          </cell>
        </row>
        <row r="1273">
          <cell r="A1273">
            <v>1273</v>
          </cell>
        </row>
        <row r="1274">
          <cell r="A1274">
            <v>1274</v>
          </cell>
        </row>
        <row r="1275">
          <cell r="A1275">
            <v>1275</v>
          </cell>
        </row>
        <row r="1276">
          <cell r="A1276">
            <v>1276</v>
          </cell>
        </row>
        <row r="1277">
          <cell r="A1277">
            <v>1277</v>
          </cell>
        </row>
        <row r="1278">
          <cell r="A1278">
            <v>1278</v>
          </cell>
        </row>
        <row r="1279">
          <cell r="A1279">
            <v>1279</v>
          </cell>
        </row>
        <row r="1280">
          <cell r="A1280">
            <v>1280</v>
          </cell>
        </row>
        <row r="1281">
          <cell r="A1281">
            <v>1281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>
        <row r="1">
          <cell r="A1" t="str">
            <v>단  종</v>
          </cell>
        </row>
      </sheetData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>
        <row r="1">
          <cell r="A1" t="str">
            <v>단  종</v>
          </cell>
        </row>
      </sheetData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/>
      <sheetData sheetId="818"/>
      <sheetData sheetId="819"/>
      <sheetData sheetId="820"/>
      <sheetData sheetId="821"/>
      <sheetData sheetId="822"/>
      <sheetData sheetId="823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/>
      <sheetData sheetId="933"/>
      <sheetData sheetId="934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/>
      <sheetData sheetId="1082"/>
      <sheetData sheetId="1083" refreshError="1"/>
      <sheetData sheetId="1084" refreshError="1"/>
      <sheetData sheetId="1085" refreshError="1"/>
      <sheetData sheetId="1086" refreshError="1"/>
      <sheetData sheetId="1087"/>
      <sheetData sheetId="1088"/>
      <sheetData sheetId="1089" refreshError="1"/>
      <sheetData sheetId="1090" refreshError="1"/>
      <sheetData sheetId="1091"/>
      <sheetData sheetId="1092"/>
      <sheetData sheetId="1093"/>
      <sheetData sheetId="1094" refreshError="1"/>
      <sheetData sheetId="1095" refreshError="1"/>
      <sheetData sheetId="1096"/>
      <sheetData sheetId="1097" refreshError="1"/>
      <sheetData sheetId="1098" refreshError="1"/>
      <sheetData sheetId="1099" refreshError="1"/>
      <sheetData sheetId="1100" refreshError="1"/>
      <sheetData sheetId="1101"/>
      <sheetData sheetId="1102" refreshError="1"/>
      <sheetData sheetId="1103" refreshError="1"/>
      <sheetData sheetId="1104" refreshError="1"/>
      <sheetData sheetId="1105" refreshError="1"/>
      <sheetData sheetId="1106"/>
      <sheetData sheetId="1107" refreshError="1"/>
      <sheetData sheetId="1108"/>
      <sheetData sheetId="1109"/>
      <sheetData sheetId="1110" refreshError="1"/>
      <sheetData sheetId="1111" refreshError="1"/>
      <sheetData sheetId="1112"/>
      <sheetData sheetId="1113"/>
      <sheetData sheetId="1114"/>
      <sheetData sheetId="1115" refreshError="1"/>
      <sheetData sheetId="1116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 refreshError="1"/>
      <sheetData sheetId="1169" refreshError="1"/>
      <sheetData sheetId="1170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RCE1"/>
      <sheetName val="단위수량"/>
      <sheetName val="가시설단위수량"/>
      <sheetName val="3BL공동구 수량"/>
      <sheetName val="2F 회의실견적(5_14 일대)"/>
      <sheetName val="TEL"/>
      <sheetName val="관람석제출"/>
      <sheetName val="부대대비"/>
      <sheetName val="냉연집계"/>
      <sheetName val="수량산출"/>
    </sheetNames>
    <sheetDataSet>
      <sheetData sheetId="0">
        <row r="1">
          <cell r="O1" t="str">
            <v>관경</v>
          </cell>
        </row>
      </sheetData>
      <sheetData sheetId="1">
        <row r="10">
          <cell r="C10">
            <v>0.1</v>
          </cell>
        </row>
      </sheetData>
      <sheetData sheetId="2">
        <row r="4">
          <cell r="A4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F 회의실견적(5_14 일대)"/>
      <sheetName val="SORCE1"/>
      <sheetName val="가시설단위수량"/>
      <sheetName val="단위수량"/>
      <sheetName val="3BL공동구 수량"/>
      <sheetName val="남양시작동자105노65기1.3화1.2"/>
      <sheetName val="관람석제출"/>
      <sheetName val="T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#REF"/>
      <sheetName val="Book2"/>
      <sheetName val="장비산출"/>
      <sheetName val="산거각호표"/>
      <sheetName val="기성현황판"/>
      <sheetName val="SORCE1"/>
      <sheetName val="가시설단위수량"/>
      <sheetName val="단위수량"/>
      <sheetName val="2F 회의실견적(5_14 일대)"/>
      <sheetName val="98수문일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#REF"/>
      <sheetName val="Book2"/>
      <sheetName val="장비산출"/>
      <sheetName val="산거각호표"/>
      <sheetName val="기성현황판"/>
      <sheetName val="SORCE1"/>
      <sheetName val="가시설단위수량"/>
      <sheetName val="단위수량"/>
      <sheetName val="2F 회의실견적(5_14 일대)"/>
      <sheetName val="98수문일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"/>
      <sheetName val="2.3x1.5"/>
      <sheetName val="BOX2.3X1.5"/>
      <sheetName val="시점부"/>
      <sheetName val="시점부신구접합"/>
      <sheetName val="시점부신구접합 (2)"/>
      <sheetName val="유입부"/>
      <sheetName val="BOX 유입부"/>
      <sheetName val="BOX유입부(1)"/>
      <sheetName val="1.2X1.2"/>
      <sheetName val="BOX(직선부)수량산출"/>
      <sheetName val="2.0x1.5"/>
      <sheetName val="BOX2.0X1.5"/>
      <sheetName val="종점부"/>
      <sheetName val="종점부 접합"/>
      <sheetName val="종점부 접합 (2)"/>
      <sheetName val="맨홀"/>
      <sheetName val="box맨홀"/>
      <sheetName val="1호맨홀가감수량"/>
      <sheetName val="가시설(TYPE-A)"/>
      <sheetName val="1-1평균터파기고(1)"/>
      <sheetName val="1호맨홀수량산출"/>
      <sheetName val="조도계산서 (도서)"/>
      <sheetName val="가시설단위수량"/>
      <sheetName val="SORCE1"/>
      <sheetName val="단위수량"/>
      <sheetName val="2F 회의실견적(5_14 일대)"/>
      <sheetName val="남양시작동자105노65기1.3화1.2"/>
      <sheetName val="3BL공동구 수량"/>
      <sheetName val="관람석제출"/>
      <sheetName val="중기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변압기용량"/>
      <sheetName val="전압조건"/>
      <sheetName val="전압(성남)"/>
      <sheetName val="부하조건"/>
      <sheetName val="부하(성남)"/>
      <sheetName val="조도계산서 (도서)"/>
      <sheetName val="1호맨홀가감수량"/>
      <sheetName val="가시설(TYPE-A)"/>
      <sheetName val="1-1평균터파기고(1)"/>
      <sheetName val="1호맨홀수량산출"/>
      <sheetName val="MOTOR"/>
      <sheetName val="SORCE1"/>
      <sheetName val="가시설단위수량"/>
      <sheetName val="단위수량"/>
      <sheetName val="2F 회의실견적(5_14 일대)"/>
      <sheetName val="남양시작동자105노65기1.3화1.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F 회의실견적(5_14 일대)"/>
      <sheetName val="일위대가목차"/>
      <sheetName val="6호기"/>
      <sheetName val="남양시작동자105노65기1.3화1.2"/>
      <sheetName val="직노"/>
      <sheetName val="조도계산서 (도서)"/>
      <sheetName val="3BL공동구 수량"/>
      <sheetName val="관람석제출"/>
      <sheetName val="TEL"/>
      <sheetName val="부대대비"/>
      <sheetName val="냉연집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당초변경"/>
      <sheetName val="신규"/>
      <sheetName val="신규-조경"/>
      <sheetName val="당초"/>
      <sheetName val="표지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N賃率-職"/>
      <sheetName val="Sheet1"/>
      <sheetName val="남양시작동자105노65기1.3화1.2"/>
      <sheetName val="조도계산서 (도서)"/>
      <sheetName val="SORCE1"/>
      <sheetName val="가시설단위수량"/>
      <sheetName val="단위수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당초변경"/>
      <sheetName val="신규"/>
      <sheetName val="신규-조경"/>
      <sheetName val="당초"/>
      <sheetName val="표지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N賃率-職"/>
      <sheetName val="Sheet1"/>
      <sheetName val="남양시작동자105노65기1.3화1.2"/>
      <sheetName val="조도계산서 (도서)"/>
      <sheetName val="SORCE1"/>
      <sheetName val="가시설단위수량"/>
      <sheetName val="단위수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승용 밋션별 &quot;1&quot;"/>
      <sheetName val="승용 밋션별 &quot;2&quot;"/>
      <sheetName val="승용 밋션별 &quot;3&quot;"/>
      <sheetName val="소상 &quot;1&quot;"/>
      <sheetName val="부하계산서"/>
      <sheetName val="변경내용"/>
      <sheetName val="숙박비"/>
      <sheetName val="중식대"/>
      <sheetName val="회의비"/>
      <sheetName val="특근.간담회비"/>
      <sheetName val="접대비"/>
      <sheetName val="교통비"/>
      <sheetName val="교통비 (2)"/>
      <sheetName val="정산서"/>
      <sheetName val="사내영수증"/>
      <sheetName val="전표철"/>
      <sheetName val="전표철 (2)"/>
      <sheetName val="총지출"/>
      <sheetName val="Sheet1"/>
      <sheetName val="Sheet2"/>
      <sheetName val="Sheet3"/>
      <sheetName val="수불내수"/>
      <sheetName val="COPING"/>
      <sheetName val="96수출"/>
      <sheetName val="인원01"/>
      <sheetName val="조도계산서 (도서)"/>
      <sheetName val="MOTOR"/>
      <sheetName val="가시설(TYPE-A)"/>
      <sheetName val="1호맨홀가감수량"/>
      <sheetName val="1-1평균터파기고(1)"/>
      <sheetName val="1호맨홀수량산출"/>
      <sheetName val="남양시작동자105노65기1.3화1.2"/>
      <sheetName val=""/>
      <sheetName val="우각부보강"/>
      <sheetName val="협조전"/>
      <sheetName val="#REF"/>
      <sheetName val="내역1"/>
      <sheetName val="p2-1"/>
      <sheetName val="Key assumption"/>
      <sheetName val="정부노임단가"/>
      <sheetName val="품의양식"/>
      <sheetName val="3BL공동구 수량"/>
      <sheetName val="관람석제출"/>
      <sheetName val="총괄표"/>
      <sheetName val="TEL"/>
      <sheetName val="정보(MCC)"/>
      <sheetName val="정보(HEI)"/>
      <sheetName val="major"/>
      <sheetName val="울산시산표"/>
      <sheetName val="0.1 KEY ASSUMPTIONS"/>
      <sheetName val="0. CONTROL"/>
      <sheetName val="자압"/>
      <sheetName val="회의비등"/>
      <sheetName val="핸드폰"/>
      <sheetName val="당숙직"/>
      <sheetName val="영수증1"/>
      <sheetName val="영수증2"/>
      <sheetName val="명단"/>
      <sheetName val="unit cost Bauteil 1"/>
      <sheetName val="unit cost Bauteil 2"/>
      <sheetName val="unit cost Bauteil 3"/>
      <sheetName val="unit cost Bauteil 4"/>
      <sheetName val="unit cost Bauteil 5"/>
      <sheetName val="TOT"/>
      <sheetName val="JUCK"/>
      <sheetName val="계열사현황종합"/>
      <sheetName val="신1"/>
      <sheetName val="일별1"/>
      <sheetName val="자압1"/>
      <sheetName val="94반성(Pnck)"/>
      <sheetName val="VALVE"/>
      <sheetName val="2.대외공문"/>
      <sheetName val="Macro2"/>
    </sheetNames>
    <definedNames>
      <definedName name="Macro10"/>
      <definedName name="Macro12"/>
      <definedName name="Macro13"/>
      <definedName name="Macro14"/>
      <definedName name="Macro2"/>
      <definedName name="Macro5"/>
      <definedName name="Macro6"/>
      <definedName name="Macro7"/>
      <definedName name="Macro8"/>
      <definedName name="Macro9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계산서(공사)-1"/>
      <sheetName val="총괄표"/>
      <sheetName val="내역서"/>
      <sheetName val="잔토량"/>
      <sheetName val="단위내역목록"/>
      <sheetName val="단위내역서"/>
      <sheetName val="단가비교표"/>
      <sheetName val="원가계산서(폐기물처리)"/>
      <sheetName val="폐기물내역"/>
      <sheetName val="폐기물처리비 "/>
      <sheetName val="N賃率-職"/>
      <sheetName val="서울기획2003"/>
      <sheetName val="Sheet1"/>
      <sheetName val="일위대가(긴급전화)"/>
      <sheetName val="자재단가표"/>
      <sheetName val="내역"/>
      <sheetName val="일위대가표"/>
      <sheetName val="인건비"/>
      <sheetName val="목차"/>
      <sheetName val="실내건축일위대가"/>
      <sheetName val="PAD TR보호대기초"/>
      <sheetName val="가로등기초"/>
      <sheetName val="HANDHOLE(2)"/>
      <sheetName val="조도계산서 (도서)"/>
      <sheetName val="MOTOR"/>
      <sheetName val="일위대가(가설)"/>
      <sheetName val="노임"/>
      <sheetName val="합천내역"/>
      <sheetName val="⑻동원인원산출서⑧"/>
      <sheetName val="9GNG운반"/>
    </sheetNames>
    <definedNames>
      <definedName name="Macro1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원가계산서"/>
      <sheetName val="내역서"/>
      <sheetName val="공내역서"/>
      <sheetName val="일위대가"/>
      <sheetName val="공일위대가"/>
      <sheetName val="인공산출서"/>
      <sheetName val="관급자재"/>
      <sheetName val="자재단가"/>
      <sheetName val="노임"/>
      <sheetName val="업체단가"/>
      <sheetName val="운반비"/>
      <sheetName val="중량산출서(애자류)"/>
      <sheetName val="중량산출서(전선류)"/>
      <sheetName val="중량산출서(철재)"/>
      <sheetName val="가설사무소"/>
      <sheetName val="가설사무소 (공)"/>
      <sheetName val="매곡역사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파이프류"/>
      <sheetName val="인건비"/>
      <sheetName val="일위대가(1)"/>
      <sheetName val="일위(PN)"/>
      <sheetName val="Sheet1"/>
      <sheetName val="1.수인터널"/>
      <sheetName val="조도계산서 (도서)"/>
    </sheetNames>
    <definedNames>
      <definedName name="Macro13"/>
      <definedName name="Macro2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6">
          <cell r="A6" t="str">
            <v>600V 비닐절연전선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grades pricing"/>
      <sheetName val="2.1 Reg Part Numbers"/>
      <sheetName val="2.2 Reg Part Numbers"/>
      <sheetName val="2.3 Reg Part Numbers"/>
      <sheetName val="2.1  pricing"/>
      <sheetName val="2.2  pricing"/>
      <sheetName val="2.3  pricing"/>
      <sheetName val="Upgradespricing"/>
      <sheetName val="기본계획"/>
      <sheetName val="소상 &quot;1&quot;"/>
      <sheetName val="ARC95PRC"/>
      <sheetName val="PriceMaster"/>
      <sheetName val="inputarea_ref"/>
      <sheetName val="Uplift"/>
      <sheetName val="11월가격"/>
      <sheetName val="Option"/>
      <sheetName val="T진도"/>
      <sheetName val="경"/>
      <sheetName val="Server"/>
      <sheetName val="9월가격"/>
      <sheetName val="Supplement2"/>
      <sheetName val="노임"/>
      <sheetName val="인건-측정"/>
      <sheetName val="COST"/>
      <sheetName val="Master"/>
      <sheetName val="GRACE"/>
      <sheetName val="Sheet1"/>
      <sheetName val="동원(3)"/>
      <sheetName val="예정(3)"/>
      <sheetName val="과천MAIN"/>
      <sheetName val="02년7월 옵션 가격표"/>
      <sheetName val="02년7월 서버 가격표"/>
      <sheetName val="Start"/>
      <sheetName val="DWDM 10M+SEC"/>
      <sheetName val="KASHTEO"/>
      <sheetName val="60명당사(총괄)"/>
      <sheetName val="가격"/>
      <sheetName val="노무비"/>
      <sheetName val="OPT"/>
      <sheetName val="list price"/>
      <sheetName val="SV"/>
      <sheetName val="수주월"/>
      <sheetName val="Lists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자재단가99년"/>
      <sheetName val="99년도9월"/>
      <sheetName val="2000년1월"/>
      <sheetName val="자재단가2000"/>
      <sheetName val="수문일위2000 "/>
      <sheetName val="Sheet1"/>
      <sheetName val="재료비"/>
      <sheetName val="비상비"/>
      <sheetName val="총괄"/>
      <sheetName val="현산잡철"/>
      <sheetName val="DATE"/>
      <sheetName val="소상 &quot;1&quot;"/>
      <sheetName val="현산지구2004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완성공사율"/>
      <sheetName val="과천MAIN"/>
      <sheetName val="NOMUBI"/>
      <sheetName val="노임"/>
      <sheetName val="소상 &quot;1&quot;"/>
      <sheetName val="new급여T(4을-운전)"/>
      <sheetName val="내역서"/>
      <sheetName val="Sheet1"/>
      <sheetName val="수량산출서"/>
      <sheetName val="공사DATA"/>
      <sheetName val="세부추진"/>
      <sheetName val="소상_&quot;1&quot;"/>
      <sheetName val="인건-측정"/>
      <sheetName val="061108"/>
      <sheetName val="우각부보강"/>
      <sheetName val="MOTOR"/>
      <sheetName val="TEL"/>
      <sheetName val="DATE"/>
      <sheetName val="__MAIN"/>
      <sheetName val="조건"/>
      <sheetName val="남양시작동자105노65기1.3화1.2"/>
      <sheetName val="조도계산서 (도서)"/>
      <sheetName val="가시설(TYPE-A)"/>
      <sheetName val="1호맨홀가감수량"/>
      <sheetName val="1-1평균터파기고(1)"/>
      <sheetName val="1호맨홀수량산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조건"/>
      <sheetName val="견적의뢰(타팀)"/>
      <sheetName val="공비"/>
      <sheetName val="원가"/>
      <sheetName val="일위대가"/>
      <sheetName val="Sheet1"/>
      <sheetName val="정공공사"/>
      <sheetName val="Upgrades pricing"/>
      <sheetName val="경상직원"/>
      <sheetName val="노임"/>
      <sheetName val="목록"/>
      <sheetName val="16-1"/>
      <sheetName val="소비자가"/>
      <sheetName val="내역서"/>
      <sheetName val="PIPE(UG)내역"/>
      <sheetName val="표지"/>
      <sheetName val="출금실적"/>
      <sheetName val="5.경상직원"/>
      <sheetName val="Piping Design Data"/>
      <sheetName val="A 견적"/>
      <sheetName val="터파기및재료"/>
      <sheetName val="내역"/>
      <sheetName val="4차원가계산서"/>
      <sheetName val="공사개요"/>
      <sheetName val="산출내역서집계표"/>
      <sheetName val="노임단가"/>
      <sheetName val="물가시세"/>
      <sheetName val="단가"/>
      <sheetName val="과천MAIN"/>
      <sheetName val="유림총괄"/>
      <sheetName val="H-PILE수량집계"/>
      <sheetName val="삼희오텔"/>
      <sheetName val="대차대조표"/>
      <sheetName val="견적공통"/>
      <sheetName val="평형공사비"/>
      <sheetName val="5_경상직원"/>
      <sheetName val="A_견적"/>
      <sheetName val="관람석제출"/>
      <sheetName val="36신설수량"/>
      <sheetName val="실행갑지"/>
      <sheetName val="40집계"/>
      <sheetName val="부대대비"/>
      <sheetName val="냉연집계"/>
      <sheetName val="48일위"/>
      <sheetName val="노임단가(2000하반기)"/>
      <sheetName val="257A1"/>
      <sheetName val="NOMUBI"/>
      <sheetName val="내역서 제출"/>
      <sheetName val="인건-측정"/>
      <sheetName val="DATE"/>
      <sheetName val="소상 &quot;1&quot;"/>
      <sheetName val="남양시작동자105노65기1.3화1.2"/>
      <sheetName val="조도계산서 (도서)"/>
      <sheetName val="개요"/>
      <sheetName val="工완성공사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8지급계획"/>
      <sheetName val="조건"/>
      <sheetName val="Upgrades pricing"/>
      <sheetName val="Sheet1"/>
      <sheetName val="NOMUBI"/>
      <sheetName val="DATE"/>
      <sheetName val="소상 &quot;1&quot;"/>
      <sheetName val="입력"/>
      <sheetName val="자재단가"/>
      <sheetName val="TEL"/>
      <sheetName val="자재테이블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성목차 (1)"/>
      <sheetName val="기성목차(본사)"/>
      <sheetName val="시설부기성집계"/>
      <sheetName val="작업목차"/>
      <sheetName val="시험장CCTV(동서쪽)"/>
      <sheetName val="시험장S자로가로등공사"/>
      <sheetName val="화성출고장"/>
      <sheetName val="A,B지역폐수자동제어공사"/>
      <sheetName val="시험장벨지안로"/>
      <sheetName val="B동전기실AIRCOMP"/>
      <sheetName val="배기동신축HOIST전원"/>
      <sheetName val="배기2동 인입공사견적건"/>
      <sheetName val="배기2동 인입공사견적건실행안"/>
      <sheetName val="배기2동 인입공사견적건실행안 (2)"/>
      <sheetName val="2001년도기성목차"/>
      <sheetName val="98지급계획"/>
      <sheetName val="조건"/>
      <sheetName val="Upgrades pricing"/>
      <sheetName val="Sheet1"/>
      <sheetName val="NOMUBI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대공종"/>
      <sheetName val="중공종"/>
      <sheetName val="소공종"/>
      <sheetName val="전력및동력배관"/>
      <sheetName val="전력및동력배선"/>
      <sheetName val="전력및동력기기"/>
      <sheetName val="전등공사배관"/>
      <sheetName val="전등공사배선"/>
      <sheetName val="전등공사기기"/>
      <sheetName val="전열배관"/>
      <sheetName val="전열배선"/>
      <sheetName val="전열기기"/>
      <sheetName val="피뢰배관"/>
      <sheetName val="피뢰배선"/>
      <sheetName val="피뢰기기"/>
      <sheetName val="방송설비배관"/>
      <sheetName val="방송설비배선"/>
      <sheetName val="방송설비기기"/>
      <sheetName val="방재배관"/>
      <sheetName val="방재배선"/>
      <sheetName val="방재기기"/>
      <sheetName val="일반관리비"/>
      <sheetName val="시험장S자로가로등공사"/>
      <sheetName val="98지급계획"/>
      <sheetName val="조건"/>
      <sheetName val="Upgrades pricing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량산출서"/>
      <sheetName val="내 역(120MM)"/>
      <sheetName val="내 역(180MM)"/>
      <sheetName val="Sheet2"/>
      <sheetName val="Sheet3"/>
      <sheetName val="대공종"/>
      <sheetName val="시험장S자로가로등공사"/>
      <sheetName val="98지급계획"/>
      <sheetName val="조건"/>
      <sheetName val="남양시작동자105노65기1.3화1.2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우수"/>
      <sheetName val="오수"/>
      <sheetName val="포장"/>
      <sheetName val="우수철근"/>
      <sheetName val="오수철근"/>
      <sheetName val="총수량 집계표"/>
      <sheetName val="총철근"/>
      <sheetName val="자재집게표 "/>
      <sheetName val="총수량집계표 "/>
      <sheetName val="총철근량집계표"/>
      <sheetName val="이음몰탈"/>
      <sheetName val="옹벽공 수량집계표"/>
      <sheetName val="철근집계표"/>
      <sheetName val="Sheet1"/>
      <sheetName val="#REF"/>
      <sheetName val="정부노임단가"/>
      <sheetName val="과천MAIN"/>
      <sheetName val="내역"/>
      <sheetName val="합계금액"/>
      <sheetName val="JUCKEYK"/>
      <sheetName val="노임"/>
      <sheetName val="5.전사투자계획종함안"/>
      <sheetName val="부하계산서"/>
      <sheetName val="태화42 "/>
      <sheetName val="기둥(원형)"/>
      <sheetName val="Q-ty-1"/>
      <sheetName val="내역서"/>
      <sheetName val="인건비"/>
      <sheetName val="직노"/>
      <sheetName val="대공종"/>
      <sheetName val="woo(mac)"/>
      <sheetName val="3.바닥판설계"/>
      <sheetName val="3차설계"/>
      <sheetName val="일위"/>
      <sheetName val="단가비교표"/>
      <sheetName val="설계조건"/>
      <sheetName val="工완성공사율"/>
      <sheetName val="인건-측정"/>
      <sheetName val="옹벽"/>
      <sheetName val="내역서적용수량 (지방도893)"/>
      <sheetName val="DATA"/>
      <sheetName val="빌딩 안내"/>
      <sheetName val="확정실적"/>
      <sheetName val="98지급계획"/>
      <sheetName val="ABUT수량-A1"/>
      <sheetName val="교각(P1)수량"/>
      <sheetName val="I一般比"/>
      <sheetName val="Sheet2"/>
      <sheetName val="실행철강하도"/>
      <sheetName val="POOM_MOTO"/>
      <sheetName val="POOM_MOTO2"/>
      <sheetName val="평가데이터"/>
      <sheetName val="COVER"/>
      <sheetName val="JUCK"/>
      <sheetName val="하수급견적대비"/>
      <sheetName val="Sheet1 (2)"/>
      <sheetName val="3BL공동구 수량"/>
      <sheetName val="8. 안정검토"/>
      <sheetName val="INPUT"/>
      <sheetName val="STBOX"/>
      <sheetName val="터널조도"/>
      <sheetName val="DATE"/>
      <sheetName val="착공내역서"/>
      <sheetName val="__MAIN"/>
      <sheetName val="전체도급"/>
      <sheetName val="수안보-MBR1"/>
      <sheetName val="기초자료"/>
      <sheetName val="단위중량"/>
      <sheetName val="터파기및재료"/>
      <sheetName val="부대내역"/>
      <sheetName val="03하반기내역서"/>
      <sheetName val="04상반기"/>
      <sheetName val="공사진행"/>
      <sheetName val="원형1호맨홀토공수량"/>
      <sheetName val="집수정(600-700)"/>
      <sheetName val="인원"/>
      <sheetName val="총수량집계표"/>
      <sheetName val="2000년1차"/>
      <sheetName val="입찰안"/>
      <sheetName val="2000전체분"/>
      <sheetName val="6PILE  (돌출)"/>
      <sheetName val="주형"/>
      <sheetName val="TOTAL_BOQ"/>
      <sheetName val="관경결정"/>
      <sheetName val="2-1포천(각세)(외제)"/>
      <sheetName val="플랜트 설치"/>
      <sheetName val="여흥"/>
      <sheetName val="도체종-상수표"/>
      <sheetName val="6작업1"/>
      <sheetName val="정부노임(2000.상)"/>
      <sheetName val="당초"/>
      <sheetName val="총계"/>
      <sheetName val="종배수관"/>
      <sheetName val="철근량 검토"/>
      <sheetName val="산근"/>
      <sheetName val="공종단가"/>
      <sheetName val="맨홀수량집계"/>
      <sheetName val="보도경계블럭"/>
      <sheetName val="IBASE"/>
      <sheetName val="말뚝기초"/>
      <sheetName val="토공분배표"/>
      <sheetName val="본체"/>
      <sheetName val="통합"/>
      <sheetName val="굴착깊이(주배관)"/>
      <sheetName val="오수공수량집계표"/>
      <sheetName val="연결임시"/>
      <sheetName val="¿ì¼ö"/>
      <sheetName val="¿À¼ö"/>
      <sheetName val="Æ÷Àå"/>
      <sheetName val="¿ì¼öÃ¶±Ù"/>
      <sheetName val="¿À¼öÃ¶±Ù"/>
      <sheetName val="ÃÑ¼ö·® Áý°èÇ¥"/>
      <sheetName val="ÃÑÃ¶±Ù"/>
      <sheetName val="ÀÚÀçÁý°ÔÇ¥ "/>
      <sheetName val="ÃÑ¼ö·®Áý°èÇ¥ "/>
      <sheetName val="ÃÑÃ¶±Ù·®Áý°èÇ¥"/>
      <sheetName val="ÀÌÀ½¸ôÅ»"/>
      <sheetName val="¿Ëº®°ø ¼ö·®Áý°èÇ¥"/>
      <sheetName val="Ã¶±ÙÁý°èÇ¥"/>
      <sheetName val="수량산출"/>
      <sheetName val="개요"/>
      <sheetName val="000000"/>
      <sheetName val="결합부검토"/>
      <sheetName val="MACRO(전선관)"/>
      <sheetName val="자료입력"/>
      <sheetName val="우수공"/>
      <sheetName val="조건표"/>
      <sheetName val="교각계산"/>
      <sheetName val="우각부보강"/>
      <sheetName val="H-PILE수량집계"/>
      <sheetName val="조명시설"/>
      <sheetName val="단면치수"/>
      <sheetName val="A공구"/>
      <sheetName val="1SPAN"/>
      <sheetName val="Piping Design Data"/>
      <sheetName val="을"/>
      <sheetName val="경희대"/>
      <sheetName val="일위대가"/>
      <sheetName val="맨홀방수수량(변경)"/>
      <sheetName val="Macro1"/>
      <sheetName val="Y-WORK"/>
      <sheetName val="sw1"/>
      <sheetName val="NOMUBI"/>
      <sheetName val="증감대비"/>
      <sheetName val="설명"/>
      <sheetName val="유기공정"/>
      <sheetName val="부하(성남)"/>
      <sheetName val="BID"/>
      <sheetName val="MOTOR"/>
      <sheetName val="토목품셈"/>
      <sheetName val="tggwan(mac)"/>
      <sheetName val="송도(A3)-가야"/>
      <sheetName val="옹벽수량집계표"/>
      <sheetName val="토공1차"/>
      <sheetName val="COPING"/>
      <sheetName val="Sheet6"/>
      <sheetName val="TYPE-A"/>
      <sheetName val="시공계획"/>
      <sheetName val="소상 &quot;1&quot;"/>
      <sheetName val="Project Brief"/>
      <sheetName val="PROCESS"/>
      <sheetName val="LU"/>
      <sheetName val="설비"/>
      <sheetName val="산출내역서"/>
      <sheetName val="견적-내역"/>
      <sheetName val="WORK"/>
      <sheetName val="문학터널-9255(관보고-실)"/>
      <sheetName val="물가시세"/>
      <sheetName val="기별(종합)"/>
      <sheetName val="조건"/>
      <sheetName val="적격"/>
      <sheetName val="가설건물"/>
      <sheetName val="날개벽"/>
      <sheetName val="하도급원가계산총괄표(식재)"/>
      <sheetName val="견적서(대외) (2)"/>
      <sheetName val="발주서류"/>
      <sheetName val="L_RPTA05_목록"/>
      <sheetName val="TYPE-B 평균H"/>
      <sheetName val="미지급명세서"/>
      <sheetName val="경리주보"/>
      <sheetName val="첨4"/>
      <sheetName val="교각1"/>
      <sheetName val="t형"/>
      <sheetName val="BOX"/>
      <sheetName val="PARAMETER"/>
      <sheetName val="LEGEND"/>
      <sheetName val="준공갑지"/>
      <sheetName val="Pier 3"/>
      <sheetName val="설"/>
      <sheetName val="001"/>
      <sheetName val="BSD _2_"/>
      <sheetName val="Stem Footing"/>
      <sheetName val="총수량_집계표"/>
      <sheetName val="자재집게표_"/>
      <sheetName val="총수량집계표_"/>
      <sheetName val="옹벽공_수량집계표"/>
      <sheetName val="3BL공동구_수량"/>
      <sheetName val="견적서(대외)_(2)"/>
      <sheetName val="내역서적용수량_(지방도893)"/>
      <sheetName val="Pier_3"/>
      <sheetName val="5_전사투자계획종함안"/>
      <sheetName val="3_바닥판설계"/>
      <sheetName val="태화42_"/>
      <sheetName val="BSD__2_"/>
      <sheetName val="Sheet1_(2)"/>
      <sheetName val="ÃÑ¼ö·®_Áý°èÇ¥"/>
      <sheetName val="ÀÚÀçÁý°ÔÇ¥_"/>
      <sheetName val="ÃÑ¼ö·®Áý°èÇ¥_"/>
      <sheetName val="¿Ëº®°ø_¼ö·®Áý°èÇ¥"/>
      <sheetName val="6PILE__(돌출)"/>
      <sheetName val="빌딩_안내"/>
      <sheetName val="Stem_Footing"/>
      <sheetName val="예정(3)"/>
      <sheetName val="동원(3)"/>
      <sheetName val="고창방향"/>
      <sheetName val="말뚝지지력산정"/>
      <sheetName val="화재 탐지 설비"/>
      <sheetName val="단면검토"/>
      <sheetName val="설직재-1"/>
      <sheetName val="제-노임"/>
      <sheetName val="제직재"/>
      <sheetName val="노무비"/>
      <sheetName val="교통대책내역"/>
      <sheetName val="O실보"/>
      <sheetName val="가도공"/>
      <sheetName val="사진대지"/>
      <sheetName val="토적집계"/>
      <sheetName val="ⴭⴭⴭⴭ"/>
      <sheetName val="2"/>
      <sheetName val="빗물받이(910-510-410)"/>
      <sheetName val="평당자료"/>
      <sheetName val="영업소실적"/>
      <sheetName val="건축공사"/>
      <sheetName val="개략"/>
      <sheetName val="3련 BOX"/>
      <sheetName val="실행비교"/>
      <sheetName val="2000노임기준"/>
      <sheetName val="노임단가"/>
      <sheetName val="전체내역 (2)"/>
      <sheetName val="날개벽(시점좌측)"/>
      <sheetName val="수로BOX"/>
      <sheetName val="수로단위수량"/>
      <sheetName val="계단단위수량"/>
      <sheetName val="TYPE-1"/>
      <sheetName val="1.설계기준"/>
      <sheetName val="설계예산서(출력하지마세요)"/>
      <sheetName val="수량"/>
      <sheetName val="보차도경계석"/>
      <sheetName val="신우"/>
      <sheetName val="날개벽수량표"/>
      <sheetName val="단계별내역 (2)"/>
      <sheetName val="참조"/>
      <sheetName val="참조 (2)"/>
      <sheetName val="단가"/>
      <sheetName val="금호산업"/>
      <sheetName val="예산서"/>
      <sheetName val="설계"/>
      <sheetName val="현금"/>
      <sheetName val="지출결의서(1-3)"/>
      <sheetName val="전기내역"/>
      <sheetName val="기초공"/>
      <sheetName val="변화치수"/>
      <sheetName val="산재 안전"/>
      <sheetName val="노무비 경비"/>
      <sheetName val="간지-배수공"/>
      <sheetName val="적정심사"/>
      <sheetName val="표지"/>
      <sheetName val="중기손료"/>
      <sheetName val="노원열병합  건축공사기성내역서"/>
      <sheetName val="공사개요"/>
      <sheetName val="적용단위길이"/>
      <sheetName val="종배수관(신)"/>
      <sheetName val="개발운영비청구"/>
      <sheetName val="0131"/>
      <sheetName val="자압1"/>
      <sheetName val="토목"/>
      <sheetName val="간지"/>
      <sheetName val="Total"/>
      <sheetName val="설계기준"/>
      <sheetName val="표지판단위"/>
      <sheetName val="바닥판"/>
      <sheetName val="자압"/>
      <sheetName val="969910( R)"/>
      <sheetName val="가공비"/>
      <sheetName val="기둥"/>
      <sheetName val="참조(2)"/>
      <sheetName val="guard(mac)"/>
      <sheetName val="기둥(하중)"/>
      <sheetName val="기성갑지"/>
      <sheetName val="수량3"/>
      <sheetName val="nys"/>
      <sheetName val="CRUDE RE-bar"/>
      <sheetName val="SELTDATA"/>
      <sheetName val="골조시행"/>
      <sheetName val="조도계산서 (도서)"/>
      <sheetName val="적점"/>
      <sheetName val="집계표"/>
      <sheetName val="내역표지"/>
      <sheetName val="c_balju"/>
      <sheetName val="신당동집계표"/>
      <sheetName val="품셈TABLE"/>
      <sheetName val="견적대비표"/>
      <sheetName val="갑지"/>
      <sheetName val="맨홀평균높이"/>
      <sheetName val="전기일위대가"/>
      <sheetName val="ilch"/>
      <sheetName val="부속동"/>
      <sheetName val="단가산출서"/>
      <sheetName val="기초계산(Pmax)"/>
      <sheetName val="단면가정"/>
      <sheetName val="설계내역서"/>
      <sheetName val="안정계산"/>
      <sheetName val="세목전체"/>
      <sheetName val="실행자재"/>
      <sheetName val="J直材4"/>
      <sheetName val="MFAB"/>
      <sheetName val="MFRT"/>
      <sheetName val="MPKG"/>
      <sheetName val="MPRD"/>
      <sheetName val="3.공통공사대비"/>
      <sheetName val="특별교실"/>
      <sheetName val="L형옹벽측구"/>
      <sheetName val="FOOTING단면력"/>
      <sheetName val="토공(우물통,기타) "/>
      <sheetName val="기준액"/>
      <sheetName val="토사(PE)"/>
      <sheetName val="진로도급"/>
      <sheetName val="수량집계"/>
      <sheetName val="제잡비집계"/>
      <sheetName val="조작대(1연)"/>
      <sheetName val="지급자재"/>
      <sheetName val="단위수량"/>
      <sheetName val="가시설수량"/>
      <sheetName val="대창(함평)"/>
      <sheetName val="99노임기준"/>
      <sheetName val="단가대비표"/>
      <sheetName val="메크로 연습"/>
      <sheetName val="교대토공종점"/>
      <sheetName val="8.PILE  (돌출)"/>
      <sheetName val="가시설(3.0m이하 D80)"/>
      <sheetName val="사용성검토"/>
      <sheetName val="현황산출서"/>
      <sheetName val="옹벽기초자료"/>
      <sheetName val="방음벽기초"/>
      <sheetName val="1을"/>
      <sheetName val="H PILE수량"/>
      <sheetName val="A-4"/>
      <sheetName val="시험장S자로가로등공사"/>
      <sheetName val="통과가능량(수로) (2)"/>
      <sheetName val="J형측구단위수량"/>
      <sheetName val="매입세율"/>
      <sheetName val="역T형옹벽(3.0)"/>
      <sheetName val="토공A"/>
      <sheetName val="Sheet17"/>
      <sheetName val="토공(완충)"/>
      <sheetName val="단면 (2)"/>
      <sheetName val="강재집계(오수관정비)"/>
      <sheetName val="흙막이 집계"/>
      <sheetName val="가시설토공집계"/>
      <sheetName val="가시설 토공"/>
      <sheetName val="조립식PC맨홀높이"/>
      <sheetName val="A-LINE"/>
      <sheetName val="B-LINE"/>
      <sheetName val="C-LINE"/>
      <sheetName val="D-LINE"/>
      <sheetName val="E-LINE"/>
      <sheetName val="E1-LINE"/>
      <sheetName val="VXXXXXXX"/>
      <sheetName val="U형수로(1)"/>
      <sheetName val="3.하중산정4.지지력"/>
      <sheetName val="견적보고"/>
      <sheetName val="TC표지"/>
      <sheetName val="충주"/>
      <sheetName val="BQ(실행)"/>
      <sheetName val="택지성격총괄"/>
      <sheetName val="횡분배정리(DB)"/>
      <sheetName val="BOX(1.5X1.5)"/>
      <sheetName val="5.모델링"/>
      <sheetName val="금액내역서"/>
      <sheetName val="건축집계합계"/>
      <sheetName val="건축집계표이수"/>
      <sheetName val="당정동공통이수"/>
      <sheetName val="당정동경상이수"/>
      <sheetName val="마포토정"/>
      <sheetName val="데이타"/>
      <sheetName val="대가표(품셈)"/>
      <sheetName val="RAHMEN"/>
      <sheetName val="48일위"/>
      <sheetName val="산출기초"/>
      <sheetName val="인원투입계획(실행)"/>
      <sheetName val="경상비내역"/>
      <sheetName val="부대비내역"/>
      <sheetName val="대창(장성)"/>
      <sheetName val="대창(함평)-창열"/>
      <sheetName val="트렌치집계"/>
      <sheetName val="배력철근산정"/>
      <sheetName val="토적계산서(505)"/>
      <sheetName val="규준틀"/>
      <sheetName val="흙쌓기도수로설치현황"/>
      <sheetName val="1-1"/>
      <sheetName val="맨홀수량산출"/>
      <sheetName val="횡수량조서"/>
      <sheetName val="총괄내역서"/>
      <sheetName val="Macro2"/>
      <sheetName val="소비자가"/>
      <sheetName val="20변경안"/>
      <sheetName val="2.2.2입적표"/>
      <sheetName val="연결관암거"/>
      <sheetName val="전기설계변경"/>
      <sheetName val="건축내역서"/>
      <sheetName val="설비내역서"/>
      <sheetName val="전기내역서"/>
      <sheetName val="BSD (2)"/>
      <sheetName val="데리네이타현황"/>
      <sheetName val="재료비"/>
      <sheetName val="을 2"/>
      <sheetName val="을 1"/>
      <sheetName val="구조물공1(51~56)"/>
      <sheetName val="부대공1(65-77,93-95)"/>
      <sheetName val="부대공2(78-"/>
      <sheetName val="배수및구조물공1"/>
      <sheetName val="구조물토공"/>
      <sheetName val="토공2(11~19)"/>
      <sheetName val="배수및구조물공2"/>
      <sheetName val="토공1(1~10,92)"/>
      <sheetName val="토공3(20~31)"/>
      <sheetName val="기계경비"/>
      <sheetName val="기계경비 (2)"/>
      <sheetName val="이토변실(A3-LINE)"/>
      <sheetName val="Formulas &amp; Tables"/>
      <sheetName val="C"/>
      <sheetName val="입력DATA"/>
      <sheetName val="화산경계"/>
      <sheetName val="RD제품개발투자비(매가)"/>
      <sheetName val="특2호하천산근"/>
      <sheetName val="특2호부관하천산근"/>
      <sheetName val="예방접종계획"/>
      <sheetName val="버스운행안내"/>
      <sheetName val="근태계획서"/>
      <sheetName val="중기일위대가"/>
      <sheetName val="b_balju_cho"/>
      <sheetName val="CALCULATION"/>
      <sheetName val="일위대가(계측기설치)"/>
      <sheetName val="암거단위"/>
      <sheetName val="1차배부(JB포함)"/>
      <sheetName val="연습장소"/>
      <sheetName val="CONCRETE"/>
      <sheetName val="전기"/>
      <sheetName val="신축이음-패턴1,2,3,4,5"/>
      <sheetName val="역T형교대(말뚝기초)"/>
      <sheetName val="부재력정리"/>
      <sheetName val="wall"/>
      <sheetName val="VXXXXX"/>
      <sheetName val="PLC B-M"/>
      <sheetName val="견적서"/>
      <sheetName val="PCSDB1"/>
      <sheetName val="고객_ONE그래프"/>
      <sheetName val="PCSDB2"/>
      <sheetName val="PUSDB1"/>
      <sheetName val="과금_ONE그래프"/>
      <sheetName val="PUSDB2"/>
      <sheetName val="PUSDB3"/>
      <sheetName val="PUSDB4"/>
      <sheetName val="본장"/>
      <sheetName val="Sheet3"/>
      <sheetName val="장비집계"/>
      <sheetName val="1호맨홀토공"/>
      <sheetName val="흄관기초"/>
      <sheetName val="ITEM"/>
      <sheetName val="Data&amp;Result"/>
      <sheetName val="공사비집계"/>
      <sheetName val="투찰"/>
      <sheetName val="Baby일위대가"/>
      <sheetName val="일위(PN)"/>
      <sheetName val="품셈"/>
      <sheetName val="일반수량집계"/>
      <sheetName val="자재대"/>
      <sheetName val="사급자재"/>
      <sheetName val="각종단가"/>
      <sheetName val="노무비단가"/>
      <sheetName val="안양1공구_건축"/>
      <sheetName val="건축공사실행"/>
      <sheetName val="YM-IL1"/>
      <sheetName val="현장경비"/>
      <sheetName val="을지"/>
      <sheetName val="카렌스센터계량기설치공사"/>
      <sheetName val="일위대가(가설)"/>
      <sheetName val="기계설비"/>
      <sheetName val="후다"/>
      <sheetName val="건축원가"/>
      <sheetName val="총괄"/>
      <sheetName val="일반공사"/>
      <sheetName val="I.설계조건"/>
      <sheetName val="도급기성"/>
      <sheetName val="6호기"/>
      <sheetName val=" 갑  지 "/>
      <sheetName val="배관"/>
      <sheetName val="차액보증"/>
      <sheetName val="일위대가표"/>
      <sheetName val="경비_원본"/>
      <sheetName val="일위대가(건축)"/>
      <sheetName val="적용건축"/>
      <sheetName val="1F"/>
      <sheetName val="암거날개벽재료집계"/>
      <sheetName val="UR2-Calculation"/>
      <sheetName val="1.설계조건"/>
      <sheetName val="진주방향"/>
      <sheetName val="신표지1"/>
      <sheetName val="Sheet5"/>
      <sheetName val="대비"/>
      <sheetName val="프로젝트"/>
      <sheetName val="SAKUB"/>
      <sheetName val="실행"/>
      <sheetName val="링크해지용"/>
      <sheetName val="가설공사내역"/>
      <sheetName val="401"/>
      <sheetName val="200"/>
      <sheetName val="FAB별"/>
      <sheetName val="POST COL. 일위대가_호표"/>
      <sheetName val="INSTR"/>
      <sheetName val="산정표"/>
      <sheetName val="예정_3_"/>
      <sheetName val="동원_3_"/>
      <sheetName val="A2"/>
      <sheetName val="건축내역"/>
      <sheetName val="기계공사"/>
      <sheetName val="인원투입계획"/>
      <sheetName val="C.배수관공"/>
      <sheetName val="분양원가"/>
      <sheetName val="공통단가"/>
      <sheetName val="운반비"/>
      <sheetName val="매출예산96"/>
      <sheetName val="제원"/>
      <sheetName val="(2)"/>
      <sheetName val="조서(서산시)"/>
      <sheetName val="횡단보도"/>
      <sheetName val="방지턱도색"/>
      <sheetName val="노면표시"/>
      <sheetName val="자재집계표"/>
      <sheetName val="네트워크 RTK 체크리스트"/>
      <sheetName val="수량및공량집계"/>
      <sheetName val="터파기"/>
      <sheetName val="현황CODE"/>
      <sheetName val="손익현황"/>
      <sheetName val="BCK3672"/>
      <sheetName val="구체"/>
      <sheetName val="좌측날개벽"/>
      <sheetName val="우측날개벽"/>
      <sheetName val="SLAB"/>
      <sheetName val="우배수"/>
      <sheetName val="계산식"/>
    </sheetNames>
    <sheetDataSet>
      <sheetData sheetId="0" refreshError="1">
        <row r="1">
          <cell r="A1" t="str">
            <v>공       종</v>
          </cell>
          <cell r="B1" t="str">
            <v>규    격</v>
          </cell>
          <cell r="C1" t="str">
            <v>단위</v>
          </cell>
          <cell r="D1" t="str">
            <v>단위</v>
          </cell>
          <cell r="E1" t="str">
            <v xml:space="preserve">       맨              홀                     </v>
          </cell>
          <cell r="F1" t="str">
            <v xml:space="preserve">P.E </v>
          </cell>
          <cell r="G1" t="str">
            <v>흄                         관</v>
          </cell>
          <cell r="H1" t="str">
            <v>P.E 빗물받이</v>
          </cell>
          <cell r="I1" t="str">
            <v xml:space="preserve">P.E </v>
          </cell>
          <cell r="J1" t="str">
            <v>흄                         관</v>
          </cell>
          <cell r="K1">
            <v>0</v>
          </cell>
          <cell r="L1">
            <v>0</v>
          </cell>
          <cell r="M1">
            <v>0</v>
          </cell>
          <cell r="N1" t="str">
            <v>D.C PIPE</v>
          </cell>
          <cell r="O1">
            <v>0</v>
          </cell>
          <cell r="P1" t="str">
            <v>계</v>
          </cell>
        </row>
        <row r="2">
          <cell r="E2" t="str">
            <v>Φ900</v>
          </cell>
          <cell r="F2" t="str">
            <v>Φ1200</v>
          </cell>
          <cell r="G2" t="str">
            <v>Φ1500</v>
          </cell>
          <cell r="H2" t="str">
            <v>940x510x410</v>
          </cell>
          <cell r="I2" t="str">
            <v xml:space="preserve"> 홈통받이</v>
          </cell>
          <cell r="J2" t="str">
            <v>D450</v>
          </cell>
          <cell r="K2" t="str">
            <v>D500</v>
          </cell>
          <cell r="L2" t="str">
            <v>D600</v>
          </cell>
          <cell r="M2" t="str">
            <v>D700</v>
          </cell>
          <cell r="N2" t="str">
            <v>Φ150</v>
          </cell>
          <cell r="O2" t="str">
            <v>Φ250</v>
          </cell>
        </row>
        <row r="3">
          <cell r="A3" t="str">
            <v>수     량</v>
          </cell>
          <cell r="B3" t="str">
            <v>8EA</v>
          </cell>
          <cell r="C3" t="str">
            <v>15EA</v>
          </cell>
          <cell r="D3" t="str">
            <v>4EA</v>
          </cell>
          <cell r="E3" t="str">
            <v>8EA</v>
          </cell>
          <cell r="F3" t="str">
            <v>15EA</v>
          </cell>
          <cell r="G3" t="str">
            <v>4EA</v>
          </cell>
          <cell r="H3" t="str">
            <v>74EA</v>
          </cell>
          <cell r="I3" t="str">
            <v>10 EA</v>
          </cell>
          <cell r="J3" t="str">
            <v>405.00 M</v>
          </cell>
          <cell r="K3" t="str">
            <v>117.5M</v>
          </cell>
          <cell r="L3" t="str">
            <v>132.5M</v>
          </cell>
          <cell r="M3" t="str">
            <v>140.00M</v>
          </cell>
          <cell r="N3" t="str">
            <v>106.00M</v>
          </cell>
          <cell r="O3" t="str">
            <v>593.00M</v>
          </cell>
        </row>
        <row r="4">
          <cell r="A4" t="str">
            <v>콘크리트</v>
          </cell>
          <cell r="B4" t="str">
            <v>σck=210㎏/㎠</v>
          </cell>
          <cell r="C4" t="str">
            <v>M3</v>
          </cell>
          <cell r="D4" t="str">
            <v>M3</v>
          </cell>
        </row>
        <row r="5">
          <cell r="B5" t="str">
            <v>σck=180㎏/㎠</v>
          </cell>
          <cell r="C5" t="str">
            <v>M3</v>
          </cell>
          <cell r="D5" t="str">
            <v>M3</v>
          </cell>
        </row>
        <row r="6">
          <cell r="B6" t="str">
            <v>σck=135㎏/㎠</v>
          </cell>
          <cell r="C6" t="str">
            <v>M3</v>
          </cell>
          <cell r="D6" t="str">
            <v>M3</v>
          </cell>
        </row>
        <row r="7">
          <cell r="A7" t="str">
            <v>거푸집</v>
          </cell>
          <cell r="B7" t="str">
            <v>P.E 10 회</v>
          </cell>
          <cell r="C7" t="str">
            <v>M2</v>
          </cell>
          <cell r="D7" t="str">
            <v>M2</v>
          </cell>
        </row>
        <row r="8">
          <cell r="B8" t="str">
            <v>목재 4 회</v>
          </cell>
          <cell r="C8" t="str">
            <v>M2</v>
          </cell>
          <cell r="D8" t="str">
            <v>M2</v>
          </cell>
        </row>
        <row r="9">
          <cell r="B9" t="str">
            <v>합판6회</v>
          </cell>
          <cell r="C9" t="str">
            <v>M2</v>
          </cell>
          <cell r="D9" t="str">
            <v>M2</v>
          </cell>
        </row>
        <row r="10">
          <cell r="A10" t="str">
            <v>흄    관</v>
          </cell>
          <cell r="B10" t="str">
            <v>D 450</v>
          </cell>
          <cell r="C10" t="str">
            <v>M</v>
          </cell>
          <cell r="D10" t="str">
            <v>M</v>
          </cell>
        </row>
        <row r="11">
          <cell r="B11" t="str">
            <v>D 500</v>
          </cell>
          <cell r="C11" t="str">
            <v>M</v>
          </cell>
          <cell r="D11" t="str">
            <v>M</v>
          </cell>
        </row>
        <row r="12">
          <cell r="B12" t="str">
            <v>D 600</v>
          </cell>
          <cell r="C12" t="str">
            <v>M</v>
          </cell>
          <cell r="D12" t="str">
            <v>M</v>
          </cell>
        </row>
        <row r="13">
          <cell r="B13" t="str">
            <v>D 700</v>
          </cell>
          <cell r="C13" t="str">
            <v>M</v>
          </cell>
          <cell r="D13" t="str">
            <v>M</v>
          </cell>
        </row>
        <row r="14">
          <cell r="A14" t="str">
            <v>토  공</v>
          </cell>
          <cell r="B14" t="str">
            <v>터 파 기</v>
          </cell>
          <cell r="C14" t="str">
            <v>M3</v>
          </cell>
          <cell r="D14" t="str">
            <v>M3</v>
          </cell>
        </row>
        <row r="15">
          <cell r="B15" t="str">
            <v>잔   토</v>
          </cell>
          <cell r="C15" t="str">
            <v>M3</v>
          </cell>
          <cell r="D15" t="str">
            <v>M3</v>
          </cell>
        </row>
        <row r="16">
          <cell r="B16" t="str">
            <v>되메우기</v>
          </cell>
          <cell r="C16" t="str">
            <v>M3</v>
          </cell>
          <cell r="D16" t="str">
            <v>M3</v>
          </cell>
        </row>
        <row r="17">
          <cell r="A17" t="str">
            <v>P.E 빗물받이</v>
          </cell>
          <cell r="B17" t="str">
            <v>940x510x410</v>
          </cell>
          <cell r="C17" t="str">
            <v>EA</v>
          </cell>
          <cell r="D17" t="str">
            <v>EA</v>
          </cell>
        </row>
        <row r="18">
          <cell r="A18" t="str">
            <v>빗물받이뚜껑</v>
          </cell>
          <cell r="B18" t="str">
            <v>495x395x50</v>
          </cell>
          <cell r="C18" t="str">
            <v>EA</v>
          </cell>
          <cell r="D18" t="str">
            <v>EA</v>
          </cell>
        </row>
        <row r="19">
          <cell r="A19" t="str">
            <v>사 다 리</v>
          </cell>
          <cell r="B19" t="str">
            <v>D19</v>
          </cell>
          <cell r="C19" t="str">
            <v>TON</v>
          </cell>
          <cell r="D19" t="str">
            <v>TON</v>
          </cell>
        </row>
        <row r="20">
          <cell r="A20" t="str">
            <v>홈통받이</v>
          </cell>
          <cell r="B20" t="str">
            <v>D 430</v>
          </cell>
          <cell r="C20" t="str">
            <v>EA</v>
          </cell>
          <cell r="D20" t="str">
            <v>EA</v>
          </cell>
        </row>
        <row r="21">
          <cell r="A21" t="str">
            <v>맨홀뚜껑</v>
          </cell>
          <cell r="B21" t="str">
            <v>주철제 Φ648</v>
          </cell>
          <cell r="C21" t="str">
            <v>EA</v>
          </cell>
          <cell r="D21" t="str">
            <v>EA</v>
          </cell>
        </row>
        <row r="22">
          <cell r="A22" t="str">
            <v>이음몰탈</v>
          </cell>
          <cell r="B22" t="str">
            <v>1 : 3</v>
          </cell>
          <cell r="C22" t="str">
            <v>M3</v>
          </cell>
          <cell r="D22" t="str">
            <v>M3</v>
          </cell>
        </row>
        <row r="23">
          <cell r="B23" t="str">
            <v>1 : 2</v>
          </cell>
          <cell r="C23" t="str">
            <v>M3</v>
          </cell>
          <cell r="D23" t="str">
            <v>M3</v>
          </cell>
        </row>
        <row r="24">
          <cell r="A24" t="str">
            <v>D.C PIPE</v>
          </cell>
          <cell r="B24" t="str">
            <v>Φ150M/M</v>
          </cell>
          <cell r="C24" t="str">
            <v>M</v>
          </cell>
          <cell r="D24" t="str">
            <v>M</v>
          </cell>
        </row>
        <row r="25">
          <cell r="B25" t="str">
            <v>Φ250M/M</v>
          </cell>
          <cell r="C25" t="str">
            <v>M</v>
          </cell>
          <cell r="D25" t="str">
            <v>M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구분</v>
          </cell>
        </row>
      </sheetData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 refreshError="1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표지"/>
      <sheetName val="갑지"/>
      <sheetName val="총괄내역서(을지)"/>
      <sheetName val="집계표(병지)"/>
      <sheetName val="내역(정지)"/>
      <sheetName val="자재목록"/>
      <sheetName val="노임목록"/>
      <sheetName val="계정"/>
      <sheetName val="대공종"/>
      <sheetName val="2.대외공문"/>
      <sheetName val="시험장S자로가로등공사"/>
      <sheetName val="98지급계획"/>
      <sheetName val="LANGUAGE"/>
      <sheetName val="우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"/>
      <sheetName val="갑지 "/>
      <sheetName val="남양구조시험동 (할증인건비65대가해체)"/>
      <sheetName val="남양구조시험동"/>
      <sheetName val="남양구조시험동010618"/>
      <sheetName val="LANGUAGE"/>
      <sheetName val="내역(정지)"/>
      <sheetName val="DATA"/>
      <sheetName val="DATE"/>
      <sheetName val="계정"/>
      <sheetName val="2.대외공문"/>
      <sheetName val="대공종"/>
      <sheetName val="시험장S자로가로등공사"/>
      <sheetName val="98지급계획"/>
      <sheetName val="Sheet1"/>
      <sheetName val="총괄표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0년1월"/>
      <sheetName val="자동비보수"/>
      <sheetName val="DATE"/>
      <sheetName val="내역(정지)"/>
      <sheetName val="계정"/>
      <sheetName val="2.대외공문"/>
      <sheetName val="대공종"/>
      <sheetName val="시험장S자로가로등공사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대외공문"/>
      <sheetName val="남양구조시험동"/>
      <sheetName val="DATE"/>
      <sheetName val="내역(정지)"/>
      <sheetName val="계정"/>
      <sheetName val="대공종"/>
      <sheetName val="노임단가"/>
      <sheetName val="견적을지"/>
      <sheetName val="Sheet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노임단가"/>
      <sheetName val="YES"/>
      <sheetName val="MOTOR"/>
      <sheetName val="XXXXXX"/>
      <sheetName val="호계"/>
      <sheetName val="제암"/>
      <sheetName val="월마트"/>
      <sheetName val="월드컵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특별교실"/>
      <sheetName val="기숙사"/>
      <sheetName val="화장실"/>
      <sheetName val="총집계-1"/>
      <sheetName val="총집계-2"/>
      <sheetName val="원가-1"/>
      <sheetName val="원가-2"/>
      <sheetName val="표지"/>
      <sheetName val="변경사유"/>
      <sheetName val="가옥조명원가계"/>
      <sheetName val="가옥조명내역서"/>
      <sheetName val="산출집계"/>
      <sheetName val="산출근거서"/>
      <sheetName val="신규품목"/>
      <sheetName val="수량표지"/>
      <sheetName val="공구손료"/>
      <sheetName val="4월 실적추정(건축+토목)"/>
      <sheetName val="4월 실적추정(건축)"/>
      <sheetName val="기안"/>
      <sheetName val="갑지"/>
      <sheetName val="견적서"/>
      <sheetName val="내역서"/>
      <sheetName val="VXXXX"/>
      <sheetName val="VXXXXX"/>
      <sheetName val="1.수변전설비"/>
      <sheetName val="2.전력간선"/>
      <sheetName val="3.동력"/>
      <sheetName val="4.전등"/>
      <sheetName val="5.전열"/>
      <sheetName val="6.약전"/>
      <sheetName val="7.소방"/>
      <sheetName val="8.방송"/>
      <sheetName val="9.조명제어"/>
      <sheetName val="10.철거공사"/>
      <sheetName val="N賃率-職"/>
      <sheetName val="간선계산"/>
      <sheetName val="원가계산"/>
      <sheetName val="1.전차선조정"/>
      <sheetName val="2.조가선조정"/>
      <sheetName val="3.급전선신설"/>
      <sheetName val="4.급전선철거"/>
      <sheetName val="5.고배선철거"/>
      <sheetName val="6.고압케이블신설"/>
      <sheetName val="7.비절연선조정"/>
      <sheetName val="8.가동브래키트이설"/>
      <sheetName val="9.H형강주신설(9m)"/>
      <sheetName val="10.강관주신설(9m)"/>
      <sheetName val="11.H강주철거(11m)"/>
      <sheetName val="11.H형강기초"/>
      <sheetName val="13.강관주기초"/>
      <sheetName val="14.장력조정장치신설"/>
      <sheetName val="15.장력조정장치철거   "/>
      <sheetName val="16.콘주철거(9m)"/>
      <sheetName val="17.지선신설(보통)"/>
      <sheetName val="18.지선신설(v형)"/>
      <sheetName val="19.지선철거"/>
      <sheetName val="20.기중개폐기신설"/>
      <sheetName val="총괄"/>
      <sheetName val="단가비교표"/>
      <sheetName val="견적조건"/>
      <sheetName val="견적조건(을지)"/>
      <sheetName val="JUCK"/>
      <sheetName val="98지급계획"/>
      <sheetName val="남양시작동자105노65기1.3화1.2"/>
      <sheetName val="일반공사"/>
      <sheetName val="표지 (2)"/>
      <sheetName val="제-노임"/>
      <sheetName val="제직재"/>
      <sheetName val="노무비"/>
      <sheetName val="을지"/>
      <sheetName val="일위대가"/>
      <sheetName val="을"/>
      <sheetName val="FILE1"/>
      <sheetName val="DATA"/>
      <sheetName val="전선 및 전선관"/>
      <sheetName val="매립"/>
      <sheetName val="ITEM"/>
      <sheetName val="기초단가"/>
      <sheetName val="대구실행"/>
      <sheetName val="Baby일위대가"/>
      <sheetName val="0.집계"/>
      <sheetName val="1.수변전설비공사"/>
      <sheetName val="입찰안"/>
      <sheetName val="부하계산서"/>
      <sheetName val="단가산출"/>
      <sheetName val="일위대가(가설)"/>
      <sheetName val="손익분석"/>
      <sheetName val="경상직원"/>
      <sheetName val="부대공Ⅱ"/>
      <sheetName val="설계내역서"/>
      <sheetName val="노임"/>
      <sheetName val="자재단가"/>
      <sheetName val="직노"/>
      <sheetName val="실행내역"/>
      <sheetName val="200"/>
      <sheetName val="MAIN_TABLE"/>
      <sheetName val="1.설계조건"/>
      <sheetName val="내역"/>
      <sheetName val="재료"/>
      <sheetName val="Macro1"/>
      <sheetName val="조도계산서 (도서)"/>
      <sheetName val="XL4Poppy"/>
      <sheetName val="신우"/>
      <sheetName val="일위대가목차"/>
      <sheetName val="AIR SHOWER(3인용)"/>
      <sheetName val="중기일위대가"/>
      <sheetName val="대치판정"/>
      <sheetName val="인건비"/>
      <sheetName val="unit 4"/>
      <sheetName val="I一般比"/>
      <sheetName val="49-119"/>
      <sheetName val="2F 회의실견적(5_14 일대)"/>
      <sheetName val="조명율표"/>
      <sheetName val="기계경비(시간당)"/>
      <sheetName val="램머"/>
      <sheetName val="단위단가"/>
      <sheetName val="구역화물"/>
      <sheetName val="단가일람"/>
      <sheetName val="아산추가1220"/>
      <sheetName val="발신정보"/>
      <sheetName val="재집"/>
      <sheetName val="직재"/>
      <sheetName val="준검 내역서"/>
      <sheetName val="부하(성남)"/>
      <sheetName val="연부97-1"/>
      <sheetName val="갑지1"/>
      <sheetName val="J直材4"/>
      <sheetName val="공사원가계산서)"/>
      <sheetName val="내역집계표"/>
      <sheetName val="전기내역"/>
      <sheetName val="산출근거"/>
      <sheetName val="대가집계표"/>
      <sheetName val="대가전기"/>
      <sheetName val="자료"/>
      <sheetName val="집계표(관급)"/>
      <sheetName val="전기내역관급"/>
      <sheetName val="입찰보고"/>
      <sheetName val="보차도경계석"/>
      <sheetName val="부대내역"/>
      <sheetName val="연습"/>
      <sheetName val="TABLE"/>
      <sheetName val="Macro(전선)"/>
      <sheetName val="말뚝지지력산정"/>
      <sheetName val="설계예산서"/>
      <sheetName val="수량"/>
      <sheetName val="3-1.CB"/>
      <sheetName val="당초"/>
      <sheetName val="ITB COST"/>
      <sheetName val="2. 동력설비 공사"/>
      <sheetName val="3. 조명설비공사"/>
      <sheetName val="4. 접지설비공사"/>
      <sheetName val="5. 통신설비 공사"/>
      <sheetName val="6. 전기방식설비공사"/>
      <sheetName val="6.전기방식 설비공사(2)"/>
      <sheetName val="7.방호설비공사"/>
      <sheetName val="8.가설전기공사"/>
      <sheetName val="48전력선로일위"/>
      <sheetName val="96보완계획7.12"/>
      <sheetName val="DANGA"/>
      <sheetName val="#REF"/>
      <sheetName val="내역(설계)"/>
      <sheetName val="식생블럭단위수량"/>
      <sheetName val="LOPCALC"/>
      <sheetName val="가로등부표"/>
      <sheetName val="제경비율"/>
      <sheetName val="CTEMCOST"/>
      <sheetName val="포장공"/>
      <sheetName val="금리계산"/>
      <sheetName val="원가계산서"/>
      <sheetName val="STORAGE"/>
      <sheetName val="Y-WORK"/>
      <sheetName val="BID"/>
      <sheetName val="현장관리비집계표"/>
      <sheetName val="점수계산1-2"/>
      <sheetName val="대비"/>
      <sheetName val="수량집계"/>
      <sheetName val="토목"/>
      <sheetName val="가로등내역서"/>
      <sheetName val="수량산출서"/>
      <sheetName val="2000.11월설계내역"/>
      <sheetName val="터파기및재료"/>
      <sheetName val="집계표"/>
      <sheetName val="단가"/>
      <sheetName val="총괄표"/>
      <sheetName val="실행철강하도"/>
      <sheetName val="내역서2안"/>
      <sheetName val="소야공정계획표"/>
      <sheetName val="부대공사비"/>
      <sheetName val="타공종이기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본선차로수량집계표"/>
      <sheetName val="수주현황2월"/>
      <sheetName val="단면 (2)"/>
      <sheetName val="토공유동표"/>
      <sheetName val="교각계산"/>
      <sheetName val="내역서(전기)"/>
      <sheetName val="토목원가계산서"/>
      <sheetName val="토목원가"/>
      <sheetName val="집계장"/>
      <sheetName val="설계내역"/>
      <sheetName val="제외공종"/>
      <sheetName val="기계원가계산서"/>
      <sheetName val="기계원가"/>
      <sheetName val="집계"/>
      <sheetName val="가설내역"/>
      <sheetName val="갑지(가로)"/>
      <sheetName val="표지목차간지"/>
      <sheetName val="예산조서-총괄"/>
      <sheetName val="예산조서-신공항1"/>
      <sheetName val="가설물"/>
      <sheetName val="K"/>
      <sheetName val="산출내역서집계표"/>
      <sheetName val="원가계산서 (총괄)"/>
      <sheetName val="원가계산서 (건축)"/>
      <sheetName val="(총괄집계)"/>
      <sheetName val="내역구성"/>
      <sheetName val="4원가"/>
      <sheetName val="임시급식"/>
      <sheetName val="옥외가스"/>
      <sheetName val="임시급식 (2)"/>
      <sheetName val="- INFORMATION -"/>
      <sheetName val="Module1"/>
      <sheetName val="Module2"/>
      <sheetName val="Module3"/>
      <sheetName val="Module4"/>
      <sheetName val="Module5"/>
      <sheetName val="Module6"/>
      <sheetName val="Module8"/>
      <sheetName val="Module9"/>
      <sheetName val="Module7"/>
      <sheetName val="목차"/>
      <sheetName val="BQ"/>
      <sheetName val="정부노임단가"/>
      <sheetName val="Summary Sheets"/>
      <sheetName val="요율"/>
      <sheetName val="일위목록-기"/>
      <sheetName val="Module11"/>
      <sheetName val="6동"/>
      <sheetName val="Chart1"/>
      <sheetName val="단위내역목록"/>
      <sheetName val="단위내역서"/>
      <sheetName val="원가(1)"/>
      <sheetName val="원가(2)"/>
      <sheetName val="공량산출서"/>
      <sheetName val="1.수인터널"/>
      <sheetName val="C3"/>
      <sheetName val="토공"/>
      <sheetName val="본공사"/>
      <sheetName val="노무비단가"/>
      <sheetName val="실행내역서"/>
      <sheetName val="1차설계변경내역"/>
      <sheetName val="설비내역서"/>
      <sheetName val="건축내역서"/>
      <sheetName val="전기내역서"/>
      <sheetName val="INPUT"/>
      <sheetName val="적용공정"/>
      <sheetName val="L_RPTB02_01"/>
      <sheetName val="주사무실종합"/>
      <sheetName val="98NS-N"/>
      <sheetName val="자료입력"/>
      <sheetName val="예산명세서"/>
      <sheetName val="가설건물"/>
      <sheetName val="계수시트"/>
      <sheetName val="Total"/>
      <sheetName val="L_RPTA05_목록"/>
      <sheetName val="토량산출서"/>
      <sheetName val="원가"/>
      <sheetName val="지진시"/>
      <sheetName val="BID-도로"/>
      <sheetName val="001"/>
      <sheetName val="총계"/>
      <sheetName val="내력서"/>
      <sheetName val="데이타"/>
      <sheetName val="기계내역"/>
      <sheetName val="수량산출"/>
      <sheetName val="laroux"/>
      <sheetName val="도급예정1199"/>
      <sheetName val="외주대비"/>
      <sheetName val="수정실행"/>
      <sheetName val="단가산출근거"/>
      <sheetName val="현장인원투입"/>
      <sheetName val="장비투입계획"/>
      <sheetName val="현황사진"/>
      <sheetName val="옹벽"/>
      <sheetName val="외주대비-구조물"/>
      <sheetName val="외주대비 -석축"/>
      <sheetName val="외주대비-구조물 (2)"/>
      <sheetName val="견적표지 (3)"/>
      <sheetName val="정태현"/>
      <sheetName val="3.공통공사대비"/>
      <sheetName val="6PILE  (돌출)"/>
      <sheetName val="Macro2"/>
      <sheetName val="연결임시"/>
      <sheetName val="90.03실행 "/>
      <sheetName val="우배수"/>
      <sheetName val="맨홀"/>
      <sheetName val="Sheet17"/>
      <sheetName val="금호"/>
      <sheetName val="계산식"/>
      <sheetName val="가도공"/>
      <sheetName val="SG"/>
      <sheetName val="DATE"/>
      <sheetName val="JUCKEYK"/>
      <sheetName val="지급자재"/>
      <sheetName val="철거집계"/>
      <sheetName val="전차선로 물량표"/>
      <sheetName val="한강운반비"/>
      <sheetName val="자재"/>
      <sheetName val="공통(20-91)"/>
      <sheetName val="설계명세서"/>
      <sheetName val="말뚝물량"/>
      <sheetName val="99총공사내역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지주목시비량산출서"/>
      <sheetName val="단가조사"/>
      <sheetName val="율촌법률사무소2내역"/>
      <sheetName val="인건-측정"/>
      <sheetName val="가시설흙막이"/>
      <sheetName val="노원열병합  건축공사기성내역서"/>
      <sheetName val="자동 철거"/>
      <sheetName val="자동 설치"/>
      <sheetName val="토목 철주"/>
      <sheetName val="철거 일위대가(1-19)"/>
      <sheetName val="철거 일위대가(20-22)"/>
      <sheetName val="설치 일위대가(23-45호)"/>
      <sheetName val="설치 일위대가(46~78호)"/>
      <sheetName val="간접비"/>
      <sheetName val="검사원"/>
      <sheetName val="중총괄"/>
      <sheetName val="소총괄"/>
      <sheetName val="사용내역"/>
      <sheetName val="안전세부"/>
      <sheetName val="총급여"/>
      <sheetName val="급여"/>
      <sheetName val="안전사진"/>
      <sheetName val="계좌"/>
      <sheetName val="사진"/>
      <sheetName val="작업일지"/>
      <sheetName val="계획"/>
      <sheetName val="계획세부"/>
      <sheetName val="사용내역서"/>
      <sheetName val="항목별내역서"/>
      <sheetName val="안전담당자"/>
      <sheetName val="유도원"/>
      <sheetName val="CA지입"/>
      <sheetName val="설직재-1"/>
      <sheetName val="개요"/>
      <sheetName val="WORK"/>
      <sheetName val="각형맨홀"/>
      <sheetName val="일위대가표"/>
      <sheetName val="전기2005"/>
      <sheetName val="통신2005"/>
      <sheetName val="시설물일위"/>
      <sheetName val="실행간접비용"/>
      <sheetName val="2002하반기노임기준"/>
      <sheetName val="본부장"/>
      <sheetName val="내역서(삼호)"/>
      <sheetName val="12월31일"/>
      <sheetName val="조명시설"/>
      <sheetName val="차액보증"/>
      <sheetName val="공종별내역서"/>
      <sheetName val="하조서"/>
      <sheetName val="철거산출근거"/>
      <sheetName val="총괄내역서"/>
      <sheetName val="단가 및 재료비"/>
      <sheetName val="봉양~조차장간고하개명(신설)"/>
      <sheetName val="주상도"/>
      <sheetName val="6호기"/>
      <sheetName val="보증수수료산출"/>
      <sheetName val="기계경비"/>
      <sheetName val="가로등"/>
      <sheetName val="공사비예산서(토목분)"/>
      <sheetName val="수목데이타 "/>
      <sheetName val="변압기 및 발전기 용량"/>
      <sheetName val="일위대가(목록)"/>
      <sheetName val="재료비"/>
      <sheetName val="참고"/>
      <sheetName val="공사개요"/>
      <sheetName val="수목단가"/>
      <sheetName val="시설수량표"/>
      <sheetName val="식재수량표"/>
      <sheetName val="일위목록"/>
      <sheetName val="예산변경사항"/>
      <sheetName val="공사원가계산서"/>
      <sheetName val="총내역서"/>
      <sheetName val="관급내역서"/>
      <sheetName val="이전비내역서"/>
      <sheetName val="물량"/>
      <sheetName val="배선설계"/>
      <sheetName val="부하계산"/>
      <sheetName val="기초산출서"/>
      <sheetName val="장비단가산출"/>
      <sheetName val="t형"/>
      <sheetName val="2000년1차"/>
      <sheetName val="수입"/>
      <sheetName val="조건표"/>
      <sheetName val="JJ"/>
      <sheetName val="설계"/>
      <sheetName val="설 계"/>
      <sheetName val="ASP포장"/>
      <sheetName val="3BL공동구 수량"/>
      <sheetName val="단가산출서(기계)"/>
      <sheetName val="에너지동"/>
      <sheetName val="코드표"/>
      <sheetName val="Sheet1 (2)"/>
      <sheetName val="역T형교대(말뚝기초)"/>
      <sheetName val="내역서(토목)"/>
      <sheetName val="케이블"/>
      <sheetName val="전체"/>
      <sheetName val="고분전시관"/>
      <sheetName val="설비"/>
      <sheetName val="BOQ"/>
      <sheetName val="노무비산출"/>
      <sheetName val="부대시설"/>
      <sheetName val="Apt내역"/>
      <sheetName val="대외공문"/>
      <sheetName val="BJJIN"/>
      <sheetName val="공사비"/>
      <sheetName val="가드레일산근"/>
      <sheetName val="수량집계표"/>
      <sheetName val="단가비교"/>
      <sheetName val="적용2002"/>
      <sheetName val="중기"/>
      <sheetName val="45,46"/>
      <sheetName val="교대(A1)"/>
      <sheetName val="교대(A1-A2)"/>
      <sheetName val="교각1"/>
      <sheetName val="자재대"/>
      <sheetName val="소요자재"/>
      <sheetName val="노무산출서"/>
      <sheetName val="ETC"/>
      <sheetName val="우수맨홀공제단위수량"/>
      <sheetName val="스톱로그내역"/>
      <sheetName val="돌망태단위수량"/>
      <sheetName val="전기일위대가"/>
      <sheetName val="단면(RW1)"/>
      <sheetName val="비교표"/>
      <sheetName val="소비자가"/>
      <sheetName val="ilch"/>
      <sheetName val="A-4"/>
      <sheetName val="IMP(MAIN)"/>
      <sheetName val="IMP (REACTOR)"/>
      <sheetName val="오산갈곳"/>
      <sheetName val="맨홀수량집계"/>
      <sheetName val="설계조건"/>
      <sheetName val="날개벽(TYPE3)"/>
      <sheetName val="안정계산"/>
      <sheetName val="단면검토"/>
      <sheetName val="예정(3)"/>
      <sheetName val="동원(3)"/>
      <sheetName val="1.설계기준"/>
      <sheetName val="터널조도"/>
      <sheetName val="주형"/>
      <sheetName val="3차설계"/>
      <sheetName val="현황CODE"/>
      <sheetName val="손익현황"/>
      <sheetName val="기둥(원형)"/>
      <sheetName val="ABUT수량-A1"/>
      <sheetName val="밸브설치"/>
      <sheetName val="3.바닥판설계"/>
      <sheetName val="Æ¯º°±³½Ç"/>
      <sheetName val="±â¼÷»ç"/>
      <sheetName val="È­Àå½Ç"/>
      <sheetName val="ÃÑÁý°è-1"/>
      <sheetName val="ÃÑÁý°è-2"/>
      <sheetName val="¿ø°¡-1"/>
      <sheetName val="¿ø°¡-2"/>
      <sheetName val="ÃÑ¹°·®Ç¥"/>
      <sheetName val="Á¤»ê¹°·®Ç¥"/>
      <sheetName val="Á¤»ê¼¼ºÎ¹°·®1Â÷ºÐ½ÇÀû"/>
      <sheetName val="Á¤»êº¹±¸·®"/>
      <sheetName val="ÀÏÀ§´ë°¡Ç¥(1)"/>
      <sheetName val="ÀÏÀ§´ë°¡Ç¥(2)"/>
      <sheetName val="ÀÚÀç´Ü°¡ºñ±³Ç¥"/>
      <sheetName val="º¹±¸·®»êÁ¤ ¹× Àü¿ëÈ¸¼± »ç¿ë"/>
      <sheetName val="³ëÀÓ´Ü°¡"/>
      <sheetName val="±â¾È"/>
      <sheetName val="°©Áö"/>
      <sheetName val="°ßÀû¼­"/>
      <sheetName val="³»¿ª¼­"/>
      <sheetName val="Ç¥Áö"/>
      <sheetName val="º¯°æ»çÀ¯"/>
      <sheetName val="°¡¿ÁÁ¶¸í¿ø°¡°è"/>
      <sheetName val="°¡¿ÁÁ¶¸í³»¿ª¼­"/>
      <sheetName val="»êÃâÁý°è"/>
      <sheetName val="»êÃâ±Ù°Å¼­"/>
      <sheetName val="½Å±ÔÇ°¸ñ"/>
      <sheetName val="¼ö·®Ç¥Áö"/>
      <sheetName val="°ø±¸¼Õ·á"/>
      <sheetName val="4¿ù ½ÇÀûÃßÁ¤(°ÇÃà+Åä¸ñ)"/>
      <sheetName val="4¿ù ½ÇÀûÃßÁ¤(°ÇÃà)"/>
      <sheetName val="È£°è"/>
      <sheetName val="Á¦¾Ï"/>
      <sheetName val="¿ù¸¶Æ®"/>
      <sheetName val="¿ùµåÄÅ"/>
      <sheetName val="ÀÏ¹Ý°ø»ç"/>
      <sheetName val="ÀÏÀ§´ë°¡"/>
      <sheetName val="DWPM"/>
      <sheetName val="TYPE-1"/>
      <sheetName val="MIJIBI"/>
      <sheetName val="건축직"/>
      <sheetName val="단가 "/>
      <sheetName val="건축공사"/>
      <sheetName val="단  가  대  비  표"/>
      <sheetName val="일  위  대  가  목  록"/>
      <sheetName val="위치조서"/>
      <sheetName val="전선"/>
      <sheetName val="CABLE"/>
      <sheetName val="집수정(600-700)"/>
      <sheetName val="백암비스타내역"/>
      <sheetName val="DB"/>
      <sheetName val="3련 BOX"/>
      <sheetName val="20관리비율"/>
      <sheetName val="TOT"/>
      <sheetName val="DATA1"/>
      <sheetName val="22단가(철거)"/>
      <sheetName val="49단가"/>
      <sheetName val="49단가(철거)"/>
      <sheetName val="22단가"/>
      <sheetName val="과천MAIN"/>
      <sheetName val="노무비 근거"/>
      <sheetName val="효성CB 1P기초"/>
      <sheetName val="EQ-R1"/>
      <sheetName val="품목"/>
      <sheetName val="2006기계경비산출표"/>
      <sheetName val="일용노임단가"/>
      <sheetName val="증감대비"/>
      <sheetName val="간접"/>
      <sheetName val="부하LOAD"/>
      <sheetName val="내역서 (2)"/>
      <sheetName val="시중노임단가"/>
      <sheetName val="건축내역"/>
      <sheetName val="기본DATA"/>
      <sheetName val="건축공사실행"/>
      <sheetName val="1.¼öº¯Àü¼³ºñ"/>
      <sheetName val="2.Àü·Â°£¼±"/>
      <sheetName val="3.µ¿·Â"/>
      <sheetName val="4.Àüµî"/>
      <sheetName val="5.Àü¿­"/>
      <sheetName val="6.¾àÀü"/>
      <sheetName val="7.¼Ò¹æ"/>
      <sheetName val="8.¹æ¼Û"/>
      <sheetName val="9.Á¶¸íÁ¦¾î"/>
      <sheetName val="10.Ã¶°Å°ø»ç"/>
      <sheetName val="³²¾ç½ÃÀÛµ¿ÀÚ105³ë65±â1.3È­1.2"/>
      <sheetName val="À»"/>
      <sheetName val="ÀÔÂû¾È"/>
      <sheetName val="ºÎÇÏ°è»ê¼­"/>
      <sheetName val="À»Áö"/>
      <sheetName val="Á¶µµ°è»ê¼­ (µµ¼­)"/>
      <sheetName val="´Ü°¡»êÃâ"/>
      <sheetName val="°ßÀûÁ¶°Ç"/>
      <sheetName val="°ßÀûÁ¶°Ç(À»Áö)"/>
      <sheetName val="Á÷³ë"/>
      <sheetName val="½ÇÇà³»¿ª"/>
      <sheetName val="합천내역"/>
      <sheetName val="2000년 공정표"/>
      <sheetName val="유첨#2"/>
      <sheetName val="보합"/>
      <sheetName val="1공구(을)"/>
      <sheetName val="단"/>
      <sheetName val="교통대책내역"/>
      <sheetName val="대공종"/>
      <sheetName val="보할공정"/>
      <sheetName val="일반수량"/>
      <sheetName val="BOQ(전체)"/>
      <sheetName val="변경내역을"/>
      <sheetName val="사전공사"/>
      <sheetName val="적상기초자료"/>
      <sheetName val="인사자료총집계"/>
      <sheetName val="물가시세"/>
      <sheetName val="본부소개"/>
      <sheetName val="기초자료"/>
      <sheetName val="여과지동"/>
      <sheetName val="내역표지"/>
      <sheetName val="내역총괄"/>
      <sheetName val="내역총괄2"/>
      <sheetName val="내역총괄3"/>
      <sheetName val="고등학교"/>
      <sheetName val="9GNG운반"/>
      <sheetName val="공비대비"/>
      <sheetName val="빌딩 안내"/>
      <sheetName val="데리네이타현황"/>
      <sheetName val="EQUIPMENT -2"/>
      <sheetName val="MBR9"/>
      <sheetName val="물가자료"/>
      <sheetName val="총수량집계표"/>
      <sheetName val="SLAB&quot;1&quot;"/>
      <sheetName val="총괄집계표"/>
      <sheetName val="고창터널(고창방향)"/>
      <sheetName val="식재일위대가"/>
      <sheetName val="U-TYPE(1)"/>
      <sheetName val="세부견적서(DAS Call Back)"/>
      <sheetName val="세목전체"/>
      <sheetName val="교각별철근수량집계표"/>
      <sheetName val="품셈"/>
      <sheetName val="전기"/>
      <sheetName val="갑지(추정)"/>
      <sheetName val="기자재비"/>
      <sheetName val="현장관리비내역서"/>
      <sheetName val="포장복구집계"/>
      <sheetName val="현관"/>
      <sheetName val="맨홀수량산출"/>
      <sheetName val="실행예산"/>
      <sheetName val="입적표"/>
      <sheetName val="NYS"/>
      <sheetName val="노임변동률"/>
      <sheetName val="조건"/>
      <sheetName val="COMPRESSOR"/>
      <sheetName val=" 견적서"/>
      <sheetName val="접지수량"/>
      <sheetName val="기본설계도급항목"/>
      <sheetName val="³ëÀÓ"/>
      <sheetName val="unit"/>
      <sheetName val="화재 탐지 설비"/>
      <sheetName val="기초코드"/>
      <sheetName val="플랜트 설치"/>
      <sheetName val="기계경비일람"/>
      <sheetName val="연령현황"/>
      <sheetName val="Man Power &amp; Comp"/>
      <sheetName val="차종별"/>
      <sheetName val="4월_실적추정(건축+토목)"/>
      <sheetName val="4월_실적추정(건축)"/>
      <sheetName val="복구량산정_및_전용회선_사용"/>
      <sheetName val="1_수변전설비"/>
      <sheetName val="2_전력간선"/>
      <sheetName val="3_동력"/>
      <sheetName val="4_전등"/>
      <sheetName val="5_전열"/>
      <sheetName val="6_약전"/>
      <sheetName val="7_소방"/>
      <sheetName val="8_방송"/>
      <sheetName val="9_조명제어"/>
      <sheetName val="10_철거공사"/>
      <sheetName val="남양시작동자105노65기1_3화1_2"/>
      <sheetName val="0_집계"/>
      <sheetName val="1_수변전설비공사"/>
      <sheetName val="표지_(2)"/>
      <sheetName val="1_전차선조정"/>
      <sheetName val="2_조가선조정"/>
      <sheetName val="3_급전선신설"/>
      <sheetName val="4_급전선철거"/>
      <sheetName val="5_고배선철거"/>
      <sheetName val="6_고압케이블신설"/>
      <sheetName val="7_비절연선조정"/>
      <sheetName val="8_가동브래키트이설"/>
      <sheetName val="9_H형강주신설(9m)"/>
      <sheetName val="10_강관주신설(9m)"/>
      <sheetName val="11_H강주철거(11m)"/>
      <sheetName val="11_H형강기초"/>
      <sheetName val="13_강관주기초"/>
      <sheetName val="암거날개벽재료집계"/>
      <sheetName val="저"/>
      <sheetName val="기계경비및산출근거서"/>
      <sheetName val="2공구수량"/>
      <sheetName val="강북라우터"/>
      <sheetName val="COVER"/>
      <sheetName val="별표"/>
      <sheetName val="EP0618"/>
      <sheetName val="남양구조시험동"/>
      <sheetName val="36신설수량"/>
      <sheetName val="통장출금액"/>
      <sheetName val="기계경비시간당손료목록"/>
      <sheetName val="동력부하(도산)"/>
      <sheetName val="일위대가표(유단가)"/>
      <sheetName val="가감수량"/>
      <sheetName val="공구원가계산"/>
      <sheetName val="2000전체분"/>
      <sheetName val="입찰결과(DATA)"/>
      <sheetName val="예산갑지"/>
      <sheetName val="상수도토공집계표"/>
      <sheetName val="점검총괄"/>
      <sheetName val="단가목록"/>
      <sheetName val="물량표"/>
      <sheetName val="CABLE SIZE-3"/>
      <sheetName val="자재목록"/>
      <sheetName val="연결관산출조서"/>
      <sheetName val="투찰내역"/>
      <sheetName val="9811"/>
      <sheetName val="기자재대비표"/>
      <sheetName val="1단계"/>
      <sheetName val="¼³°è¿¹»ê¼­"/>
      <sheetName val="¼ö·®Áý°è"/>
      <sheetName val="ÃÑ°ý"/>
      <sheetName val="Åä¸ñ"/>
      <sheetName val="°¡·Îµî³»¿ª¼­"/>
      <sheetName val="¼ö·®»êÃâ¼­"/>
      <sheetName val="2000.11¿ù¼³°è³»¿ª"/>
      <sheetName val="´Ü°¡"/>
      <sheetName val="ÃÑ°ýÇ¥"/>
      <sheetName val="¸»¶ÒÁöÁö·Â»êÁ¤"/>
      <sheetName val="ÅÍÆÄ±â¹×Àç·á"/>
      <sheetName val="Áý°èÇ¥"/>
      <sheetName val="¼ö·®»êÃâ"/>
      <sheetName val="Àü¼± ¹× Àü¼±°ü"/>
      <sheetName val="½ÇÇàÃ¶°­ÇÏµµ"/>
      <sheetName val="³»¿ª¼­2¾È"/>
      <sheetName val="Á¶¸íÀ²Ç¥"/>
      <sheetName val="6È£±â"/>
      <sheetName val="¼Ò¾ß°øÁ¤°èÈ¹Ç¥"/>
      <sheetName val="ÇÏÁ¶¼­"/>
      <sheetName val="³»¿ª"/>
      <sheetName val="º¸Áõ¼ö¼ö·á»êÃâ"/>
      <sheetName val="ÁØ°Ë ³»¿ª¼­"/>
      <sheetName val="ºÀ¾ç~Á¶Â÷Àå°£°íÇÏ°³¸í(½Å¼³)"/>
      <sheetName val="¼ö¸ñµ¥ÀÌÅ¸ "/>
      <sheetName val="º¯¾Ð±â ¹× ¹ßÀü±â ¿ë·®"/>
      <sheetName val="ASPÆ÷Àå"/>
      <sheetName val="±â°è°æºñ"/>
      <sheetName val="1.¼öÀÎÅÍ³Î"/>
      <sheetName val="¿¹»êº¯°æ»çÇ×"/>
      <sheetName val="단가대비표"/>
      <sheetName val="대비내역"/>
      <sheetName val="70%"/>
      <sheetName val="1,2공구원가계산서"/>
      <sheetName val="2공구산출내역"/>
      <sheetName val="1공구산출내역서"/>
      <sheetName val="단면"/>
      <sheetName val="단면가정"/>
      <sheetName val="1차증가원가계산"/>
      <sheetName val="간접1"/>
      <sheetName val="입출재고현황 (2)"/>
      <sheetName val="변경비교-을"/>
      <sheetName val="EQUIP-H"/>
      <sheetName val="경비_원본"/>
      <sheetName val="BASIC (2)"/>
      <sheetName val=" 상부공통집계(총괄)"/>
      <sheetName val="AS포장복구 "/>
      <sheetName val="BOX전기내역"/>
      <sheetName val="견적의뢰서"/>
      <sheetName val="견적대비"/>
      <sheetName val="9-1차이내역"/>
      <sheetName val="PO-BOQ"/>
      <sheetName val="옹벽수량집계"/>
      <sheetName val="1SPAN"/>
      <sheetName val="의왕내역"/>
      <sheetName val="VA_code"/>
      <sheetName val="공종별원가계산"/>
      <sheetName val="말고개터널조명전압강하"/>
      <sheetName val="품의서"/>
      <sheetName val="전신환매도율"/>
      <sheetName val="EACT10"/>
      <sheetName val="방음벽기초(H=4m)"/>
      <sheetName val="외주"/>
      <sheetName val="제품별"/>
      <sheetName val="Macro(차단기)"/>
      <sheetName val="구조물철거타공정이월"/>
      <sheetName val="부속동"/>
      <sheetName val="조경일람"/>
      <sheetName val="일위대가목록"/>
      <sheetName val="하수급견적대비"/>
      <sheetName val="참조-(1)"/>
      <sheetName val="관급총괄"/>
      <sheetName val="2007일위 "/>
      <sheetName val="토목일위 (83~)"/>
      <sheetName val="표지판일위(105~"/>
      <sheetName val="장비일위"/>
      <sheetName val="재료1월호"/>
      <sheetName val="노무비 "/>
      <sheetName val="00000000"/>
      <sheetName val="일위집계표"/>
      <sheetName val="수로교총재료집계"/>
      <sheetName val="약품설비"/>
      <sheetName val="5.정산서"/>
      <sheetName val="공사별 가중치 산출근거(토목)"/>
      <sheetName val="가중치근거(조경)"/>
      <sheetName val="°ø»çºñ¿¹»ê¼­(Åä¸ñºÐ)"/>
      <sheetName val="°¢Çü¸ÇÈ¦"/>
      <sheetName val="¼ö¸ñ´Ü°¡"/>
      <sheetName val="½Ã¼³¼ö·®Ç¥"/>
      <sheetName val="½ÄÀç¼ö·®Ç¥"/>
      <sheetName val="ÀÏÀ§¸ñ·Ï"/>
      <sheetName val="ÀÚÀç´Ü°¡"/>
      <sheetName val="°¡·Îµî"/>
      <sheetName val="경비2내역"/>
      <sheetName val="일위대가표 (2)"/>
      <sheetName val="REACTION(USD지진시)"/>
      <sheetName val="안정검토"/>
      <sheetName val="REACTION(USE평시)"/>
      <sheetName val="부재력정리"/>
      <sheetName val="BLOCK(1)"/>
      <sheetName val="8. 안정검토"/>
      <sheetName val="대구-교대(A1-A2)"/>
      <sheetName val="원형1호맨홀토공수량"/>
      <sheetName val="°ø»ç¿ø°¡°è»ê¼­"/>
      <sheetName val="ÃÑ³»¿ª¼­"/>
      <sheetName val="°ü±Þ³»¿ª¼­"/>
      <sheetName val="ÀÌÀüºñ³»¿ª¼­"/>
      <sheetName val="¹°·®"/>
      <sheetName val="¹è¼±¼³°è"/>
      <sheetName val="ºÎÇÏ°è»ê"/>
      <sheetName val="±âÃÊ»êÃâ¼­"/>
      <sheetName val="산#2-1 (2)"/>
      <sheetName val="골재산출"/>
      <sheetName val="ELECTRIC"/>
      <sheetName val="SCHEDULE"/>
      <sheetName val="내역서(전체)"/>
      <sheetName val="TRE TABLE"/>
      <sheetName val="MANUFACTORY"/>
      <sheetName val="관리,공감"/>
      <sheetName val="관접합및부설"/>
      <sheetName val="효동"/>
      <sheetName val="OPGW기별"/>
      <sheetName val="간선"/>
      <sheetName val="주방환기"/>
      <sheetName val="구동"/>
      <sheetName val="1"/>
      <sheetName val="현장관리비"/>
      <sheetName val="단가비교표_공통1"/>
      <sheetName val="일(4)"/>
      <sheetName val="MFAB"/>
      <sheetName val="MFRT"/>
      <sheetName val="MPKG"/>
      <sheetName val="MPRD"/>
      <sheetName val="일위"/>
      <sheetName val="pbs_lambda"/>
      <sheetName val="Matériel embarqué PVC"/>
      <sheetName val="1공구 건정토건 토공"/>
      <sheetName val="cost"/>
      <sheetName val="3.내역서"/>
      <sheetName val="PIPE"/>
      <sheetName val="VALVE"/>
      <sheetName val="NOMUBI"/>
      <sheetName val="현장지지물물량"/>
      <sheetName val="guard(mac)"/>
      <sheetName val="단가조사서"/>
      <sheetName val="적용(기계)"/>
      <sheetName val="Mc1"/>
      <sheetName val="2000,9월 일위"/>
      <sheetName val="샘플표지"/>
      <sheetName val="건설장비기초단가"/>
      <sheetName val="약전닥트"/>
      <sheetName val="건축부하"/>
      <sheetName val="FA설치명세"/>
      <sheetName val="FD"/>
      <sheetName val="1차 내역서"/>
      <sheetName val="기계설비"/>
      <sheetName val="날개벽(시점좌측)"/>
      <sheetName val="수량산출1"/>
      <sheetName val="유동표(변경)"/>
      <sheetName val="구리토평1전기"/>
      <sheetName val="세부내역"/>
      <sheetName val="220 (2)"/>
      <sheetName val="총인원"/>
      <sheetName val="직급인원"/>
      <sheetName val="동해title"/>
      <sheetName val="대림경상68억"/>
      <sheetName val="1._x0018_변전설비"/>
      <sheetName val="단가대비"/>
      <sheetName val="지하1층"/>
      <sheetName val="펌프장수량산출(토)"/>
      <sheetName val="금액내역서"/>
      <sheetName val="산출내역서"/>
      <sheetName val="변경총괄지(1)"/>
      <sheetName val="원내역서3"/>
      <sheetName val="과세내역(세부)"/>
      <sheetName val="BSD (2)"/>
      <sheetName val="101동"/>
      <sheetName val="const."/>
      <sheetName val="3도로"/>
      <sheetName val="PROJECT BRIEF"/>
      <sheetName val="우각부보강"/>
      <sheetName val="연결관암거"/>
      <sheetName val="SULKEA"/>
      <sheetName val="아파트건축"/>
      <sheetName val="TEL"/>
      <sheetName val="예산조서(무선)"/>
      <sheetName val="토적표"/>
      <sheetName val="토목주소"/>
      <sheetName val="프랜트면허"/>
      <sheetName val="경산"/>
      <sheetName val="Testing"/>
      <sheetName val="계화배수"/>
      <sheetName val="방음벽 기초 일반수량"/>
      <sheetName val="I.설계조건"/>
      <sheetName val="단면치수"/>
      <sheetName val="NEYOK"/>
      <sheetName val="토목내역"/>
      <sheetName val="수안보-MBR1"/>
      <sheetName val="입력DATA"/>
      <sheetName val="기초자료입력"/>
      <sheetName val="48일위"/>
      <sheetName val="일위산출근거"/>
      <sheetName val="기성"/>
      <sheetName val="기성내역 진짜"/>
      <sheetName val="기성갑지"/>
      <sheetName val="2회기성사정"/>
      <sheetName val="3회기성갑지"/>
      <sheetName val="3회총괄"/>
      <sheetName val="Vari by Vendor"/>
      <sheetName val="14_장력조정장치신설"/>
      <sheetName val="15_장력조정장치철거___"/>
      <sheetName val="16_콘주철거(9m)"/>
      <sheetName val="17_지선신설(보통)"/>
      <sheetName val="18_지선신설(v형)"/>
      <sheetName val="19_지선철거"/>
      <sheetName val="20_기중개폐기신설"/>
      <sheetName val="3-1_CB"/>
      <sheetName val="견적"/>
      <sheetName val="96정변2"/>
      <sheetName val="대림산업"/>
      <sheetName val="물량산출근거"/>
      <sheetName val="CONCRETE"/>
      <sheetName val="설산1.나"/>
      <sheetName val=" 총괄표"/>
      <sheetName val="사원등록"/>
      <sheetName val="호봉 (2)"/>
      <sheetName val="자재집계"/>
      <sheetName val="인건비 "/>
      <sheetName val="경율산정"/>
      <sheetName val="Customer Databas"/>
      <sheetName val="마산방향"/>
      <sheetName val="진주방향"/>
      <sheetName val="중기사용료"/>
      <sheetName val="차수공개요"/>
      <sheetName val="직공비"/>
      <sheetName val="Àåºñ´Ü°¡»êÃâ"/>
      <sheetName val="µ¿¿ø(3)"/>
      <sheetName val="¿¹Á¤(3)"/>
      <sheetName val="ÁÖÇü"/>
      <sheetName val="재정비직인"/>
      <sheetName val="재정비내역"/>
      <sheetName val="지적고시내역"/>
      <sheetName val="현장설명서"/>
      <sheetName val="견적조건서"/>
      <sheetName val="시공일반사항"/>
      <sheetName val="현장설명서갑지"/>
      <sheetName val="하도급선정의뢰서(습식공사)"/>
      <sheetName val="검사조서"/>
      <sheetName val="집계(총괄)"/>
      <sheetName val="구성비"/>
      <sheetName val="실적보고"/>
      <sheetName val="표준안전집계"/>
      <sheetName val="표준안전내역"/>
      <sheetName val="LP-S"/>
      <sheetName val="A갑지"/>
      <sheetName val="목동1절주.bh01"/>
      <sheetName val="주관사업"/>
      <sheetName val="수문일1"/>
      <sheetName val="발주설계서(당초)"/>
      <sheetName val="TYPE-A"/>
      <sheetName val="실행"/>
      <sheetName val="단가조사-1"/>
      <sheetName val="단가조사-2"/>
      <sheetName val="본사S"/>
      <sheetName val="전압강하계산"/>
      <sheetName val="D-3503"/>
      <sheetName val="여흥"/>
      <sheetName val="노임이"/>
      <sheetName val="WEON"/>
      <sheetName val="경상"/>
      <sheetName val="가설"/>
      <sheetName val="등록자료"/>
      <sheetName val="입력정보"/>
      <sheetName val="5.공종별예산내역서"/>
      <sheetName val="기본일위"/>
      <sheetName val="교각별수량"/>
      <sheetName val="원가산출서"/>
      <sheetName val="Dae_Jiju"/>
      <sheetName val="Sikje_ingun"/>
      <sheetName val="TREE_D"/>
      <sheetName val="FOOTING단면력"/>
      <sheetName val="날개벽수량표"/>
      <sheetName val="공종"/>
      <sheetName val="제품"/>
      <sheetName val="단가표"/>
      <sheetName val="실행예산서"/>
      <sheetName val="기본단가표"/>
      <sheetName val="토공산출(주차장)"/>
      <sheetName val="토목공사"/>
      <sheetName val="급명"/>
      <sheetName val="암거단위"/>
      <sheetName val="오동"/>
      <sheetName val="대조"/>
      <sheetName val="나한"/>
      <sheetName val="INPUT(덕도방향-시점)"/>
      <sheetName val="BOX 본체"/>
      <sheetName val="102역사"/>
      <sheetName val="단중표"/>
      <sheetName val="공사비증감"/>
      <sheetName val="2.대외공문"/>
      <sheetName val="ATM기초철가"/>
      <sheetName val="실행(1)"/>
      <sheetName val="세동별비상"/>
      <sheetName val="시화점실행"/>
      <sheetName val="총괄분 설계서용지"/>
      <sheetName val="위성"/>
      <sheetName val="표층포설및다짐"/>
      <sheetName val="ⴭⴭⴭⴭ"/>
      <sheetName val="단중표-ST"/>
      <sheetName val="경비"/>
      <sheetName val="AILC004"/>
      <sheetName val="s"/>
      <sheetName val="바닥판"/>
      <sheetName val="EKOG10건축"/>
      <sheetName val="조명율데이타"/>
      <sheetName val="입고장부 (4)"/>
      <sheetName val="내역서(총)"/>
      <sheetName val="Oper Amount"/>
      <sheetName val="출력X"/>
      <sheetName val="화설내"/>
      <sheetName val="배수관토공"/>
      <sheetName val="송우내역서"/>
      <sheetName val="일위대가(계측기설치)"/>
      <sheetName val="진우+대광"/>
      <sheetName val="신공항A-9(원가수정)"/>
      <sheetName val="본선토량운반계산서(1)0"/>
      <sheetName val="01AC"/>
      <sheetName val="웅진교-S2"/>
      <sheetName val="대창(함평)-창열"/>
      <sheetName val="대창(장성)"/>
      <sheetName val="제1장"/>
      <sheetName val="제2장"/>
      <sheetName val="제3장"/>
      <sheetName val="제4장"/>
      <sheetName val="5장공내역서"/>
      <sheetName val="제6장"/>
      <sheetName val="직불동의서"/>
      <sheetName val="확약서"/>
      <sheetName val="전자입찰"/>
      <sheetName val="7작업장인수인계서"/>
      <sheetName val="3특기시방서"/>
      <sheetName val="일위대가목록(1)"/>
      <sheetName val="단가대비표(1)"/>
      <sheetName val="수질정화시설"/>
      <sheetName val="공조기"/>
      <sheetName val="다이꾸"/>
      <sheetName val="제수변수량"/>
      <sheetName val="공기변수량"/>
      <sheetName val="CIVIL"/>
      <sheetName val="일반수량총괄"/>
      <sheetName val="자  재"/>
      <sheetName val="정화조동내역"/>
      <sheetName val="단위수량"/>
      <sheetName val="관리사무소"/>
      <sheetName val="건축"/>
      <sheetName val="단가산출서 (2)"/>
      <sheetName val="단가산출서"/>
      <sheetName val="REACTION芨.헾⿁_x0005__x0000_"/>
      <sheetName val="REACTION鴘E鵜E헾⼼_x0005_"/>
      <sheetName val="교대"/>
      <sheetName val="공사내역서(을)실행"/>
      <sheetName val="wall"/>
      <sheetName val="내역(토목)"/>
      <sheetName val="토공정보"/>
      <sheetName val="2"/>
      <sheetName val="두앙"/>
      <sheetName val="직원동원SCH"/>
      <sheetName val="계획금액"/>
      <sheetName val="97 사업추정(WEKI)"/>
      <sheetName val="우수"/>
      <sheetName val="MEXICO-C"/>
      <sheetName val="토공계산서(부체도로)"/>
      <sheetName val="7단가"/>
      <sheetName val="용산1(해보)"/>
      <sheetName val="설계예시"/>
      <sheetName val="CODE"/>
      <sheetName val="통신물량"/>
      <sheetName val="가설공사내역"/>
      <sheetName val="설계가"/>
      <sheetName val="관로"/>
      <sheetName val="아파트기별"/>
      <sheetName val="공리일"/>
      <sheetName val="LEGEND"/>
      <sheetName val="금액결정"/>
      <sheetName val="설계기준 및 하중계산"/>
      <sheetName val="입력값"/>
      <sheetName val="토량1-1"/>
      <sheetName val="공문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영구청"/>
      <sheetName val="영구청이설"/>
      <sheetName val="사당2"/>
      <sheetName val="사당4"/>
      <sheetName val="사당4이설"/>
      <sheetName val="교대2"/>
      <sheetName val="교대2이설"/>
      <sheetName val="교대3"/>
      <sheetName val="교대3이설"/>
      <sheetName val="수서3"/>
      <sheetName val="수서3이설"/>
      <sheetName val="영구청afc"/>
      <sheetName val="sum1 (2)"/>
      <sheetName val="SORCE1"/>
      <sheetName val="가시설단위수량"/>
      <sheetName val="지장물C"/>
      <sheetName val="General Data"/>
      <sheetName val="SE-611"/>
      <sheetName val="SLAB"/>
      <sheetName val="관람석제출"/>
      <sheetName val="IP좌표"/>
      <sheetName val="월선수금"/>
      <sheetName val="woo(mac)"/>
      <sheetName val="제원.설계조건"/>
      <sheetName val="type-F"/>
      <sheetName val="sw1"/>
      <sheetName val="공사비집계"/>
      <sheetName val="단위세대"/>
      <sheetName val="날개벽"/>
      <sheetName val="단가산출집계"/>
      <sheetName val="입찰견적보고서"/>
      <sheetName val="c_balju"/>
      <sheetName val="정산내역"/>
      <sheetName val="#3_일위대가목록"/>
      <sheetName val="#2_일위대가목록"/>
      <sheetName val="연동내역서"/>
      <sheetName val="3회기성"/>
      <sheetName val="약품공급2"/>
      <sheetName val="인수공총괄"/>
      <sheetName val="총집계표"/>
      <sheetName val="내역서01"/>
      <sheetName val="덕소내역"/>
      <sheetName val="사각맨홀"/>
      <sheetName val="청천내"/>
      <sheetName val="저리조양"/>
      <sheetName val="정화조방수미장"/>
      <sheetName val="실행갑지"/>
      <sheetName val="tggwan(mac)"/>
      <sheetName val="물량집계"/>
      <sheetName val="실행(표지,갑,을)"/>
      <sheetName val="FAX"/>
      <sheetName val="토사(PE)"/>
      <sheetName val="P-산#1-1(WOWA1)"/>
      <sheetName val="48수량"/>
      <sheetName val="22수량"/>
      <sheetName val="49일위"/>
      <sheetName val="22일위"/>
      <sheetName val="49수량"/>
      <sheetName val="품셈TABLE"/>
      <sheetName val="품셈표"/>
      <sheetName val="부대대비"/>
      <sheetName val="냉연집계"/>
      <sheetName val="경상비"/>
      <sheetName val="평교-내역"/>
      <sheetName val="견적990322"/>
      <sheetName val="공내역"/>
      <sheetName val="백호우계수"/>
      <sheetName val="접속도로1"/>
      <sheetName val="DATA 입력란"/>
      <sheetName val="1. 설계조건 2.단면가정 3. 하중계산"/>
      <sheetName val="횡배수관집현황(2공구)"/>
      <sheetName val="종합기별"/>
      <sheetName val="노무비명세서"/>
      <sheetName val="소요자재명세서"/>
      <sheetName val="역T형"/>
      <sheetName val="b_balju_cho"/>
      <sheetName val="공종단가"/>
      <sheetName val="IMPEADENCE MAP 취수장"/>
      <sheetName val="개보수공사BM"/>
      <sheetName val="loading"/>
      <sheetName val="Factor"/>
      <sheetName val="w't table"/>
      <sheetName val="기본단가"/>
      <sheetName val="UR2-Calculation"/>
      <sheetName val="Main"/>
      <sheetName val="4차원가계산서"/>
      <sheetName val="예산M12A"/>
      <sheetName val="환율-LIBOR"/>
      <sheetName val="품종별-이름"/>
      <sheetName val=" 갑  지 "/>
      <sheetName val="소방사항"/>
      <sheetName val="Y_WORK"/>
      <sheetName val="전력"/>
      <sheetName val="토공집계표"/>
      <sheetName val="1.우편집중내역서"/>
      <sheetName val="초기화면"/>
      <sheetName val="이름정의"/>
      <sheetName val="초기화면1"/>
      <sheetName val="COL"/>
      <sheetName val="제수"/>
      <sheetName val="공기"/>
      <sheetName val="몰탈재료산출"/>
      <sheetName val="단위목록"/>
      <sheetName val="기계경비목록"/>
      <sheetName val="관급"/>
      <sheetName val="토공(우물통,기타) "/>
      <sheetName val="AS복구"/>
      <sheetName val="중기터파기"/>
      <sheetName val="변수값"/>
      <sheetName val="중기상차"/>
      <sheetName val="일위산출"/>
      <sheetName val="입력변수"/>
      <sheetName val="도급"/>
      <sheetName val="우수공"/>
      <sheetName val="타견적(을)"/>
      <sheetName val="원형맨홀수량"/>
      <sheetName val="L형옹벽측구"/>
      <sheetName val="전류"/>
      <sheetName val="일위목차"/>
      <sheetName val="포장절단"/>
      <sheetName val="DATA(BAC)"/>
      <sheetName val="일위단가"/>
      <sheetName val="일위(설)"/>
      <sheetName val="A 견적"/>
      <sheetName val="전기공사일위대가"/>
      <sheetName val="성원계약"/>
      <sheetName val="COPING"/>
      <sheetName val="BabyÀÏÀ§´ë°¡"/>
      <sheetName val="NìüëÒ-òÅ"/>
      <sheetName val="°£¼±°è»ê"/>
      <sheetName val="´ë±¸½ÇÇà"/>
      <sheetName val="0.Áý°è"/>
      <sheetName val="1.¼öº¯Àü¼³ºñ°ø»ç"/>
      <sheetName val="Ç¥Áö (2)"/>
      <sheetName val="¸Å¸³"/>
      <sheetName val="¿ø°¡°è»ê"/>
      <sheetName val="1.ÀüÂ÷¼±Á¶Á¤"/>
      <sheetName val="2.Á¶°¡¼±Á¶Á¤"/>
      <sheetName val="3.±ÞÀü¼±½Å¼³"/>
      <sheetName val="4.±ÞÀü¼±Ã¶°Å"/>
      <sheetName val="5.°í¹è¼±Ã¶°Å"/>
      <sheetName val="6.°í¾ÐÄÉÀÌºí½Å¼³"/>
      <sheetName val="7.ºñÀý¿¬¼±Á¶Á¤"/>
      <sheetName val="8.°¡µ¿ºê·¡Å°Æ®ÀÌ¼³"/>
      <sheetName val="9.HÇü°­ÁÖ½Å¼³(9m)"/>
      <sheetName val="10.°­°üÁÖ½Å¼³(9m)"/>
      <sheetName val="충주"/>
      <sheetName val="중동상가"/>
      <sheetName val="갈현동"/>
      <sheetName val="전기설계변경"/>
      <sheetName val="품셈집계표"/>
      <sheetName val="자재조사표(참고용)"/>
      <sheetName val="일반부표집계표"/>
      <sheetName val="분전함신설"/>
      <sheetName val="접지1종"/>
      <sheetName val="산출목록표"/>
      <sheetName val="수원공"/>
      <sheetName val="구분자"/>
      <sheetName val="그림"/>
      <sheetName val="구성1"/>
      <sheetName val="구성2"/>
      <sheetName val="구성3"/>
      <sheetName val="구성4"/>
      <sheetName val="그림2"/>
      <sheetName val="69.03%"/>
      <sheetName val="변경내역100%"/>
      <sheetName val="변경내역98%"/>
      <sheetName val="변경내역96%"/>
      <sheetName val="변경내역92%"/>
      <sheetName val="변경내역88%"/>
      <sheetName val="변경내역84.52%"/>
      <sheetName val="E총"/>
      <sheetName val="Languages"/>
      <sheetName val="DATA-UPS"/>
      <sheetName val="공조기(삭제)"/>
      <sheetName val="예산M11A"/>
      <sheetName val="준공평가"/>
      <sheetName val="공통가설"/>
      <sheetName val="가공비"/>
      <sheetName val="건축개요"/>
      <sheetName val="지수"/>
      <sheetName val="3본사"/>
      <sheetName val="(2)"/>
      <sheetName val="년도별노임표"/>
      <sheetName val="중기목록표"/>
      <sheetName val="정공공사"/>
      <sheetName val="기초일위"/>
      <sheetName val="시설일위"/>
      <sheetName val="조명일위"/>
      <sheetName val="성내동"/>
      <sheetName val="소포내역 (2)"/>
      <sheetName val="2002상반기노임기준"/>
      <sheetName val="업체별기성내역"/>
      <sheetName val="변압기"/>
      <sheetName val="발전기용량-1"/>
      <sheetName val="발전기용량-2"/>
      <sheetName val="출력전에보세요"/>
      <sheetName val="전력간선(일반)"/>
      <sheetName val="전력간선(동력)"/>
      <sheetName val="MCC-B-A"/>
      <sheetName val="MCC-B-B"/>
      <sheetName val="MCC-B-C"/>
      <sheetName val="ACCOUNT(RECEP)"/>
      <sheetName val="부하(동력)"/>
      <sheetName val="ILLUMINANCE"/>
      <sheetName val="설명"/>
      <sheetName val="계산DATA"/>
      <sheetName val="데이터북"/>
      <sheetName val="조명참고자료"/>
      <sheetName val="세부내역서"/>
      <sheetName val="단면별연장"/>
      <sheetName val="구조물공"/>
      <sheetName val="부대공"/>
      <sheetName val="배수공"/>
      <sheetName val="적격심사표"/>
      <sheetName val="EQT-ESTN"/>
      <sheetName val="평3"/>
      <sheetName val="2.펌프장(사급자재)"/>
      <sheetName val="MACRO(MCC)"/>
      <sheetName val="적용토목"/>
      <sheetName val="3.자재비(총괄)"/>
      <sheetName val="세부내역서(전기)"/>
      <sheetName val="plan&amp;section of foundation"/>
      <sheetName val="할증 "/>
      <sheetName val="COVER-P"/>
      <sheetName val="영업소실적"/>
      <sheetName val="변경품셈총괄"/>
      <sheetName val="Proposal"/>
      <sheetName val="CC16-내역서"/>
      <sheetName val="PIPING"/>
      <sheetName val="목록"/>
      <sheetName val="1.범위"/>
      <sheetName val="2.편성"/>
      <sheetName val="3개요"/>
      <sheetName val="5내역"/>
      <sheetName val="6.GAS"/>
      <sheetName val="7임급실"/>
      <sheetName val="미제출"/>
      <sheetName val="소방1"/>
      <sheetName val="소방2"/>
      <sheetName val="왜UP"/>
      <sheetName val="샤워실위생"/>
      <sheetName val="건축토목내역"/>
      <sheetName val="적현로"/>
      <sheetName val="대전-교대(A1-A2)"/>
      <sheetName val="205동"/>
      <sheetName val="실행대비"/>
      <sheetName val="견적서1"/>
      <sheetName val="개별직종노임단가(2005.1)"/>
      <sheetName val="맨홀수량"/>
      <sheetName val="노임,자재"/>
      <sheetName val="기계경비(맨홀)"/>
      <sheetName val="인수공규격"/>
      <sheetName val="굴착현장"/>
      <sheetName val="소운반"/>
      <sheetName val="공종구간"/>
      <sheetName val="일위1"/>
    </sheetNames>
    <definedNames>
      <definedName name="Macro10"/>
      <definedName name="Macro12"/>
      <definedName name="Macro13"/>
      <definedName name="Macro14"/>
      <definedName name="Macro7"/>
      <definedName name="Macro9" sheetId="3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/>
      <sheetData sheetId="800"/>
      <sheetData sheetId="801"/>
      <sheetData sheetId="802"/>
      <sheetData sheetId="803"/>
      <sheetData sheetId="804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/>
      <sheetData sheetId="875"/>
      <sheetData sheetId="876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/>
      <sheetData sheetId="925"/>
      <sheetData sheetId="926"/>
      <sheetData sheetId="927" refreshError="1"/>
      <sheetData sheetId="928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/>
      <sheetData sheetId="1056"/>
      <sheetData sheetId="1057"/>
      <sheetData sheetId="1058" refreshError="1"/>
      <sheetData sheetId="1059" refreshError="1"/>
      <sheetData sheetId="1060"/>
      <sheetData sheetId="1061"/>
      <sheetData sheetId="1062"/>
      <sheetData sheetId="1063"/>
      <sheetData sheetId="1064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/>
      <sheetData sheetId="1089" refreshError="1"/>
      <sheetData sheetId="1090" refreshError="1"/>
      <sheetData sheetId="1091" refreshError="1"/>
      <sheetData sheetId="1092"/>
      <sheetData sheetId="1093" refreshError="1"/>
      <sheetData sheetId="1094" refreshError="1"/>
      <sheetData sheetId="1095" refreshError="1"/>
      <sheetData sheetId="1096" refreshError="1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/>
      <sheetData sheetId="1107"/>
      <sheetData sheetId="1108" refreshError="1"/>
      <sheetData sheetId="1109" refreshError="1"/>
      <sheetData sheetId="1110"/>
      <sheetData sheetId="1111"/>
      <sheetData sheetId="1112"/>
      <sheetData sheetId="1113" refreshError="1"/>
      <sheetData sheetId="1114" refreshError="1"/>
      <sheetData sheetId="1115" refreshError="1"/>
      <sheetData sheetId="1116" refreshError="1"/>
      <sheetData sheetId="1117"/>
      <sheetData sheetId="1118"/>
      <sheetData sheetId="1119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/>
      <sheetData sheetId="1129" refreshError="1"/>
      <sheetData sheetId="1130" refreshError="1"/>
      <sheetData sheetId="1131" refreshError="1"/>
      <sheetData sheetId="1132" refreshError="1"/>
      <sheetData sheetId="1133"/>
      <sheetData sheetId="1134"/>
      <sheetData sheetId="1135"/>
      <sheetData sheetId="1136"/>
      <sheetData sheetId="1137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/>
      <sheetData sheetId="1167" refreshError="1"/>
      <sheetData sheetId="1168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/>
      <sheetData sheetId="1199"/>
      <sheetData sheetId="1200"/>
      <sheetData sheetId="120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/>
      <sheetData sheetId="1321" refreshError="1"/>
      <sheetData sheetId="1322" refreshError="1"/>
      <sheetData sheetId="1323"/>
      <sheetData sheetId="1324"/>
      <sheetData sheetId="1325"/>
      <sheetData sheetId="1326"/>
      <sheetData sheetId="1327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/>
      <sheetData sheetId="1342" refreshError="1"/>
      <sheetData sheetId="1343" refreshError="1"/>
      <sheetData sheetId="1344" refreshError="1"/>
      <sheetData sheetId="1345"/>
      <sheetData sheetId="1346" refreshError="1"/>
      <sheetData sheetId="1347" refreshError="1"/>
      <sheetData sheetId="1348"/>
      <sheetData sheetId="1349"/>
      <sheetData sheetId="1350" refreshError="1"/>
      <sheetData sheetId="1351" refreshError="1"/>
      <sheetData sheetId="1352" refreshError="1"/>
      <sheetData sheetId="1353"/>
      <sheetData sheetId="1354" refreshError="1"/>
      <sheetData sheetId="1355" refreshError="1"/>
      <sheetData sheetId="1356" refreshError="1"/>
      <sheetData sheetId="1357" refreshError="1"/>
      <sheetData sheetId="1358"/>
      <sheetData sheetId="1359" refreshError="1"/>
      <sheetData sheetId="1360" refreshError="1"/>
      <sheetData sheetId="1361" refreshError="1"/>
      <sheetData sheetId="1362" refreshError="1"/>
      <sheetData sheetId="1363"/>
      <sheetData sheetId="1364"/>
      <sheetData sheetId="1365"/>
      <sheetData sheetId="1366"/>
      <sheetData sheetId="1367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비종합"/>
      <sheetName val="대비"/>
      <sheetName val="내역"/>
      <sheetName val="당초물량"/>
      <sheetName val="물량"/>
      <sheetName val="2.대외공문"/>
      <sheetName val="공사설계서"/>
      <sheetName val="제-노임"/>
      <sheetName val="제직재"/>
      <sheetName val="N賃率-職"/>
      <sheetName val="표지 (2)"/>
      <sheetName val="토목설계변경"/>
      <sheetName val="설계서(MTr)"/>
      <sheetName val="품(M.Tr)"/>
      <sheetName val="운반(M.Tr)"/>
      <sheetName val="말고개터널조명전압강하"/>
      <sheetName val="수량산출"/>
      <sheetName val="I一般比"/>
      <sheetName val="별표집계"/>
      <sheetName val="가공송전산출서"/>
      <sheetName val="현장관리비 산출내역"/>
      <sheetName val="남양구조시험동"/>
      <sheetName val="공구원가계산"/>
      <sheetName val="DATE"/>
      <sheetName val="내역(정지)"/>
      <sheetName val="계정"/>
      <sheetName val="특별교실"/>
      <sheetName val="가감수량"/>
      <sheetName val="맨홀수량산출"/>
      <sheetName val="ⴭⴭⴭⴭ"/>
      <sheetName val="1안"/>
      <sheetName val="b_balju_cho"/>
      <sheetName val="품셈집계표"/>
      <sheetName val="BH-1"/>
      <sheetName val="증감대비"/>
      <sheetName val="공종단가"/>
      <sheetName val="자재단가"/>
      <sheetName val="예정(3)"/>
      <sheetName val="종합기별"/>
      <sheetName val="노무비명세서"/>
      <sheetName val="소요자재명세서"/>
      <sheetName val="내역서"/>
      <sheetName val="ABUT수량-A1"/>
      <sheetName val="J直材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대비표"/>
      <sheetName val="견적대비표"/>
      <sheetName val="내역서"/>
      <sheetName val="PANEL 중량산출"/>
      <sheetName val="중량산출"/>
      <sheetName val="수량산출"/>
      <sheetName val="직노"/>
      <sheetName val="내역서1999.8최종"/>
      <sheetName val="대치판정"/>
      <sheetName val="일위대가"/>
      <sheetName val="연습"/>
      <sheetName val="N賃率-職"/>
      <sheetName val="신우"/>
      <sheetName val="Sheet14"/>
      <sheetName val="Sheet13"/>
      <sheetName val="내역서1"/>
      <sheetName val="일보_생산"/>
      <sheetName val="K-SET1"/>
      <sheetName val="자재단가표"/>
      <sheetName val="집계표"/>
      <sheetName val="인건-측정"/>
      <sheetName val="Sheet2"/>
      <sheetName val="Sheet3"/>
      <sheetName val="Sheet1"/>
      <sheetName val="단가산출"/>
      <sheetName val="시화점실행"/>
      <sheetName val="을지"/>
      <sheetName val="한일양산"/>
      <sheetName val="합천내역"/>
      <sheetName val="일위"/>
      <sheetName val="1.수인터널"/>
      <sheetName val="견적서"/>
      <sheetName val="과천MAIN"/>
      <sheetName val="제출내역 (2)"/>
      <sheetName val="sw1"/>
      <sheetName val="화산경계"/>
      <sheetName val="공사원가계산서"/>
      <sheetName val="NOMUBI"/>
      <sheetName val="DATA"/>
      <sheetName val="도체종-상수표"/>
      <sheetName val="약품공급2"/>
      <sheetName val="내역"/>
      <sheetName val="FAX"/>
      <sheetName val="원가계산서"/>
      <sheetName val="계수시트"/>
      <sheetName val="EL90"/>
      <sheetName val="G.R300경비"/>
      <sheetName val="EQT-ESTN"/>
      <sheetName val="수량집계"/>
      <sheetName val="총괄집계표"/>
      <sheetName val="강교(Sub)"/>
      <sheetName val="원가계산 (2)"/>
      <sheetName val="일위_파일"/>
      <sheetName val="환율"/>
      <sheetName val="우수공"/>
      <sheetName val="J直材4"/>
      <sheetName val="유동표"/>
      <sheetName val="원본"/>
      <sheetName val="I一般比"/>
      <sheetName val="세부내역서"/>
      <sheetName val="wall"/>
      <sheetName val="자재단가비교표"/>
      <sheetName val="SP-B1"/>
      <sheetName val="원본(갑지)"/>
      <sheetName val="맨홀"/>
      <sheetName val="98수문일위"/>
      <sheetName val="몰탈재료산출"/>
      <sheetName val="01"/>
      <sheetName val="일위대가(계측기설치)"/>
      <sheetName val="직재"/>
      <sheetName val="노임"/>
      <sheetName val="요율"/>
      <sheetName val="일위대가목차"/>
      <sheetName val="노무"/>
      <sheetName val="__"/>
      <sheetName val="각형맨홀"/>
      <sheetName val="설비"/>
      <sheetName val="구천"/>
      <sheetName val="JUCKEYK"/>
      <sheetName val="현장관리비 산출내역"/>
      <sheetName val="EP0618"/>
      <sheetName val="갑지(추정)"/>
      <sheetName val="설계조건"/>
      <sheetName val="금호"/>
      <sheetName val="견적단가"/>
      <sheetName val="기초입력 DATA"/>
      <sheetName val="1차 내역서"/>
      <sheetName val="집수정(600-700)"/>
      <sheetName val="내역전기"/>
      <sheetName val="일위목록"/>
      <sheetName val="T13(P68~72,78)"/>
      <sheetName val="#REF"/>
      <sheetName val="낙찰표"/>
      <sheetName val="밸브설치"/>
      <sheetName val="22수량"/>
      <sheetName val="평3"/>
      <sheetName val="2.대외공문"/>
      <sheetName val="입고장부 (4)"/>
      <sheetName val="교각계산"/>
      <sheetName val="노임단가"/>
      <sheetName val="구조물터파기수량집계"/>
      <sheetName val="측구터파기공수량집계"/>
      <sheetName val="배수공 시멘트 및 골재량 산출"/>
      <sheetName val="C3"/>
      <sheetName val="양식"/>
      <sheetName val="배관단가조사서"/>
      <sheetName val="Total"/>
      <sheetName val="COVER"/>
      <sheetName val="집계표(공종별)"/>
      <sheetName val="단"/>
      <sheetName val="실행철강하도"/>
      <sheetName val="1 자원총괄"/>
      <sheetName val="MOTOR"/>
      <sheetName val="화재 탐지 설비"/>
      <sheetName val="3.하중산정4.지지력"/>
      <sheetName val="경비"/>
      <sheetName val="PANEL_중량산출"/>
      <sheetName val="내역서1999_8최종"/>
      <sheetName val="빌딩 안내"/>
      <sheetName val="갑지"/>
      <sheetName val="TEL"/>
      <sheetName val="품셈TABLE"/>
      <sheetName val="입찰안"/>
      <sheetName val="내역갑지"/>
      <sheetName val="단가표"/>
      <sheetName val="가격표"/>
      <sheetName val="인사자료총집계"/>
      <sheetName val="기별(종합)"/>
      <sheetName val="확정실적"/>
      <sheetName val="하조서"/>
      <sheetName val="동해title"/>
      <sheetName val="단가"/>
      <sheetName val="설계내역서"/>
      <sheetName val="foxz"/>
      <sheetName val="A(Rev.3)"/>
      <sheetName val="VENT"/>
      <sheetName val="견적조건"/>
      <sheetName val="기기리스트"/>
      <sheetName val="잡철물"/>
      <sheetName val="XXXXXX"/>
      <sheetName val="__MAIN"/>
      <sheetName val="1.설계조건"/>
      <sheetName val="CAT_5"/>
      <sheetName val="구조물철거타공정이월"/>
      <sheetName val="전기공사"/>
      <sheetName val="costing_CV"/>
      <sheetName val="2000전체분"/>
      <sheetName val="2000년1차"/>
      <sheetName val="품셈표"/>
      <sheetName val="Macro1"/>
      <sheetName val="인부신상자료"/>
      <sheetName val="특별교실"/>
      <sheetName val="건축집계"/>
      <sheetName val="우수"/>
      <sheetName val="토공사"/>
      <sheetName val="날개벽수량표"/>
      <sheetName val="터파기및재료"/>
      <sheetName val="6동"/>
      <sheetName val="조명시설"/>
      <sheetName val="예총"/>
      <sheetName val="가도공"/>
      <sheetName val="UNIT"/>
      <sheetName val="일위대가표"/>
      <sheetName val="정산내역서"/>
      <sheetName val="산출기준(파견전산실)"/>
      <sheetName val="목차"/>
      <sheetName val="간접"/>
      <sheetName val="전기일위대가"/>
      <sheetName val="원형1호맨홀토공수량"/>
      <sheetName val="주차구획선수량"/>
      <sheetName val="외주현황.wq1"/>
      <sheetName val="기초자료입력"/>
      <sheetName val="평균터파기고(1-2,ASP)"/>
      <sheetName val="골조"/>
      <sheetName val="S0"/>
      <sheetName val="설계명세서"/>
      <sheetName val="예산명세서"/>
      <sheetName val="자료입력"/>
      <sheetName val="건축내역서"/>
      <sheetName val="설비내역서"/>
      <sheetName val="전기내역서"/>
      <sheetName val="Maine"/>
      <sheetName val="인상효1"/>
      <sheetName val="데이타"/>
      <sheetName val="(4-2)열관류값-2"/>
      <sheetName val="을"/>
      <sheetName val="총괄-1"/>
      <sheetName val="품셈총괄표"/>
      <sheetName val="수량산출서"/>
      <sheetName val="토공총괄표"/>
      <sheetName val="EQ"/>
      <sheetName val="TB(BS)"/>
      <sheetName val="TB(PL)"/>
      <sheetName val="노임이"/>
      <sheetName val="금융자산집계표"/>
      <sheetName val="물량표"/>
      <sheetName val="45,46"/>
      <sheetName val="횡배수관토공수량"/>
      <sheetName val="대외공문"/>
      <sheetName val="ABUT수량-A1"/>
      <sheetName val="8.3해석단면 선정"/>
      <sheetName val="경영혁신본부"/>
      <sheetName val="AHU집계"/>
      <sheetName val="공조기휀"/>
      <sheetName val="공조기"/>
      <sheetName val="1-1"/>
      <sheetName val="관일"/>
      <sheetName val="날개벽(TYPE1)"/>
      <sheetName val="LIST"/>
      <sheetName val="FAB별"/>
      <sheetName val="BID"/>
      <sheetName val="토목주소"/>
      <sheetName val="프랜트면허"/>
      <sheetName val="부대시설"/>
      <sheetName val="건축(충일분)"/>
      <sheetName val="PUMP"/>
      <sheetName val="Tool"/>
      <sheetName val="PumpSpec"/>
      <sheetName val="자재"/>
      <sheetName val="산출내역서"/>
      <sheetName val="참조"/>
      <sheetName val="A-4"/>
      <sheetName val="단면가정"/>
      <sheetName val="Sheet1 (2)"/>
      <sheetName val="공예을"/>
      <sheetName val="특수선일위대가"/>
      <sheetName val="6PILE  (돌출)"/>
      <sheetName val="차액보증"/>
      <sheetName val="DATE"/>
      <sheetName val="총괄"/>
      <sheetName val="10동"/>
      <sheetName val="날개벽"/>
      <sheetName val="PAINT"/>
      <sheetName val="TYPE-1"/>
      <sheetName val="SANTOGO"/>
      <sheetName val="b_balju_cho"/>
      <sheetName val="대림산업"/>
      <sheetName val="건축내역"/>
      <sheetName val="교대"/>
      <sheetName val="산출내역서집계표"/>
      <sheetName val="상 부"/>
      <sheetName val="입찰보고"/>
      <sheetName val="진주방향"/>
      <sheetName val="MACRO(전선관)"/>
      <sheetName val="터널조도"/>
      <sheetName val="MAT_N048"/>
      <sheetName val="현장관리비_산출내역"/>
      <sheetName val="원가계산_(2)"/>
      <sheetName val="제출내역_(2)"/>
      <sheetName val="1_수인터널"/>
      <sheetName val="G_R300경비"/>
      <sheetName val="입고장부_(4)"/>
      <sheetName val="1_자원총괄"/>
      <sheetName val="배수공_시멘트_및_골재량_산출"/>
      <sheetName val="화재_탐지_설비"/>
      <sheetName val="工완성공사율"/>
      <sheetName val="경비공통"/>
      <sheetName val="도면명"/>
      <sheetName val="s"/>
      <sheetName val="Macro(전선)"/>
      <sheetName val="자재단가"/>
      <sheetName val="배수통관(좌)"/>
      <sheetName val="설계물량산출"/>
      <sheetName val="FA설치명세"/>
      <sheetName val="정부노임단가"/>
      <sheetName val="전기"/>
      <sheetName val="가시설"/>
      <sheetName val="BJJIN"/>
      <sheetName val="부대공Ⅱ"/>
      <sheetName val="REACTION(USE평시)"/>
      <sheetName val="내역서변경성원"/>
      <sheetName val="통로box전기"/>
      <sheetName val="인건비"/>
      <sheetName val="신공항A-9(원가수정)"/>
    </sheetNames>
    <sheetDataSet>
      <sheetData sheetId="0">
        <row r="1">
          <cell r="A1">
            <v>1</v>
          </cell>
        </row>
      </sheetData>
      <sheetData sheetId="1"/>
      <sheetData sheetId="2"/>
      <sheetData sheetId="3"/>
      <sheetData sheetId="4"/>
      <sheetData sheetId="5" refreshError="1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  <row r="4">
          <cell r="A4">
            <v>4</v>
          </cell>
        </row>
        <row r="5">
          <cell r="A5">
            <v>5</v>
          </cell>
        </row>
        <row r="6">
          <cell r="A6">
            <v>6</v>
          </cell>
        </row>
        <row r="7">
          <cell r="A7">
            <v>7</v>
          </cell>
        </row>
        <row r="8">
          <cell r="A8">
            <v>8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  <row r="14">
          <cell r="A14">
            <v>14</v>
          </cell>
        </row>
        <row r="15">
          <cell r="A15">
            <v>15</v>
          </cell>
        </row>
        <row r="16">
          <cell r="A16">
            <v>16</v>
          </cell>
        </row>
        <row r="17">
          <cell r="A17">
            <v>17</v>
          </cell>
        </row>
        <row r="18">
          <cell r="A18">
            <v>18</v>
          </cell>
        </row>
        <row r="19">
          <cell r="A19">
            <v>19</v>
          </cell>
        </row>
        <row r="20">
          <cell r="A20">
            <v>20</v>
          </cell>
        </row>
        <row r="21">
          <cell r="A21">
            <v>21</v>
          </cell>
        </row>
        <row r="22">
          <cell r="A22">
            <v>22</v>
          </cell>
        </row>
        <row r="23">
          <cell r="A23">
            <v>23</v>
          </cell>
        </row>
        <row r="24">
          <cell r="A24">
            <v>24</v>
          </cell>
        </row>
        <row r="25">
          <cell r="A25">
            <v>25</v>
          </cell>
        </row>
        <row r="26">
          <cell r="A26">
            <v>26</v>
          </cell>
        </row>
        <row r="27">
          <cell r="A27">
            <v>27</v>
          </cell>
        </row>
        <row r="28">
          <cell r="A28">
            <v>28</v>
          </cell>
        </row>
        <row r="29">
          <cell r="A29">
            <v>29</v>
          </cell>
        </row>
        <row r="30">
          <cell r="A30">
            <v>30</v>
          </cell>
        </row>
        <row r="31">
          <cell r="A31">
            <v>31</v>
          </cell>
        </row>
        <row r="32">
          <cell r="A32">
            <v>32</v>
          </cell>
        </row>
        <row r="33">
          <cell r="A33">
            <v>33</v>
          </cell>
        </row>
        <row r="34">
          <cell r="A34">
            <v>34</v>
          </cell>
        </row>
        <row r="35">
          <cell r="A35">
            <v>35</v>
          </cell>
        </row>
        <row r="36">
          <cell r="A36">
            <v>36</v>
          </cell>
        </row>
        <row r="37">
          <cell r="A37">
            <v>37</v>
          </cell>
        </row>
        <row r="38">
          <cell r="A38">
            <v>38</v>
          </cell>
        </row>
        <row r="39">
          <cell r="A39">
            <v>39</v>
          </cell>
        </row>
        <row r="40">
          <cell r="A40">
            <v>40</v>
          </cell>
        </row>
        <row r="41">
          <cell r="A41">
            <v>41</v>
          </cell>
        </row>
        <row r="42">
          <cell r="A42">
            <v>42</v>
          </cell>
        </row>
        <row r="43">
          <cell r="A43">
            <v>43</v>
          </cell>
        </row>
        <row r="44">
          <cell r="A44">
            <v>44</v>
          </cell>
        </row>
        <row r="45">
          <cell r="A45">
            <v>45</v>
          </cell>
        </row>
        <row r="46">
          <cell r="A46">
            <v>46</v>
          </cell>
        </row>
        <row r="47">
          <cell r="A47">
            <v>47</v>
          </cell>
        </row>
        <row r="48">
          <cell r="A48">
            <v>48</v>
          </cell>
        </row>
        <row r="49">
          <cell r="A49">
            <v>49</v>
          </cell>
        </row>
        <row r="50">
          <cell r="A50">
            <v>50</v>
          </cell>
        </row>
        <row r="51">
          <cell r="A51">
            <v>51</v>
          </cell>
        </row>
        <row r="52">
          <cell r="A52">
            <v>52</v>
          </cell>
        </row>
        <row r="53">
          <cell r="A53">
            <v>53</v>
          </cell>
        </row>
        <row r="54">
          <cell r="A54">
            <v>54</v>
          </cell>
        </row>
        <row r="55">
          <cell r="A55">
            <v>55</v>
          </cell>
        </row>
        <row r="56">
          <cell r="A56">
            <v>56</v>
          </cell>
        </row>
        <row r="57">
          <cell r="A57">
            <v>57</v>
          </cell>
        </row>
        <row r="58">
          <cell r="A58">
            <v>58</v>
          </cell>
        </row>
        <row r="59">
          <cell r="A59">
            <v>59</v>
          </cell>
        </row>
        <row r="60">
          <cell r="A60">
            <v>60</v>
          </cell>
        </row>
        <row r="61">
          <cell r="A61">
            <v>61</v>
          </cell>
        </row>
        <row r="62">
          <cell r="A62">
            <v>62</v>
          </cell>
        </row>
        <row r="63">
          <cell r="A63">
            <v>63</v>
          </cell>
        </row>
        <row r="64">
          <cell r="A64">
            <v>64</v>
          </cell>
        </row>
        <row r="65">
          <cell r="A65">
            <v>65</v>
          </cell>
        </row>
        <row r="66">
          <cell r="A66">
            <v>66</v>
          </cell>
        </row>
        <row r="67">
          <cell r="A67">
            <v>67</v>
          </cell>
        </row>
        <row r="68">
          <cell r="A68">
            <v>68</v>
          </cell>
        </row>
        <row r="69">
          <cell r="A69">
            <v>69</v>
          </cell>
        </row>
        <row r="70">
          <cell r="A70">
            <v>70</v>
          </cell>
        </row>
        <row r="71">
          <cell r="A71">
            <v>71</v>
          </cell>
        </row>
        <row r="72">
          <cell r="A72">
            <v>72</v>
          </cell>
        </row>
        <row r="73">
          <cell r="A73">
            <v>73</v>
          </cell>
        </row>
        <row r="74">
          <cell r="A74">
            <v>74</v>
          </cell>
        </row>
        <row r="75">
          <cell r="A75">
            <v>75</v>
          </cell>
        </row>
        <row r="76">
          <cell r="A76">
            <v>76</v>
          </cell>
        </row>
        <row r="77">
          <cell r="A77">
            <v>77</v>
          </cell>
        </row>
        <row r="78">
          <cell r="A78">
            <v>78</v>
          </cell>
        </row>
        <row r="79">
          <cell r="A79">
            <v>79</v>
          </cell>
        </row>
        <row r="80">
          <cell r="A80">
            <v>80</v>
          </cell>
        </row>
        <row r="81">
          <cell r="A81">
            <v>81</v>
          </cell>
        </row>
        <row r="82">
          <cell r="A82">
            <v>82</v>
          </cell>
        </row>
        <row r="83">
          <cell r="A83">
            <v>83</v>
          </cell>
        </row>
        <row r="84">
          <cell r="A84">
            <v>84</v>
          </cell>
        </row>
        <row r="85">
          <cell r="A85">
            <v>85</v>
          </cell>
        </row>
        <row r="86">
          <cell r="A86">
            <v>86</v>
          </cell>
        </row>
        <row r="87">
          <cell r="A87">
            <v>87</v>
          </cell>
        </row>
        <row r="88">
          <cell r="A88">
            <v>88</v>
          </cell>
        </row>
        <row r="89">
          <cell r="A89">
            <v>89</v>
          </cell>
        </row>
        <row r="90">
          <cell r="A90">
            <v>90</v>
          </cell>
        </row>
        <row r="91">
          <cell r="A91">
            <v>91</v>
          </cell>
        </row>
        <row r="92">
          <cell r="A92">
            <v>92</v>
          </cell>
        </row>
        <row r="93">
          <cell r="A93">
            <v>93</v>
          </cell>
        </row>
        <row r="94">
          <cell r="A94">
            <v>94</v>
          </cell>
        </row>
        <row r="95">
          <cell r="A95">
            <v>95</v>
          </cell>
        </row>
        <row r="96">
          <cell r="A96">
            <v>96</v>
          </cell>
        </row>
        <row r="97">
          <cell r="A97">
            <v>97</v>
          </cell>
        </row>
        <row r="98">
          <cell r="A98">
            <v>98</v>
          </cell>
        </row>
        <row r="99">
          <cell r="A99">
            <v>99</v>
          </cell>
        </row>
        <row r="100">
          <cell r="A100">
            <v>100</v>
          </cell>
        </row>
        <row r="101">
          <cell r="A101">
            <v>101</v>
          </cell>
        </row>
        <row r="102">
          <cell r="A102">
            <v>102</v>
          </cell>
        </row>
        <row r="103">
          <cell r="A103">
            <v>103</v>
          </cell>
        </row>
        <row r="104">
          <cell r="A104">
            <v>104</v>
          </cell>
        </row>
        <row r="105">
          <cell r="A105">
            <v>105</v>
          </cell>
        </row>
        <row r="106">
          <cell r="A106">
            <v>106</v>
          </cell>
        </row>
        <row r="107">
          <cell r="A107">
            <v>107</v>
          </cell>
        </row>
        <row r="108">
          <cell r="A108">
            <v>108</v>
          </cell>
        </row>
        <row r="109">
          <cell r="A109">
            <v>109</v>
          </cell>
        </row>
        <row r="110">
          <cell r="A110">
            <v>110</v>
          </cell>
        </row>
        <row r="111">
          <cell r="A111">
            <v>111</v>
          </cell>
        </row>
        <row r="112">
          <cell r="A112">
            <v>112</v>
          </cell>
        </row>
        <row r="113">
          <cell r="A113">
            <v>113</v>
          </cell>
        </row>
        <row r="114">
          <cell r="A114">
            <v>114</v>
          </cell>
        </row>
        <row r="115">
          <cell r="A115">
            <v>115</v>
          </cell>
        </row>
        <row r="116">
          <cell r="A116">
            <v>116</v>
          </cell>
        </row>
        <row r="117">
          <cell r="A117">
            <v>117</v>
          </cell>
        </row>
        <row r="118">
          <cell r="A118">
            <v>118</v>
          </cell>
        </row>
        <row r="119">
          <cell r="A119">
            <v>119</v>
          </cell>
        </row>
        <row r="120">
          <cell r="A120">
            <v>120</v>
          </cell>
        </row>
        <row r="121">
          <cell r="A121">
            <v>121</v>
          </cell>
        </row>
        <row r="122">
          <cell r="A122">
            <v>122</v>
          </cell>
        </row>
        <row r="123">
          <cell r="A123">
            <v>123</v>
          </cell>
        </row>
        <row r="124">
          <cell r="A124">
            <v>124</v>
          </cell>
        </row>
        <row r="125">
          <cell r="A125">
            <v>125</v>
          </cell>
        </row>
        <row r="126">
          <cell r="A126">
            <v>126</v>
          </cell>
        </row>
        <row r="127">
          <cell r="A127">
            <v>127</v>
          </cell>
        </row>
        <row r="128">
          <cell r="A128">
            <v>128</v>
          </cell>
        </row>
        <row r="129">
          <cell r="A129">
            <v>129</v>
          </cell>
        </row>
        <row r="130">
          <cell r="A130">
            <v>130</v>
          </cell>
        </row>
        <row r="131">
          <cell r="A131">
            <v>131</v>
          </cell>
        </row>
        <row r="132">
          <cell r="A132">
            <v>132</v>
          </cell>
        </row>
        <row r="133">
          <cell r="A133">
            <v>133</v>
          </cell>
        </row>
        <row r="134">
          <cell r="A134">
            <v>134</v>
          </cell>
        </row>
        <row r="135">
          <cell r="A135">
            <v>135</v>
          </cell>
        </row>
        <row r="136">
          <cell r="A136">
            <v>136</v>
          </cell>
        </row>
        <row r="137">
          <cell r="A137">
            <v>137</v>
          </cell>
        </row>
        <row r="138">
          <cell r="A138">
            <v>138</v>
          </cell>
        </row>
        <row r="139">
          <cell r="A139">
            <v>139</v>
          </cell>
        </row>
        <row r="140">
          <cell r="A140">
            <v>140</v>
          </cell>
        </row>
        <row r="141">
          <cell r="A141">
            <v>141</v>
          </cell>
        </row>
        <row r="142">
          <cell r="A142">
            <v>142</v>
          </cell>
        </row>
        <row r="143">
          <cell r="A143">
            <v>143</v>
          </cell>
        </row>
        <row r="144">
          <cell r="A144">
            <v>144</v>
          </cell>
        </row>
        <row r="145">
          <cell r="A145">
            <v>145</v>
          </cell>
        </row>
        <row r="146">
          <cell r="A146">
            <v>146</v>
          </cell>
        </row>
        <row r="147">
          <cell r="A147">
            <v>147</v>
          </cell>
        </row>
        <row r="148">
          <cell r="A148">
            <v>148</v>
          </cell>
        </row>
        <row r="149">
          <cell r="A149">
            <v>149</v>
          </cell>
        </row>
        <row r="150">
          <cell r="A150">
            <v>150</v>
          </cell>
        </row>
        <row r="151">
          <cell r="A151">
            <v>151</v>
          </cell>
        </row>
        <row r="152">
          <cell r="A152">
            <v>152</v>
          </cell>
        </row>
        <row r="153">
          <cell r="A153">
            <v>153</v>
          </cell>
        </row>
        <row r="154">
          <cell r="A154">
            <v>154</v>
          </cell>
        </row>
        <row r="155">
          <cell r="A155">
            <v>155</v>
          </cell>
        </row>
        <row r="156">
          <cell r="A156">
            <v>156</v>
          </cell>
        </row>
        <row r="157">
          <cell r="A157">
            <v>157</v>
          </cell>
        </row>
        <row r="158">
          <cell r="A158">
            <v>158</v>
          </cell>
        </row>
        <row r="159">
          <cell r="A159">
            <v>159</v>
          </cell>
        </row>
        <row r="160">
          <cell r="A160">
            <v>160</v>
          </cell>
        </row>
        <row r="161">
          <cell r="A161">
            <v>161</v>
          </cell>
        </row>
        <row r="162">
          <cell r="A162">
            <v>162</v>
          </cell>
        </row>
        <row r="163">
          <cell r="A163">
            <v>163</v>
          </cell>
        </row>
        <row r="164">
          <cell r="A164">
            <v>164</v>
          </cell>
        </row>
        <row r="165">
          <cell r="A165">
            <v>165</v>
          </cell>
        </row>
        <row r="166">
          <cell r="A166">
            <v>166</v>
          </cell>
        </row>
        <row r="167">
          <cell r="A167">
            <v>167</v>
          </cell>
        </row>
        <row r="168">
          <cell r="A168">
            <v>168</v>
          </cell>
        </row>
        <row r="169">
          <cell r="A169">
            <v>169</v>
          </cell>
        </row>
        <row r="170">
          <cell r="A170">
            <v>170</v>
          </cell>
        </row>
        <row r="171">
          <cell r="A171">
            <v>171</v>
          </cell>
        </row>
        <row r="172">
          <cell r="A172">
            <v>172</v>
          </cell>
        </row>
        <row r="173">
          <cell r="A173">
            <v>173</v>
          </cell>
        </row>
        <row r="174">
          <cell r="A174">
            <v>174</v>
          </cell>
        </row>
        <row r="175">
          <cell r="A175">
            <v>175</v>
          </cell>
        </row>
        <row r="176">
          <cell r="A176">
            <v>176</v>
          </cell>
        </row>
        <row r="177">
          <cell r="A177">
            <v>177</v>
          </cell>
        </row>
        <row r="178">
          <cell r="A178">
            <v>178</v>
          </cell>
        </row>
        <row r="179">
          <cell r="A179">
            <v>179</v>
          </cell>
        </row>
        <row r="180">
          <cell r="A180">
            <v>180</v>
          </cell>
        </row>
        <row r="181">
          <cell r="A181">
            <v>181</v>
          </cell>
        </row>
        <row r="182">
          <cell r="A182">
            <v>182</v>
          </cell>
        </row>
        <row r="183">
          <cell r="A183">
            <v>183</v>
          </cell>
        </row>
        <row r="184">
          <cell r="A184">
            <v>184</v>
          </cell>
        </row>
        <row r="185">
          <cell r="A185">
            <v>185</v>
          </cell>
        </row>
        <row r="186">
          <cell r="A186">
            <v>186</v>
          </cell>
        </row>
        <row r="187">
          <cell r="A187">
            <v>187</v>
          </cell>
        </row>
        <row r="188">
          <cell r="A188">
            <v>188</v>
          </cell>
        </row>
        <row r="189">
          <cell r="A189">
            <v>189</v>
          </cell>
        </row>
        <row r="190">
          <cell r="A190">
            <v>190</v>
          </cell>
        </row>
        <row r="191">
          <cell r="A191">
            <v>191</v>
          </cell>
        </row>
        <row r="192">
          <cell r="A192">
            <v>192</v>
          </cell>
        </row>
        <row r="193">
          <cell r="A193">
            <v>193</v>
          </cell>
        </row>
        <row r="194">
          <cell r="A194">
            <v>194</v>
          </cell>
        </row>
        <row r="195">
          <cell r="A195">
            <v>195</v>
          </cell>
        </row>
        <row r="196">
          <cell r="A196">
            <v>196</v>
          </cell>
        </row>
        <row r="197">
          <cell r="A197">
            <v>197</v>
          </cell>
        </row>
        <row r="198">
          <cell r="A198">
            <v>198</v>
          </cell>
        </row>
        <row r="199">
          <cell r="A199">
            <v>199</v>
          </cell>
        </row>
        <row r="200">
          <cell r="A200">
            <v>200</v>
          </cell>
        </row>
        <row r="201">
          <cell r="A201">
            <v>201</v>
          </cell>
        </row>
        <row r="202">
          <cell r="A202">
            <v>202</v>
          </cell>
        </row>
        <row r="203">
          <cell r="A203">
            <v>203</v>
          </cell>
        </row>
        <row r="204">
          <cell r="A204">
            <v>204</v>
          </cell>
        </row>
        <row r="205">
          <cell r="A205">
            <v>205</v>
          </cell>
        </row>
        <row r="206">
          <cell r="A206">
            <v>206</v>
          </cell>
        </row>
        <row r="207">
          <cell r="A207">
            <v>207</v>
          </cell>
        </row>
        <row r="208">
          <cell r="A208">
            <v>208</v>
          </cell>
        </row>
        <row r="209">
          <cell r="A209">
            <v>209</v>
          </cell>
        </row>
        <row r="210">
          <cell r="A210">
            <v>210</v>
          </cell>
        </row>
        <row r="211">
          <cell r="A211">
            <v>211</v>
          </cell>
        </row>
        <row r="212">
          <cell r="A212">
            <v>212</v>
          </cell>
        </row>
        <row r="213">
          <cell r="A213">
            <v>213</v>
          </cell>
        </row>
        <row r="214">
          <cell r="A214">
            <v>214</v>
          </cell>
        </row>
        <row r="215">
          <cell r="A215">
            <v>215</v>
          </cell>
        </row>
        <row r="216">
          <cell r="A216">
            <v>216</v>
          </cell>
        </row>
        <row r="217">
          <cell r="A217">
            <v>217</v>
          </cell>
        </row>
        <row r="218">
          <cell r="A218">
            <v>218</v>
          </cell>
        </row>
        <row r="219">
          <cell r="A219">
            <v>219</v>
          </cell>
        </row>
        <row r="220">
          <cell r="A220">
            <v>220</v>
          </cell>
        </row>
        <row r="221">
          <cell r="A221">
            <v>221</v>
          </cell>
        </row>
        <row r="222">
          <cell r="A222">
            <v>222</v>
          </cell>
        </row>
        <row r="223">
          <cell r="A223">
            <v>223</v>
          </cell>
        </row>
        <row r="224">
          <cell r="A224">
            <v>224</v>
          </cell>
        </row>
        <row r="225">
          <cell r="A225">
            <v>225</v>
          </cell>
        </row>
        <row r="226">
          <cell r="A226">
            <v>226</v>
          </cell>
        </row>
        <row r="227">
          <cell r="A227">
            <v>227</v>
          </cell>
        </row>
        <row r="228">
          <cell r="A228">
            <v>228</v>
          </cell>
        </row>
        <row r="229">
          <cell r="A229">
            <v>229</v>
          </cell>
        </row>
        <row r="230">
          <cell r="A230">
            <v>230</v>
          </cell>
        </row>
        <row r="231">
          <cell r="A231">
            <v>231</v>
          </cell>
        </row>
        <row r="232">
          <cell r="A232">
            <v>232</v>
          </cell>
        </row>
        <row r="233">
          <cell r="A233">
            <v>233</v>
          </cell>
        </row>
        <row r="234">
          <cell r="A234">
            <v>234</v>
          </cell>
        </row>
        <row r="235">
          <cell r="A235">
            <v>235</v>
          </cell>
        </row>
        <row r="236">
          <cell r="A236">
            <v>236</v>
          </cell>
        </row>
        <row r="237">
          <cell r="A237">
            <v>237</v>
          </cell>
        </row>
        <row r="238">
          <cell r="A238">
            <v>238</v>
          </cell>
        </row>
        <row r="239">
          <cell r="A239">
            <v>239</v>
          </cell>
        </row>
        <row r="240">
          <cell r="A240">
            <v>240</v>
          </cell>
        </row>
        <row r="241">
          <cell r="A241">
            <v>241</v>
          </cell>
        </row>
        <row r="242">
          <cell r="A242">
            <v>242</v>
          </cell>
        </row>
        <row r="243">
          <cell r="A243">
            <v>243</v>
          </cell>
        </row>
        <row r="244">
          <cell r="A244">
            <v>244</v>
          </cell>
        </row>
        <row r="245">
          <cell r="A245">
            <v>245</v>
          </cell>
        </row>
        <row r="246">
          <cell r="A246">
            <v>246</v>
          </cell>
        </row>
        <row r="247">
          <cell r="A247">
            <v>247</v>
          </cell>
        </row>
        <row r="248">
          <cell r="A248">
            <v>248</v>
          </cell>
        </row>
        <row r="249">
          <cell r="A249">
            <v>249</v>
          </cell>
        </row>
        <row r="250">
          <cell r="A250">
            <v>250</v>
          </cell>
        </row>
        <row r="251">
          <cell r="A251">
            <v>251</v>
          </cell>
        </row>
        <row r="252">
          <cell r="A252">
            <v>252</v>
          </cell>
        </row>
        <row r="253">
          <cell r="A253">
            <v>253</v>
          </cell>
        </row>
        <row r="254">
          <cell r="A254">
            <v>254</v>
          </cell>
        </row>
        <row r="255">
          <cell r="A255">
            <v>255</v>
          </cell>
        </row>
        <row r="256">
          <cell r="A256">
            <v>256</v>
          </cell>
        </row>
        <row r="257">
          <cell r="A257">
            <v>257</v>
          </cell>
        </row>
        <row r="258">
          <cell r="A258">
            <v>258</v>
          </cell>
        </row>
        <row r="259">
          <cell r="A259">
            <v>259</v>
          </cell>
        </row>
        <row r="260">
          <cell r="A260">
            <v>260</v>
          </cell>
        </row>
        <row r="261">
          <cell r="A261">
            <v>261</v>
          </cell>
        </row>
        <row r="262">
          <cell r="A262">
            <v>262</v>
          </cell>
        </row>
        <row r="263">
          <cell r="A263">
            <v>263</v>
          </cell>
        </row>
        <row r="264">
          <cell r="A264">
            <v>264</v>
          </cell>
        </row>
        <row r="265">
          <cell r="A265">
            <v>265</v>
          </cell>
        </row>
        <row r="266">
          <cell r="A266">
            <v>266</v>
          </cell>
        </row>
        <row r="267">
          <cell r="A267">
            <v>267</v>
          </cell>
        </row>
        <row r="268">
          <cell r="A268">
            <v>268</v>
          </cell>
        </row>
        <row r="269">
          <cell r="A269">
            <v>269</v>
          </cell>
        </row>
        <row r="270">
          <cell r="A270">
            <v>270</v>
          </cell>
        </row>
        <row r="271">
          <cell r="A271">
            <v>271</v>
          </cell>
        </row>
        <row r="272">
          <cell r="A272">
            <v>272</v>
          </cell>
        </row>
        <row r="273">
          <cell r="A273">
            <v>273</v>
          </cell>
        </row>
        <row r="274">
          <cell r="A274">
            <v>274</v>
          </cell>
        </row>
        <row r="275">
          <cell r="A275">
            <v>275</v>
          </cell>
        </row>
        <row r="276">
          <cell r="A276">
            <v>276</v>
          </cell>
        </row>
        <row r="277">
          <cell r="A277">
            <v>277</v>
          </cell>
        </row>
        <row r="278">
          <cell r="A278">
            <v>278</v>
          </cell>
        </row>
        <row r="279">
          <cell r="A279">
            <v>279</v>
          </cell>
        </row>
        <row r="280">
          <cell r="A280">
            <v>280</v>
          </cell>
        </row>
        <row r="281">
          <cell r="A281">
            <v>281</v>
          </cell>
        </row>
        <row r="282">
          <cell r="A282">
            <v>282</v>
          </cell>
        </row>
        <row r="283">
          <cell r="A283">
            <v>283</v>
          </cell>
        </row>
        <row r="284">
          <cell r="A284">
            <v>284</v>
          </cell>
        </row>
        <row r="285">
          <cell r="A285">
            <v>285</v>
          </cell>
        </row>
        <row r="286">
          <cell r="A286">
            <v>286</v>
          </cell>
        </row>
        <row r="287">
          <cell r="A287">
            <v>287</v>
          </cell>
        </row>
        <row r="288">
          <cell r="A288">
            <v>288</v>
          </cell>
        </row>
        <row r="289">
          <cell r="A289">
            <v>289</v>
          </cell>
        </row>
        <row r="290">
          <cell r="A290">
            <v>290</v>
          </cell>
        </row>
        <row r="291">
          <cell r="A291">
            <v>291</v>
          </cell>
        </row>
        <row r="292">
          <cell r="A292">
            <v>292</v>
          </cell>
        </row>
        <row r="293">
          <cell r="A293">
            <v>293</v>
          </cell>
        </row>
        <row r="294">
          <cell r="A294">
            <v>294</v>
          </cell>
        </row>
        <row r="295">
          <cell r="A295">
            <v>295</v>
          </cell>
        </row>
        <row r="296">
          <cell r="A296">
            <v>296</v>
          </cell>
        </row>
        <row r="297">
          <cell r="A297">
            <v>297</v>
          </cell>
        </row>
        <row r="298">
          <cell r="A298">
            <v>298</v>
          </cell>
        </row>
        <row r="299">
          <cell r="A299">
            <v>299</v>
          </cell>
        </row>
        <row r="300">
          <cell r="A300">
            <v>300</v>
          </cell>
        </row>
        <row r="301">
          <cell r="A301">
            <v>301</v>
          </cell>
        </row>
        <row r="302">
          <cell r="A302">
            <v>302</v>
          </cell>
        </row>
        <row r="303">
          <cell r="A303">
            <v>303</v>
          </cell>
        </row>
        <row r="304">
          <cell r="A304">
            <v>304</v>
          </cell>
        </row>
        <row r="305">
          <cell r="A305">
            <v>305</v>
          </cell>
        </row>
        <row r="306">
          <cell r="A306">
            <v>306</v>
          </cell>
        </row>
        <row r="307">
          <cell r="A307">
            <v>307</v>
          </cell>
        </row>
        <row r="308">
          <cell r="A308">
            <v>308</v>
          </cell>
        </row>
        <row r="309">
          <cell r="A309">
            <v>309</v>
          </cell>
        </row>
        <row r="310">
          <cell r="A310">
            <v>310</v>
          </cell>
        </row>
        <row r="311">
          <cell r="A311">
            <v>311</v>
          </cell>
        </row>
        <row r="312">
          <cell r="A312">
            <v>312</v>
          </cell>
        </row>
        <row r="313">
          <cell r="A313">
            <v>313</v>
          </cell>
        </row>
        <row r="314">
          <cell r="A314">
            <v>314</v>
          </cell>
        </row>
        <row r="315">
          <cell r="A315">
            <v>315</v>
          </cell>
        </row>
        <row r="316">
          <cell r="A316">
            <v>316</v>
          </cell>
        </row>
        <row r="317">
          <cell r="A317">
            <v>317</v>
          </cell>
        </row>
        <row r="318">
          <cell r="A318">
            <v>318</v>
          </cell>
        </row>
        <row r="319">
          <cell r="A319">
            <v>319</v>
          </cell>
        </row>
        <row r="320">
          <cell r="A320">
            <v>320</v>
          </cell>
        </row>
        <row r="321">
          <cell r="A321">
            <v>321</v>
          </cell>
        </row>
        <row r="322">
          <cell r="A322">
            <v>322</v>
          </cell>
        </row>
        <row r="323">
          <cell r="A323">
            <v>323</v>
          </cell>
        </row>
        <row r="324">
          <cell r="A324">
            <v>324</v>
          </cell>
        </row>
        <row r="325">
          <cell r="A325">
            <v>325</v>
          </cell>
        </row>
        <row r="326">
          <cell r="A326">
            <v>326</v>
          </cell>
        </row>
        <row r="327">
          <cell r="A327">
            <v>327</v>
          </cell>
        </row>
        <row r="328">
          <cell r="A328">
            <v>328</v>
          </cell>
        </row>
        <row r="329">
          <cell r="A329">
            <v>329</v>
          </cell>
        </row>
        <row r="330">
          <cell r="A330">
            <v>330</v>
          </cell>
        </row>
        <row r="331">
          <cell r="A331">
            <v>331</v>
          </cell>
        </row>
        <row r="332">
          <cell r="A332">
            <v>332</v>
          </cell>
        </row>
        <row r="333">
          <cell r="A333">
            <v>333</v>
          </cell>
        </row>
        <row r="334">
          <cell r="A334">
            <v>334</v>
          </cell>
        </row>
        <row r="335">
          <cell r="A335">
            <v>335</v>
          </cell>
        </row>
        <row r="336">
          <cell r="A336">
            <v>336</v>
          </cell>
        </row>
        <row r="337">
          <cell r="A337">
            <v>337</v>
          </cell>
        </row>
        <row r="338">
          <cell r="A338">
            <v>338</v>
          </cell>
        </row>
        <row r="339">
          <cell r="A339">
            <v>339</v>
          </cell>
        </row>
        <row r="340">
          <cell r="A340">
            <v>340</v>
          </cell>
        </row>
        <row r="341">
          <cell r="A341">
            <v>341</v>
          </cell>
        </row>
        <row r="342">
          <cell r="A342">
            <v>342</v>
          </cell>
        </row>
        <row r="343">
          <cell r="A343">
            <v>343</v>
          </cell>
        </row>
        <row r="344">
          <cell r="A344">
            <v>344</v>
          </cell>
        </row>
        <row r="345">
          <cell r="A345">
            <v>345</v>
          </cell>
        </row>
        <row r="346">
          <cell r="A346">
            <v>346</v>
          </cell>
        </row>
        <row r="347">
          <cell r="A347">
            <v>347</v>
          </cell>
        </row>
        <row r="348">
          <cell r="A348">
            <v>348</v>
          </cell>
        </row>
        <row r="349">
          <cell r="A349">
            <v>349</v>
          </cell>
        </row>
        <row r="350">
          <cell r="A350">
            <v>350</v>
          </cell>
        </row>
        <row r="351">
          <cell r="A351">
            <v>351</v>
          </cell>
        </row>
        <row r="352">
          <cell r="A352">
            <v>352</v>
          </cell>
        </row>
        <row r="353">
          <cell r="A353">
            <v>353</v>
          </cell>
        </row>
        <row r="354">
          <cell r="A354">
            <v>354</v>
          </cell>
        </row>
        <row r="355">
          <cell r="A355">
            <v>355</v>
          </cell>
        </row>
        <row r="356">
          <cell r="A356">
            <v>356</v>
          </cell>
        </row>
        <row r="357">
          <cell r="A357">
            <v>357</v>
          </cell>
        </row>
        <row r="358">
          <cell r="A358">
            <v>358</v>
          </cell>
        </row>
        <row r="359">
          <cell r="A359">
            <v>359</v>
          </cell>
        </row>
        <row r="360">
          <cell r="A360">
            <v>360</v>
          </cell>
        </row>
        <row r="361">
          <cell r="A361">
            <v>361</v>
          </cell>
        </row>
        <row r="362">
          <cell r="A362">
            <v>362</v>
          </cell>
        </row>
        <row r="363">
          <cell r="A363">
            <v>363</v>
          </cell>
        </row>
        <row r="364">
          <cell r="A364">
            <v>364</v>
          </cell>
        </row>
        <row r="365">
          <cell r="A365">
            <v>365</v>
          </cell>
        </row>
        <row r="366">
          <cell r="A366">
            <v>366</v>
          </cell>
        </row>
        <row r="367">
          <cell r="A367">
            <v>367</v>
          </cell>
        </row>
        <row r="368">
          <cell r="A368">
            <v>368</v>
          </cell>
        </row>
        <row r="369">
          <cell r="A369">
            <v>369</v>
          </cell>
        </row>
        <row r="370">
          <cell r="A370">
            <v>370</v>
          </cell>
        </row>
        <row r="371">
          <cell r="A371">
            <v>371</v>
          </cell>
        </row>
        <row r="372">
          <cell r="A372">
            <v>372</v>
          </cell>
        </row>
        <row r="373">
          <cell r="A373">
            <v>373</v>
          </cell>
        </row>
        <row r="374">
          <cell r="A374">
            <v>374</v>
          </cell>
        </row>
        <row r="375">
          <cell r="A375">
            <v>375</v>
          </cell>
        </row>
        <row r="376">
          <cell r="A376">
            <v>376</v>
          </cell>
        </row>
        <row r="377">
          <cell r="A377">
            <v>377</v>
          </cell>
        </row>
        <row r="378">
          <cell r="A378">
            <v>378</v>
          </cell>
        </row>
        <row r="379">
          <cell r="A379">
            <v>379</v>
          </cell>
        </row>
        <row r="380">
          <cell r="A380">
            <v>380</v>
          </cell>
        </row>
        <row r="381">
          <cell r="A381">
            <v>381</v>
          </cell>
        </row>
        <row r="382">
          <cell r="A382">
            <v>382</v>
          </cell>
        </row>
        <row r="383">
          <cell r="A383">
            <v>383</v>
          </cell>
        </row>
        <row r="384">
          <cell r="A384">
            <v>384</v>
          </cell>
        </row>
        <row r="385">
          <cell r="A385">
            <v>385</v>
          </cell>
        </row>
        <row r="386">
          <cell r="A386">
            <v>386</v>
          </cell>
        </row>
        <row r="387">
          <cell r="A387">
            <v>387</v>
          </cell>
        </row>
        <row r="388">
          <cell r="A388">
            <v>388</v>
          </cell>
        </row>
        <row r="389">
          <cell r="A389">
            <v>389</v>
          </cell>
        </row>
        <row r="390">
          <cell r="A390">
            <v>390</v>
          </cell>
        </row>
        <row r="391">
          <cell r="A391">
            <v>391</v>
          </cell>
        </row>
        <row r="392">
          <cell r="A392">
            <v>392</v>
          </cell>
        </row>
        <row r="393">
          <cell r="A393">
            <v>393</v>
          </cell>
        </row>
        <row r="394">
          <cell r="A394">
            <v>394</v>
          </cell>
        </row>
        <row r="395">
          <cell r="A395">
            <v>395</v>
          </cell>
        </row>
        <row r="396">
          <cell r="A396">
            <v>396</v>
          </cell>
        </row>
        <row r="397">
          <cell r="A397">
            <v>397</v>
          </cell>
        </row>
        <row r="398">
          <cell r="A398">
            <v>398</v>
          </cell>
        </row>
        <row r="399">
          <cell r="A399">
            <v>399</v>
          </cell>
        </row>
        <row r="400">
          <cell r="A400">
            <v>400</v>
          </cell>
        </row>
        <row r="401">
          <cell r="A401">
            <v>401</v>
          </cell>
        </row>
        <row r="402">
          <cell r="A402">
            <v>402</v>
          </cell>
        </row>
        <row r="403">
          <cell r="A403">
            <v>403</v>
          </cell>
        </row>
        <row r="404">
          <cell r="A404">
            <v>404</v>
          </cell>
        </row>
        <row r="405">
          <cell r="A405">
            <v>405</v>
          </cell>
        </row>
        <row r="406">
          <cell r="A406">
            <v>406</v>
          </cell>
        </row>
        <row r="407">
          <cell r="A407">
            <v>407</v>
          </cell>
        </row>
        <row r="408">
          <cell r="A408">
            <v>408</v>
          </cell>
        </row>
        <row r="409">
          <cell r="A409">
            <v>409</v>
          </cell>
        </row>
        <row r="410">
          <cell r="A410">
            <v>410</v>
          </cell>
        </row>
        <row r="411">
          <cell r="A411">
            <v>411</v>
          </cell>
        </row>
        <row r="412">
          <cell r="A412">
            <v>412</v>
          </cell>
        </row>
        <row r="413">
          <cell r="A413">
            <v>413</v>
          </cell>
        </row>
        <row r="414">
          <cell r="A414">
            <v>414</v>
          </cell>
        </row>
        <row r="415">
          <cell r="A415">
            <v>415</v>
          </cell>
        </row>
        <row r="416">
          <cell r="A416">
            <v>416</v>
          </cell>
        </row>
        <row r="417">
          <cell r="A417">
            <v>417</v>
          </cell>
        </row>
        <row r="418">
          <cell r="A418">
            <v>418</v>
          </cell>
        </row>
        <row r="419">
          <cell r="A419">
            <v>419</v>
          </cell>
        </row>
        <row r="420">
          <cell r="A420">
            <v>420</v>
          </cell>
        </row>
        <row r="421">
          <cell r="A421">
            <v>421</v>
          </cell>
        </row>
        <row r="422">
          <cell r="A422">
            <v>422</v>
          </cell>
        </row>
        <row r="423">
          <cell r="A423">
            <v>423</v>
          </cell>
        </row>
        <row r="424">
          <cell r="A424">
            <v>424</v>
          </cell>
        </row>
        <row r="425">
          <cell r="A425">
            <v>425</v>
          </cell>
        </row>
        <row r="426">
          <cell r="A426">
            <v>426</v>
          </cell>
        </row>
        <row r="427">
          <cell r="A427">
            <v>427</v>
          </cell>
        </row>
        <row r="428">
          <cell r="A428">
            <v>428</v>
          </cell>
        </row>
        <row r="429">
          <cell r="A429">
            <v>429</v>
          </cell>
        </row>
        <row r="430">
          <cell r="A430">
            <v>430</v>
          </cell>
        </row>
        <row r="431">
          <cell r="A431">
            <v>431</v>
          </cell>
        </row>
        <row r="432">
          <cell r="A432">
            <v>432</v>
          </cell>
        </row>
        <row r="433">
          <cell r="A433">
            <v>433</v>
          </cell>
        </row>
        <row r="434">
          <cell r="A434">
            <v>434</v>
          </cell>
        </row>
        <row r="435">
          <cell r="A435">
            <v>435</v>
          </cell>
        </row>
        <row r="436">
          <cell r="A436">
            <v>436</v>
          </cell>
        </row>
        <row r="437">
          <cell r="A437">
            <v>437</v>
          </cell>
        </row>
        <row r="438">
          <cell r="A438">
            <v>438</v>
          </cell>
        </row>
        <row r="439">
          <cell r="A439">
            <v>439</v>
          </cell>
        </row>
        <row r="440">
          <cell r="A440">
            <v>440</v>
          </cell>
        </row>
        <row r="441">
          <cell r="A441">
            <v>441</v>
          </cell>
        </row>
        <row r="442">
          <cell r="A442">
            <v>442</v>
          </cell>
        </row>
        <row r="443">
          <cell r="A443">
            <v>443</v>
          </cell>
        </row>
        <row r="444">
          <cell r="A444">
            <v>444</v>
          </cell>
        </row>
        <row r="445">
          <cell r="A445">
            <v>445</v>
          </cell>
        </row>
        <row r="446">
          <cell r="A446">
            <v>446</v>
          </cell>
        </row>
        <row r="447">
          <cell r="A447">
            <v>447</v>
          </cell>
        </row>
        <row r="448">
          <cell r="A448">
            <v>448</v>
          </cell>
        </row>
        <row r="449">
          <cell r="A449">
            <v>449</v>
          </cell>
        </row>
        <row r="450">
          <cell r="A450">
            <v>450</v>
          </cell>
        </row>
        <row r="451">
          <cell r="A451">
            <v>451</v>
          </cell>
        </row>
        <row r="452">
          <cell r="A452">
            <v>452</v>
          </cell>
        </row>
        <row r="453">
          <cell r="A453">
            <v>453</v>
          </cell>
        </row>
        <row r="454">
          <cell r="A454">
            <v>454</v>
          </cell>
        </row>
        <row r="455">
          <cell r="A455">
            <v>455</v>
          </cell>
        </row>
        <row r="456">
          <cell r="A456">
            <v>456</v>
          </cell>
        </row>
        <row r="457">
          <cell r="A457">
            <v>457</v>
          </cell>
        </row>
        <row r="458">
          <cell r="A458">
            <v>458</v>
          </cell>
        </row>
        <row r="459">
          <cell r="A459">
            <v>459</v>
          </cell>
        </row>
        <row r="460">
          <cell r="A460">
            <v>460</v>
          </cell>
        </row>
        <row r="461">
          <cell r="A461">
            <v>461</v>
          </cell>
        </row>
        <row r="462">
          <cell r="A462">
            <v>462</v>
          </cell>
        </row>
        <row r="463">
          <cell r="A463">
            <v>463</v>
          </cell>
        </row>
        <row r="464">
          <cell r="A464">
            <v>464</v>
          </cell>
        </row>
        <row r="465">
          <cell r="A465">
            <v>465</v>
          </cell>
        </row>
        <row r="466">
          <cell r="A466">
            <v>466</v>
          </cell>
        </row>
        <row r="467">
          <cell r="A467">
            <v>467</v>
          </cell>
        </row>
        <row r="468">
          <cell r="A468">
            <v>468</v>
          </cell>
        </row>
        <row r="469">
          <cell r="A469">
            <v>469</v>
          </cell>
        </row>
        <row r="470">
          <cell r="A470">
            <v>470</v>
          </cell>
        </row>
        <row r="471">
          <cell r="A471">
            <v>471</v>
          </cell>
        </row>
        <row r="472">
          <cell r="A472">
            <v>472</v>
          </cell>
        </row>
        <row r="473">
          <cell r="A473">
            <v>473</v>
          </cell>
        </row>
        <row r="474">
          <cell r="A474">
            <v>474</v>
          </cell>
        </row>
        <row r="475">
          <cell r="A475">
            <v>475</v>
          </cell>
        </row>
        <row r="476">
          <cell r="A476">
            <v>476</v>
          </cell>
        </row>
        <row r="477">
          <cell r="A477">
            <v>477</v>
          </cell>
        </row>
        <row r="478">
          <cell r="A478">
            <v>478</v>
          </cell>
        </row>
        <row r="479">
          <cell r="A479">
            <v>479</v>
          </cell>
        </row>
        <row r="480">
          <cell r="A480">
            <v>480</v>
          </cell>
        </row>
        <row r="481">
          <cell r="A481">
            <v>481</v>
          </cell>
        </row>
        <row r="482">
          <cell r="A482">
            <v>482</v>
          </cell>
        </row>
        <row r="483">
          <cell r="A483">
            <v>483</v>
          </cell>
        </row>
        <row r="484">
          <cell r="A484">
            <v>484</v>
          </cell>
        </row>
        <row r="485">
          <cell r="A485">
            <v>485</v>
          </cell>
        </row>
        <row r="486">
          <cell r="A486">
            <v>486</v>
          </cell>
        </row>
        <row r="487">
          <cell r="A487">
            <v>487</v>
          </cell>
        </row>
        <row r="488">
          <cell r="A488">
            <v>488</v>
          </cell>
        </row>
        <row r="489">
          <cell r="A489">
            <v>489</v>
          </cell>
        </row>
        <row r="490">
          <cell r="A490">
            <v>490</v>
          </cell>
        </row>
        <row r="491">
          <cell r="A491">
            <v>491</v>
          </cell>
        </row>
        <row r="492">
          <cell r="A492">
            <v>492</v>
          </cell>
        </row>
        <row r="493">
          <cell r="A493">
            <v>493</v>
          </cell>
        </row>
        <row r="494">
          <cell r="A494">
            <v>494</v>
          </cell>
        </row>
        <row r="495">
          <cell r="A495">
            <v>495</v>
          </cell>
        </row>
        <row r="496">
          <cell r="A496">
            <v>496</v>
          </cell>
        </row>
        <row r="497">
          <cell r="A497">
            <v>497</v>
          </cell>
        </row>
        <row r="498">
          <cell r="A498">
            <v>498</v>
          </cell>
        </row>
        <row r="499">
          <cell r="A499">
            <v>499</v>
          </cell>
        </row>
        <row r="500">
          <cell r="A500">
            <v>500</v>
          </cell>
        </row>
        <row r="501">
          <cell r="A501">
            <v>501</v>
          </cell>
        </row>
        <row r="502">
          <cell r="A502">
            <v>502</v>
          </cell>
        </row>
        <row r="503">
          <cell r="A503">
            <v>503</v>
          </cell>
        </row>
        <row r="504">
          <cell r="A504">
            <v>504</v>
          </cell>
        </row>
        <row r="505">
          <cell r="A505">
            <v>505</v>
          </cell>
        </row>
        <row r="506">
          <cell r="A506">
            <v>506</v>
          </cell>
        </row>
        <row r="507">
          <cell r="A507">
            <v>507</v>
          </cell>
        </row>
        <row r="508">
          <cell r="A508">
            <v>508</v>
          </cell>
        </row>
        <row r="509">
          <cell r="A509">
            <v>509</v>
          </cell>
        </row>
        <row r="510">
          <cell r="A510">
            <v>510</v>
          </cell>
        </row>
        <row r="511">
          <cell r="A511">
            <v>511</v>
          </cell>
        </row>
        <row r="512">
          <cell r="A512">
            <v>512</v>
          </cell>
        </row>
        <row r="513">
          <cell r="A513">
            <v>513</v>
          </cell>
        </row>
        <row r="514">
          <cell r="A514">
            <v>514</v>
          </cell>
        </row>
        <row r="515">
          <cell r="A515">
            <v>515</v>
          </cell>
        </row>
        <row r="516">
          <cell r="A516">
            <v>516</v>
          </cell>
        </row>
        <row r="517">
          <cell r="A517">
            <v>517</v>
          </cell>
        </row>
        <row r="518">
          <cell r="A518">
            <v>518</v>
          </cell>
        </row>
        <row r="519">
          <cell r="A519">
            <v>519</v>
          </cell>
        </row>
        <row r="520">
          <cell r="A520">
            <v>520</v>
          </cell>
        </row>
        <row r="521">
          <cell r="A521">
            <v>521</v>
          </cell>
        </row>
        <row r="522">
          <cell r="A522">
            <v>522</v>
          </cell>
        </row>
        <row r="523">
          <cell r="A523">
            <v>523</v>
          </cell>
        </row>
        <row r="524">
          <cell r="A524">
            <v>524</v>
          </cell>
        </row>
        <row r="525">
          <cell r="A525">
            <v>525</v>
          </cell>
        </row>
        <row r="526">
          <cell r="A526">
            <v>526</v>
          </cell>
        </row>
        <row r="527">
          <cell r="A527">
            <v>527</v>
          </cell>
        </row>
        <row r="528">
          <cell r="A528">
            <v>528</v>
          </cell>
        </row>
        <row r="529">
          <cell r="A529">
            <v>529</v>
          </cell>
        </row>
        <row r="530">
          <cell r="A530">
            <v>530</v>
          </cell>
        </row>
        <row r="531">
          <cell r="A531">
            <v>531</v>
          </cell>
        </row>
        <row r="532">
          <cell r="A532">
            <v>532</v>
          </cell>
        </row>
        <row r="533">
          <cell r="A533">
            <v>533</v>
          </cell>
        </row>
        <row r="534">
          <cell r="A534">
            <v>534</v>
          </cell>
        </row>
        <row r="535">
          <cell r="A535">
            <v>535</v>
          </cell>
        </row>
        <row r="536">
          <cell r="A536">
            <v>536</v>
          </cell>
        </row>
        <row r="537">
          <cell r="A537">
            <v>537</v>
          </cell>
        </row>
        <row r="538">
          <cell r="A538">
            <v>538</v>
          </cell>
        </row>
        <row r="539">
          <cell r="A539">
            <v>539</v>
          </cell>
        </row>
        <row r="540">
          <cell r="A540">
            <v>540</v>
          </cell>
        </row>
        <row r="541">
          <cell r="A541">
            <v>541</v>
          </cell>
        </row>
        <row r="542">
          <cell r="A542">
            <v>542</v>
          </cell>
        </row>
        <row r="543">
          <cell r="A543">
            <v>543</v>
          </cell>
        </row>
        <row r="544">
          <cell r="A544">
            <v>544</v>
          </cell>
        </row>
        <row r="545">
          <cell r="A545">
            <v>545</v>
          </cell>
        </row>
        <row r="546">
          <cell r="A546">
            <v>546</v>
          </cell>
        </row>
        <row r="547">
          <cell r="A547">
            <v>547</v>
          </cell>
        </row>
        <row r="548">
          <cell r="A548">
            <v>548</v>
          </cell>
        </row>
        <row r="549">
          <cell r="A549">
            <v>549</v>
          </cell>
        </row>
        <row r="550">
          <cell r="A550">
            <v>550</v>
          </cell>
        </row>
        <row r="551">
          <cell r="A551">
            <v>551</v>
          </cell>
        </row>
        <row r="552">
          <cell r="A552">
            <v>552</v>
          </cell>
        </row>
        <row r="553">
          <cell r="A553">
            <v>553</v>
          </cell>
        </row>
        <row r="554">
          <cell r="A554">
            <v>554</v>
          </cell>
        </row>
        <row r="555">
          <cell r="A555">
            <v>555</v>
          </cell>
        </row>
        <row r="556">
          <cell r="A556">
            <v>556</v>
          </cell>
        </row>
        <row r="557">
          <cell r="A557">
            <v>557</v>
          </cell>
        </row>
        <row r="558">
          <cell r="A558">
            <v>558</v>
          </cell>
        </row>
        <row r="559">
          <cell r="A559">
            <v>559</v>
          </cell>
        </row>
        <row r="560">
          <cell r="A560">
            <v>560</v>
          </cell>
        </row>
        <row r="561">
          <cell r="A561">
            <v>561</v>
          </cell>
        </row>
        <row r="562">
          <cell r="A562">
            <v>562</v>
          </cell>
        </row>
        <row r="563">
          <cell r="A563">
            <v>563</v>
          </cell>
        </row>
        <row r="564">
          <cell r="A564">
            <v>564</v>
          </cell>
        </row>
        <row r="565">
          <cell r="A565">
            <v>565</v>
          </cell>
        </row>
        <row r="566">
          <cell r="A566">
            <v>566</v>
          </cell>
        </row>
        <row r="567">
          <cell r="A567">
            <v>567</v>
          </cell>
        </row>
        <row r="568">
          <cell r="A568">
            <v>568</v>
          </cell>
        </row>
        <row r="569">
          <cell r="A569">
            <v>569</v>
          </cell>
        </row>
        <row r="570">
          <cell r="A570">
            <v>570</v>
          </cell>
        </row>
        <row r="571">
          <cell r="A571">
            <v>571</v>
          </cell>
        </row>
        <row r="572">
          <cell r="A572">
            <v>572</v>
          </cell>
        </row>
        <row r="573">
          <cell r="A573">
            <v>573</v>
          </cell>
        </row>
        <row r="574">
          <cell r="A574">
            <v>574</v>
          </cell>
        </row>
        <row r="575">
          <cell r="A575">
            <v>575</v>
          </cell>
        </row>
        <row r="576">
          <cell r="A576">
            <v>576</v>
          </cell>
        </row>
        <row r="577">
          <cell r="A577">
            <v>577</v>
          </cell>
        </row>
        <row r="578">
          <cell r="A578">
            <v>578</v>
          </cell>
        </row>
        <row r="579">
          <cell r="A579">
            <v>579</v>
          </cell>
        </row>
        <row r="580">
          <cell r="A580">
            <v>580</v>
          </cell>
        </row>
        <row r="581">
          <cell r="A581">
            <v>581</v>
          </cell>
        </row>
        <row r="582">
          <cell r="A582">
            <v>582</v>
          </cell>
        </row>
        <row r="583">
          <cell r="A583">
            <v>583</v>
          </cell>
        </row>
        <row r="584">
          <cell r="A584">
            <v>584</v>
          </cell>
        </row>
        <row r="585">
          <cell r="A585">
            <v>585</v>
          </cell>
        </row>
        <row r="586">
          <cell r="A586">
            <v>586</v>
          </cell>
        </row>
        <row r="587">
          <cell r="A587">
            <v>587</v>
          </cell>
        </row>
        <row r="588">
          <cell r="A588">
            <v>588</v>
          </cell>
        </row>
        <row r="589">
          <cell r="A589">
            <v>589</v>
          </cell>
        </row>
        <row r="590">
          <cell r="A590">
            <v>590</v>
          </cell>
        </row>
        <row r="591">
          <cell r="A591">
            <v>591</v>
          </cell>
        </row>
        <row r="592">
          <cell r="A592">
            <v>592</v>
          </cell>
        </row>
        <row r="593">
          <cell r="A593">
            <v>593</v>
          </cell>
        </row>
        <row r="594">
          <cell r="A594">
            <v>594</v>
          </cell>
        </row>
        <row r="595">
          <cell r="A595">
            <v>595</v>
          </cell>
        </row>
        <row r="596">
          <cell r="A596">
            <v>596</v>
          </cell>
        </row>
        <row r="597">
          <cell r="A597">
            <v>597</v>
          </cell>
        </row>
        <row r="598">
          <cell r="A598">
            <v>598</v>
          </cell>
        </row>
        <row r="599">
          <cell r="A599">
            <v>599</v>
          </cell>
        </row>
        <row r="600">
          <cell r="A600">
            <v>600</v>
          </cell>
        </row>
        <row r="601">
          <cell r="A601">
            <v>601</v>
          </cell>
        </row>
        <row r="602">
          <cell r="A602">
            <v>602</v>
          </cell>
        </row>
        <row r="603">
          <cell r="A603">
            <v>603</v>
          </cell>
        </row>
        <row r="604">
          <cell r="A604">
            <v>604</v>
          </cell>
        </row>
        <row r="605">
          <cell r="A605">
            <v>605</v>
          </cell>
        </row>
        <row r="606">
          <cell r="A606">
            <v>606</v>
          </cell>
        </row>
        <row r="607">
          <cell r="A607">
            <v>607</v>
          </cell>
        </row>
        <row r="608">
          <cell r="A608">
            <v>608</v>
          </cell>
        </row>
        <row r="609">
          <cell r="A609">
            <v>609</v>
          </cell>
        </row>
        <row r="610">
          <cell r="A610">
            <v>610</v>
          </cell>
        </row>
        <row r="611">
          <cell r="A611">
            <v>611</v>
          </cell>
        </row>
        <row r="612">
          <cell r="A612">
            <v>612</v>
          </cell>
        </row>
        <row r="613">
          <cell r="A613">
            <v>613</v>
          </cell>
        </row>
        <row r="614">
          <cell r="A614">
            <v>614</v>
          </cell>
        </row>
        <row r="615">
          <cell r="A615">
            <v>615</v>
          </cell>
        </row>
        <row r="616">
          <cell r="A616">
            <v>616</v>
          </cell>
        </row>
        <row r="617">
          <cell r="A617">
            <v>617</v>
          </cell>
        </row>
        <row r="618">
          <cell r="A618">
            <v>618</v>
          </cell>
        </row>
        <row r="619">
          <cell r="A619">
            <v>619</v>
          </cell>
        </row>
        <row r="620">
          <cell r="A620">
            <v>620</v>
          </cell>
        </row>
        <row r="621">
          <cell r="A621">
            <v>621</v>
          </cell>
        </row>
        <row r="622">
          <cell r="A622">
            <v>622</v>
          </cell>
        </row>
        <row r="623">
          <cell r="A623">
            <v>623</v>
          </cell>
        </row>
        <row r="624">
          <cell r="A624">
            <v>624</v>
          </cell>
        </row>
        <row r="625">
          <cell r="A625">
            <v>625</v>
          </cell>
        </row>
        <row r="626">
          <cell r="A626">
            <v>626</v>
          </cell>
        </row>
        <row r="627">
          <cell r="A627">
            <v>627</v>
          </cell>
        </row>
        <row r="628">
          <cell r="A628">
            <v>628</v>
          </cell>
        </row>
        <row r="629">
          <cell r="A629">
            <v>629</v>
          </cell>
        </row>
        <row r="630">
          <cell r="A630">
            <v>630</v>
          </cell>
        </row>
        <row r="631">
          <cell r="A631">
            <v>631</v>
          </cell>
        </row>
        <row r="632">
          <cell r="A632">
            <v>632</v>
          </cell>
        </row>
        <row r="633">
          <cell r="A633">
            <v>633</v>
          </cell>
        </row>
        <row r="634">
          <cell r="A634">
            <v>634</v>
          </cell>
        </row>
        <row r="635">
          <cell r="A635">
            <v>635</v>
          </cell>
        </row>
        <row r="636">
          <cell r="A636">
            <v>636</v>
          </cell>
        </row>
        <row r="637">
          <cell r="A637">
            <v>637</v>
          </cell>
        </row>
        <row r="638">
          <cell r="A638">
            <v>638</v>
          </cell>
        </row>
        <row r="639">
          <cell r="A639">
            <v>639</v>
          </cell>
        </row>
        <row r="640">
          <cell r="A640">
            <v>640</v>
          </cell>
        </row>
        <row r="641">
          <cell r="A641">
            <v>641</v>
          </cell>
        </row>
        <row r="642">
          <cell r="A642">
            <v>642</v>
          </cell>
        </row>
        <row r="643">
          <cell r="A643">
            <v>643</v>
          </cell>
        </row>
        <row r="644">
          <cell r="A644">
            <v>644</v>
          </cell>
        </row>
        <row r="645">
          <cell r="A645">
            <v>645</v>
          </cell>
        </row>
        <row r="646">
          <cell r="A646">
            <v>646</v>
          </cell>
        </row>
        <row r="647">
          <cell r="A647">
            <v>647</v>
          </cell>
        </row>
        <row r="648">
          <cell r="A648">
            <v>648</v>
          </cell>
        </row>
        <row r="649">
          <cell r="A649">
            <v>649</v>
          </cell>
        </row>
        <row r="650">
          <cell r="A650">
            <v>650</v>
          </cell>
        </row>
        <row r="651">
          <cell r="A651">
            <v>651</v>
          </cell>
        </row>
        <row r="652">
          <cell r="A652">
            <v>652</v>
          </cell>
        </row>
        <row r="653">
          <cell r="A653">
            <v>653</v>
          </cell>
        </row>
        <row r="654">
          <cell r="A654">
            <v>654</v>
          </cell>
        </row>
        <row r="655">
          <cell r="A655">
            <v>655</v>
          </cell>
        </row>
        <row r="656">
          <cell r="A656">
            <v>656</v>
          </cell>
        </row>
        <row r="657">
          <cell r="A657">
            <v>657</v>
          </cell>
        </row>
        <row r="658">
          <cell r="A658">
            <v>658</v>
          </cell>
        </row>
        <row r="659">
          <cell r="A659">
            <v>659</v>
          </cell>
        </row>
        <row r="660">
          <cell r="A660">
            <v>660</v>
          </cell>
        </row>
        <row r="661">
          <cell r="A661">
            <v>661</v>
          </cell>
        </row>
        <row r="662">
          <cell r="A662">
            <v>662</v>
          </cell>
        </row>
        <row r="663">
          <cell r="A663">
            <v>663</v>
          </cell>
        </row>
        <row r="664">
          <cell r="A664">
            <v>664</v>
          </cell>
        </row>
        <row r="665">
          <cell r="A665">
            <v>665</v>
          </cell>
        </row>
        <row r="666">
          <cell r="A666">
            <v>666</v>
          </cell>
        </row>
        <row r="667">
          <cell r="A667">
            <v>667</v>
          </cell>
        </row>
        <row r="668">
          <cell r="A668">
            <v>668</v>
          </cell>
        </row>
        <row r="669">
          <cell r="A669">
            <v>669</v>
          </cell>
        </row>
        <row r="670">
          <cell r="A670">
            <v>670</v>
          </cell>
        </row>
        <row r="671">
          <cell r="A671">
            <v>671</v>
          </cell>
        </row>
        <row r="672">
          <cell r="A672">
            <v>672</v>
          </cell>
        </row>
        <row r="673">
          <cell r="A673">
            <v>673</v>
          </cell>
        </row>
        <row r="674">
          <cell r="A674">
            <v>674</v>
          </cell>
        </row>
        <row r="675">
          <cell r="A675">
            <v>675</v>
          </cell>
        </row>
        <row r="676">
          <cell r="A676">
            <v>676</v>
          </cell>
        </row>
        <row r="677">
          <cell r="A677">
            <v>677</v>
          </cell>
        </row>
        <row r="678">
          <cell r="A678">
            <v>678</v>
          </cell>
        </row>
        <row r="679">
          <cell r="A679">
            <v>679</v>
          </cell>
        </row>
        <row r="680">
          <cell r="A680">
            <v>680</v>
          </cell>
        </row>
        <row r="681">
          <cell r="A681">
            <v>681</v>
          </cell>
        </row>
        <row r="682">
          <cell r="A682">
            <v>682</v>
          </cell>
        </row>
        <row r="683">
          <cell r="A683">
            <v>683</v>
          </cell>
        </row>
        <row r="684">
          <cell r="A684">
            <v>684</v>
          </cell>
        </row>
        <row r="685">
          <cell r="A685">
            <v>685</v>
          </cell>
        </row>
        <row r="686">
          <cell r="A686">
            <v>686</v>
          </cell>
        </row>
        <row r="687">
          <cell r="A687">
            <v>687</v>
          </cell>
        </row>
        <row r="688">
          <cell r="A688">
            <v>688</v>
          </cell>
        </row>
        <row r="689">
          <cell r="A689">
            <v>689</v>
          </cell>
        </row>
        <row r="690">
          <cell r="A690">
            <v>690</v>
          </cell>
        </row>
        <row r="691">
          <cell r="A691">
            <v>691</v>
          </cell>
        </row>
        <row r="692">
          <cell r="A692">
            <v>692</v>
          </cell>
        </row>
        <row r="693">
          <cell r="A693">
            <v>693</v>
          </cell>
        </row>
        <row r="694">
          <cell r="A694">
            <v>694</v>
          </cell>
        </row>
        <row r="695">
          <cell r="A695">
            <v>695</v>
          </cell>
        </row>
        <row r="696">
          <cell r="A696">
            <v>696</v>
          </cell>
        </row>
        <row r="697">
          <cell r="A697">
            <v>697</v>
          </cell>
        </row>
        <row r="698">
          <cell r="A698">
            <v>698</v>
          </cell>
        </row>
        <row r="699">
          <cell r="A699">
            <v>699</v>
          </cell>
        </row>
        <row r="700">
          <cell r="A700">
            <v>700</v>
          </cell>
        </row>
        <row r="701">
          <cell r="A701">
            <v>701</v>
          </cell>
        </row>
        <row r="702">
          <cell r="A702">
            <v>702</v>
          </cell>
        </row>
        <row r="703">
          <cell r="A703">
            <v>703</v>
          </cell>
        </row>
        <row r="704">
          <cell r="A704">
            <v>704</v>
          </cell>
        </row>
        <row r="705">
          <cell r="A705">
            <v>705</v>
          </cell>
        </row>
        <row r="706">
          <cell r="A706">
            <v>706</v>
          </cell>
        </row>
        <row r="707">
          <cell r="A707">
            <v>707</v>
          </cell>
        </row>
        <row r="708">
          <cell r="A708">
            <v>708</v>
          </cell>
        </row>
        <row r="709">
          <cell r="A709">
            <v>709</v>
          </cell>
        </row>
        <row r="710">
          <cell r="A710">
            <v>710</v>
          </cell>
        </row>
        <row r="711">
          <cell r="A711">
            <v>711</v>
          </cell>
        </row>
        <row r="712">
          <cell r="A712">
            <v>712</v>
          </cell>
        </row>
        <row r="713">
          <cell r="A713">
            <v>713</v>
          </cell>
        </row>
        <row r="714">
          <cell r="A714">
            <v>714</v>
          </cell>
        </row>
        <row r="715">
          <cell r="A715">
            <v>715</v>
          </cell>
        </row>
        <row r="716">
          <cell r="A716">
            <v>716</v>
          </cell>
        </row>
        <row r="717">
          <cell r="A717">
            <v>717</v>
          </cell>
        </row>
        <row r="718">
          <cell r="A718">
            <v>718</v>
          </cell>
        </row>
        <row r="719">
          <cell r="A719">
            <v>719</v>
          </cell>
        </row>
        <row r="720">
          <cell r="A720">
            <v>720</v>
          </cell>
        </row>
        <row r="721">
          <cell r="A721">
            <v>721</v>
          </cell>
        </row>
        <row r="722">
          <cell r="A722">
            <v>722</v>
          </cell>
        </row>
        <row r="723">
          <cell r="A723">
            <v>723</v>
          </cell>
        </row>
        <row r="724">
          <cell r="A724">
            <v>724</v>
          </cell>
        </row>
        <row r="725">
          <cell r="A725">
            <v>725</v>
          </cell>
        </row>
        <row r="726">
          <cell r="A726">
            <v>726</v>
          </cell>
        </row>
        <row r="727">
          <cell r="A727">
            <v>727</v>
          </cell>
        </row>
        <row r="728">
          <cell r="A728">
            <v>728</v>
          </cell>
        </row>
        <row r="729">
          <cell r="A729">
            <v>729</v>
          </cell>
        </row>
        <row r="730">
          <cell r="A730">
            <v>730</v>
          </cell>
        </row>
        <row r="731">
          <cell r="A731">
            <v>731</v>
          </cell>
        </row>
        <row r="732">
          <cell r="A732">
            <v>732</v>
          </cell>
        </row>
        <row r="733">
          <cell r="A733">
            <v>733</v>
          </cell>
        </row>
        <row r="734">
          <cell r="A734">
            <v>734</v>
          </cell>
        </row>
        <row r="735">
          <cell r="A735">
            <v>735</v>
          </cell>
        </row>
        <row r="736">
          <cell r="A736">
            <v>736</v>
          </cell>
        </row>
        <row r="737">
          <cell r="A737">
            <v>737</v>
          </cell>
        </row>
        <row r="738">
          <cell r="A738">
            <v>738</v>
          </cell>
        </row>
        <row r="739">
          <cell r="A739">
            <v>739</v>
          </cell>
        </row>
        <row r="740">
          <cell r="A740">
            <v>740</v>
          </cell>
        </row>
        <row r="741">
          <cell r="A741">
            <v>741</v>
          </cell>
        </row>
        <row r="742">
          <cell r="A742">
            <v>742</v>
          </cell>
        </row>
        <row r="743">
          <cell r="A743">
            <v>743</v>
          </cell>
        </row>
        <row r="744">
          <cell r="A744">
            <v>744</v>
          </cell>
        </row>
        <row r="745">
          <cell r="A745">
            <v>745</v>
          </cell>
        </row>
        <row r="746">
          <cell r="A746">
            <v>746</v>
          </cell>
        </row>
        <row r="747">
          <cell r="A747">
            <v>747</v>
          </cell>
        </row>
        <row r="748">
          <cell r="A748">
            <v>748</v>
          </cell>
        </row>
        <row r="749">
          <cell r="A749">
            <v>749</v>
          </cell>
        </row>
        <row r="750">
          <cell r="A750">
            <v>750</v>
          </cell>
        </row>
        <row r="751">
          <cell r="A751">
            <v>751</v>
          </cell>
        </row>
        <row r="752">
          <cell r="A752">
            <v>752</v>
          </cell>
        </row>
        <row r="753">
          <cell r="A753">
            <v>753</v>
          </cell>
        </row>
        <row r="754">
          <cell r="A754">
            <v>754</v>
          </cell>
        </row>
        <row r="755">
          <cell r="A755">
            <v>755</v>
          </cell>
        </row>
        <row r="756">
          <cell r="A756">
            <v>756</v>
          </cell>
        </row>
        <row r="757">
          <cell r="A757">
            <v>757</v>
          </cell>
        </row>
        <row r="758">
          <cell r="A758">
            <v>758</v>
          </cell>
        </row>
        <row r="759">
          <cell r="A759">
            <v>759</v>
          </cell>
        </row>
        <row r="760">
          <cell r="A760">
            <v>760</v>
          </cell>
        </row>
        <row r="761">
          <cell r="A761">
            <v>761</v>
          </cell>
        </row>
        <row r="762">
          <cell r="A762">
            <v>762</v>
          </cell>
        </row>
        <row r="763">
          <cell r="A763">
            <v>763</v>
          </cell>
        </row>
        <row r="764">
          <cell r="A764">
            <v>764</v>
          </cell>
        </row>
        <row r="765">
          <cell r="A765">
            <v>765</v>
          </cell>
        </row>
        <row r="766">
          <cell r="A766">
            <v>766</v>
          </cell>
        </row>
        <row r="767">
          <cell r="A767">
            <v>767</v>
          </cell>
        </row>
        <row r="768">
          <cell r="A768">
            <v>768</v>
          </cell>
        </row>
        <row r="769">
          <cell r="A769">
            <v>769</v>
          </cell>
        </row>
        <row r="770">
          <cell r="A770">
            <v>770</v>
          </cell>
        </row>
        <row r="771">
          <cell r="A771">
            <v>771</v>
          </cell>
        </row>
        <row r="772">
          <cell r="A772">
            <v>772</v>
          </cell>
        </row>
        <row r="773">
          <cell r="A773">
            <v>773</v>
          </cell>
        </row>
        <row r="774">
          <cell r="A774">
            <v>774</v>
          </cell>
        </row>
        <row r="775">
          <cell r="A775">
            <v>775</v>
          </cell>
        </row>
        <row r="776">
          <cell r="A776">
            <v>776</v>
          </cell>
        </row>
        <row r="777">
          <cell r="A777">
            <v>777</v>
          </cell>
        </row>
        <row r="778">
          <cell r="A778">
            <v>778</v>
          </cell>
        </row>
        <row r="779">
          <cell r="A779">
            <v>779</v>
          </cell>
        </row>
        <row r="780">
          <cell r="A780">
            <v>780</v>
          </cell>
        </row>
        <row r="781">
          <cell r="A781">
            <v>781</v>
          </cell>
        </row>
        <row r="782">
          <cell r="A782">
            <v>782</v>
          </cell>
        </row>
        <row r="783">
          <cell r="A783">
            <v>783</v>
          </cell>
        </row>
        <row r="784">
          <cell r="A784">
            <v>784</v>
          </cell>
        </row>
        <row r="785">
          <cell r="A785">
            <v>785</v>
          </cell>
        </row>
        <row r="786">
          <cell r="A786">
            <v>786</v>
          </cell>
        </row>
        <row r="787">
          <cell r="A787">
            <v>787</v>
          </cell>
        </row>
        <row r="788">
          <cell r="A788">
            <v>788</v>
          </cell>
        </row>
        <row r="789">
          <cell r="A789">
            <v>789</v>
          </cell>
        </row>
        <row r="790">
          <cell r="A790">
            <v>790</v>
          </cell>
        </row>
        <row r="791">
          <cell r="A791">
            <v>791</v>
          </cell>
        </row>
        <row r="792">
          <cell r="A792">
            <v>792</v>
          </cell>
        </row>
        <row r="793">
          <cell r="A793">
            <v>793</v>
          </cell>
        </row>
        <row r="794">
          <cell r="A794">
            <v>794</v>
          </cell>
        </row>
        <row r="795">
          <cell r="A795">
            <v>795</v>
          </cell>
        </row>
        <row r="796">
          <cell r="A796">
            <v>796</v>
          </cell>
        </row>
        <row r="797">
          <cell r="A797">
            <v>797</v>
          </cell>
        </row>
        <row r="798">
          <cell r="A798">
            <v>798</v>
          </cell>
        </row>
        <row r="799">
          <cell r="A799">
            <v>799</v>
          </cell>
        </row>
        <row r="800">
          <cell r="A800">
            <v>800</v>
          </cell>
        </row>
        <row r="801">
          <cell r="A801">
            <v>801</v>
          </cell>
        </row>
        <row r="802">
          <cell r="A802">
            <v>802</v>
          </cell>
        </row>
        <row r="803">
          <cell r="A803">
            <v>803</v>
          </cell>
        </row>
        <row r="804">
          <cell r="A804">
            <v>804</v>
          </cell>
        </row>
        <row r="805">
          <cell r="A805">
            <v>805</v>
          </cell>
        </row>
        <row r="806">
          <cell r="A806">
            <v>806</v>
          </cell>
        </row>
        <row r="807">
          <cell r="A807">
            <v>807</v>
          </cell>
        </row>
        <row r="808">
          <cell r="A808">
            <v>808</v>
          </cell>
        </row>
        <row r="809">
          <cell r="A809">
            <v>809</v>
          </cell>
        </row>
        <row r="810">
          <cell r="A810">
            <v>810</v>
          </cell>
        </row>
        <row r="811">
          <cell r="A811">
            <v>811</v>
          </cell>
        </row>
        <row r="812">
          <cell r="A812">
            <v>812</v>
          </cell>
        </row>
        <row r="813">
          <cell r="A813">
            <v>813</v>
          </cell>
        </row>
        <row r="814">
          <cell r="A814">
            <v>814</v>
          </cell>
        </row>
        <row r="815">
          <cell r="A815">
            <v>815</v>
          </cell>
        </row>
        <row r="816">
          <cell r="A816">
            <v>816</v>
          </cell>
        </row>
        <row r="817">
          <cell r="A817">
            <v>817</v>
          </cell>
        </row>
        <row r="818">
          <cell r="A818">
            <v>818</v>
          </cell>
        </row>
        <row r="819">
          <cell r="A819">
            <v>819</v>
          </cell>
        </row>
        <row r="820">
          <cell r="A820">
            <v>820</v>
          </cell>
        </row>
        <row r="821">
          <cell r="A821">
            <v>821</v>
          </cell>
        </row>
        <row r="822">
          <cell r="A822">
            <v>822</v>
          </cell>
        </row>
        <row r="823">
          <cell r="A823">
            <v>823</v>
          </cell>
        </row>
        <row r="824">
          <cell r="A824">
            <v>824</v>
          </cell>
        </row>
        <row r="825">
          <cell r="A825">
            <v>825</v>
          </cell>
        </row>
        <row r="826">
          <cell r="A826">
            <v>826</v>
          </cell>
        </row>
        <row r="827">
          <cell r="A827">
            <v>827</v>
          </cell>
        </row>
        <row r="828">
          <cell r="A828">
            <v>828</v>
          </cell>
        </row>
        <row r="829">
          <cell r="A829">
            <v>829</v>
          </cell>
        </row>
        <row r="830">
          <cell r="A830">
            <v>830</v>
          </cell>
        </row>
        <row r="831">
          <cell r="A831">
            <v>831</v>
          </cell>
        </row>
        <row r="832">
          <cell r="A832">
            <v>832</v>
          </cell>
        </row>
        <row r="833">
          <cell r="A833">
            <v>833</v>
          </cell>
        </row>
        <row r="834">
          <cell r="A834">
            <v>834</v>
          </cell>
        </row>
        <row r="835">
          <cell r="A835">
            <v>835</v>
          </cell>
        </row>
        <row r="836">
          <cell r="A836">
            <v>836</v>
          </cell>
        </row>
        <row r="837">
          <cell r="A837">
            <v>837</v>
          </cell>
        </row>
        <row r="838">
          <cell r="A838">
            <v>838</v>
          </cell>
        </row>
        <row r="839">
          <cell r="A839">
            <v>839</v>
          </cell>
        </row>
        <row r="840">
          <cell r="A840">
            <v>840</v>
          </cell>
        </row>
        <row r="841">
          <cell r="A841">
            <v>841</v>
          </cell>
        </row>
        <row r="842">
          <cell r="A842">
            <v>842</v>
          </cell>
        </row>
        <row r="843">
          <cell r="A843">
            <v>843</v>
          </cell>
        </row>
        <row r="844">
          <cell r="A844">
            <v>844</v>
          </cell>
        </row>
        <row r="845">
          <cell r="A845">
            <v>845</v>
          </cell>
        </row>
        <row r="846">
          <cell r="A846">
            <v>846</v>
          </cell>
        </row>
        <row r="847">
          <cell r="A847">
            <v>847</v>
          </cell>
        </row>
        <row r="848">
          <cell r="A848">
            <v>848</v>
          </cell>
        </row>
        <row r="849">
          <cell r="A849">
            <v>849</v>
          </cell>
        </row>
        <row r="850">
          <cell r="A850">
            <v>850</v>
          </cell>
        </row>
        <row r="851">
          <cell r="A851">
            <v>851</v>
          </cell>
        </row>
        <row r="852">
          <cell r="A852">
            <v>852</v>
          </cell>
        </row>
        <row r="853">
          <cell r="A853">
            <v>853</v>
          </cell>
        </row>
        <row r="854">
          <cell r="A854">
            <v>854</v>
          </cell>
        </row>
        <row r="855">
          <cell r="A855">
            <v>855</v>
          </cell>
        </row>
        <row r="856">
          <cell r="A856">
            <v>856</v>
          </cell>
        </row>
        <row r="857">
          <cell r="A857">
            <v>857</v>
          </cell>
        </row>
        <row r="858">
          <cell r="A858">
            <v>858</v>
          </cell>
        </row>
        <row r="859">
          <cell r="A859">
            <v>859</v>
          </cell>
        </row>
        <row r="860">
          <cell r="A860">
            <v>860</v>
          </cell>
        </row>
        <row r="861">
          <cell r="A861">
            <v>861</v>
          </cell>
        </row>
        <row r="862">
          <cell r="A862">
            <v>862</v>
          </cell>
        </row>
        <row r="863">
          <cell r="A863">
            <v>863</v>
          </cell>
        </row>
        <row r="864">
          <cell r="A864">
            <v>864</v>
          </cell>
        </row>
        <row r="865">
          <cell r="A865">
            <v>865</v>
          </cell>
        </row>
        <row r="866">
          <cell r="A866">
            <v>866</v>
          </cell>
        </row>
        <row r="867">
          <cell r="A867">
            <v>867</v>
          </cell>
        </row>
        <row r="868">
          <cell r="A868">
            <v>868</v>
          </cell>
        </row>
        <row r="869">
          <cell r="A869">
            <v>869</v>
          </cell>
        </row>
        <row r="870">
          <cell r="A870">
            <v>870</v>
          </cell>
        </row>
        <row r="871">
          <cell r="A871">
            <v>871</v>
          </cell>
        </row>
        <row r="872">
          <cell r="A872">
            <v>872</v>
          </cell>
        </row>
        <row r="873">
          <cell r="A873">
            <v>873</v>
          </cell>
        </row>
        <row r="874">
          <cell r="A874">
            <v>874</v>
          </cell>
        </row>
        <row r="875">
          <cell r="A875">
            <v>875</v>
          </cell>
        </row>
        <row r="876">
          <cell r="A876">
            <v>876</v>
          </cell>
        </row>
        <row r="877">
          <cell r="A877">
            <v>877</v>
          </cell>
        </row>
        <row r="878">
          <cell r="A878">
            <v>878</v>
          </cell>
        </row>
        <row r="879">
          <cell r="A879">
            <v>879</v>
          </cell>
        </row>
        <row r="880">
          <cell r="A880">
            <v>880</v>
          </cell>
        </row>
        <row r="881">
          <cell r="A881">
            <v>881</v>
          </cell>
        </row>
        <row r="882">
          <cell r="A882">
            <v>882</v>
          </cell>
        </row>
        <row r="883">
          <cell r="A883">
            <v>883</v>
          </cell>
        </row>
        <row r="884">
          <cell r="A884">
            <v>884</v>
          </cell>
        </row>
        <row r="885">
          <cell r="A885">
            <v>885</v>
          </cell>
        </row>
        <row r="886">
          <cell r="A886">
            <v>886</v>
          </cell>
        </row>
        <row r="887">
          <cell r="A887">
            <v>887</v>
          </cell>
        </row>
        <row r="888">
          <cell r="A888">
            <v>888</v>
          </cell>
        </row>
        <row r="889">
          <cell r="A889">
            <v>889</v>
          </cell>
        </row>
        <row r="890">
          <cell r="A890">
            <v>890</v>
          </cell>
        </row>
        <row r="891">
          <cell r="A891">
            <v>891</v>
          </cell>
        </row>
        <row r="892">
          <cell r="A892">
            <v>892</v>
          </cell>
        </row>
        <row r="893">
          <cell r="A893">
            <v>893</v>
          </cell>
        </row>
        <row r="894">
          <cell r="A894">
            <v>894</v>
          </cell>
        </row>
        <row r="895">
          <cell r="A895">
            <v>895</v>
          </cell>
        </row>
        <row r="896">
          <cell r="A896">
            <v>896</v>
          </cell>
        </row>
        <row r="897">
          <cell r="A897">
            <v>897</v>
          </cell>
        </row>
        <row r="898">
          <cell r="A898">
            <v>898</v>
          </cell>
        </row>
        <row r="899">
          <cell r="A899">
            <v>899</v>
          </cell>
        </row>
        <row r="900">
          <cell r="A900">
            <v>900</v>
          </cell>
        </row>
        <row r="901">
          <cell r="A901">
            <v>901</v>
          </cell>
        </row>
        <row r="902">
          <cell r="A902">
            <v>902</v>
          </cell>
        </row>
        <row r="903">
          <cell r="A903">
            <v>903</v>
          </cell>
        </row>
        <row r="904">
          <cell r="A904">
            <v>904</v>
          </cell>
        </row>
        <row r="905">
          <cell r="A905">
            <v>905</v>
          </cell>
        </row>
        <row r="906">
          <cell r="A906">
            <v>906</v>
          </cell>
        </row>
        <row r="907">
          <cell r="A907">
            <v>907</v>
          </cell>
        </row>
        <row r="908">
          <cell r="A908">
            <v>908</v>
          </cell>
        </row>
        <row r="909">
          <cell r="A909">
            <v>909</v>
          </cell>
        </row>
        <row r="910">
          <cell r="A910">
            <v>910</v>
          </cell>
        </row>
        <row r="911">
          <cell r="A911">
            <v>911</v>
          </cell>
        </row>
        <row r="912">
          <cell r="A912">
            <v>912</v>
          </cell>
        </row>
        <row r="913">
          <cell r="A913">
            <v>913</v>
          </cell>
        </row>
        <row r="914">
          <cell r="A914">
            <v>914</v>
          </cell>
        </row>
        <row r="915">
          <cell r="A915">
            <v>915</v>
          </cell>
        </row>
        <row r="916">
          <cell r="A916">
            <v>916</v>
          </cell>
        </row>
        <row r="917">
          <cell r="A917">
            <v>917</v>
          </cell>
        </row>
        <row r="918">
          <cell r="A918">
            <v>918</v>
          </cell>
        </row>
        <row r="919">
          <cell r="A919">
            <v>919</v>
          </cell>
        </row>
        <row r="920">
          <cell r="A920">
            <v>920</v>
          </cell>
        </row>
        <row r="921">
          <cell r="A921">
            <v>921</v>
          </cell>
        </row>
        <row r="922">
          <cell r="A922">
            <v>922</v>
          </cell>
        </row>
        <row r="923">
          <cell r="A923">
            <v>923</v>
          </cell>
        </row>
        <row r="924">
          <cell r="A924">
            <v>924</v>
          </cell>
        </row>
        <row r="925">
          <cell r="A925">
            <v>925</v>
          </cell>
        </row>
        <row r="926">
          <cell r="A926">
            <v>926</v>
          </cell>
        </row>
        <row r="927">
          <cell r="A927">
            <v>927</v>
          </cell>
        </row>
        <row r="928">
          <cell r="A928">
            <v>928</v>
          </cell>
        </row>
        <row r="929">
          <cell r="A929">
            <v>929</v>
          </cell>
        </row>
        <row r="930">
          <cell r="A930">
            <v>930</v>
          </cell>
        </row>
        <row r="931">
          <cell r="A931">
            <v>931</v>
          </cell>
        </row>
        <row r="932">
          <cell r="A932">
            <v>932</v>
          </cell>
        </row>
        <row r="933">
          <cell r="A933">
            <v>933</v>
          </cell>
        </row>
        <row r="934">
          <cell r="A934">
            <v>934</v>
          </cell>
        </row>
        <row r="935">
          <cell r="A935">
            <v>935</v>
          </cell>
        </row>
        <row r="936">
          <cell r="A936">
            <v>936</v>
          </cell>
        </row>
        <row r="937">
          <cell r="A937">
            <v>937</v>
          </cell>
        </row>
        <row r="938">
          <cell r="A938">
            <v>938</v>
          </cell>
        </row>
        <row r="939">
          <cell r="A939">
            <v>939</v>
          </cell>
        </row>
        <row r="940">
          <cell r="A940">
            <v>940</v>
          </cell>
        </row>
        <row r="941">
          <cell r="A941">
            <v>941</v>
          </cell>
        </row>
        <row r="942">
          <cell r="A942">
            <v>942</v>
          </cell>
        </row>
        <row r="943">
          <cell r="A943">
            <v>943</v>
          </cell>
        </row>
        <row r="944">
          <cell r="A944">
            <v>944</v>
          </cell>
        </row>
        <row r="945">
          <cell r="A945">
            <v>945</v>
          </cell>
        </row>
        <row r="946">
          <cell r="A946">
            <v>946</v>
          </cell>
        </row>
        <row r="947">
          <cell r="A947">
            <v>947</v>
          </cell>
        </row>
        <row r="948">
          <cell r="A948">
            <v>948</v>
          </cell>
        </row>
        <row r="949">
          <cell r="A949">
            <v>949</v>
          </cell>
        </row>
        <row r="950">
          <cell r="A950">
            <v>950</v>
          </cell>
        </row>
        <row r="951">
          <cell r="A951">
            <v>951</v>
          </cell>
        </row>
        <row r="952">
          <cell r="A952">
            <v>952</v>
          </cell>
        </row>
        <row r="953">
          <cell r="A953">
            <v>953</v>
          </cell>
        </row>
        <row r="954">
          <cell r="A954">
            <v>954</v>
          </cell>
        </row>
        <row r="955">
          <cell r="A955">
            <v>955</v>
          </cell>
        </row>
        <row r="956">
          <cell r="A956">
            <v>956</v>
          </cell>
        </row>
        <row r="957">
          <cell r="A957">
            <v>957</v>
          </cell>
        </row>
        <row r="958">
          <cell r="A958">
            <v>958</v>
          </cell>
        </row>
        <row r="959">
          <cell r="A959">
            <v>959</v>
          </cell>
        </row>
        <row r="960">
          <cell r="A960">
            <v>960</v>
          </cell>
        </row>
        <row r="961">
          <cell r="A961">
            <v>961</v>
          </cell>
        </row>
        <row r="962">
          <cell r="A962">
            <v>962</v>
          </cell>
        </row>
        <row r="963">
          <cell r="A963">
            <v>963</v>
          </cell>
        </row>
        <row r="964">
          <cell r="A964">
            <v>964</v>
          </cell>
        </row>
        <row r="965">
          <cell r="A965">
            <v>965</v>
          </cell>
        </row>
        <row r="966">
          <cell r="A966">
            <v>966</v>
          </cell>
        </row>
        <row r="967">
          <cell r="A967">
            <v>967</v>
          </cell>
        </row>
        <row r="968">
          <cell r="A968">
            <v>968</v>
          </cell>
        </row>
        <row r="969">
          <cell r="A969">
            <v>969</v>
          </cell>
        </row>
        <row r="970">
          <cell r="A970">
            <v>970</v>
          </cell>
        </row>
        <row r="971">
          <cell r="A971">
            <v>971</v>
          </cell>
        </row>
        <row r="972">
          <cell r="A972">
            <v>972</v>
          </cell>
        </row>
        <row r="973">
          <cell r="A973">
            <v>973</v>
          </cell>
        </row>
        <row r="974">
          <cell r="A974">
            <v>974</v>
          </cell>
        </row>
        <row r="975">
          <cell r="A975">
            <v>975</v>
          </cell>
        </row>
        <row r="976">
          <cell r="A976">
            <v>976</v>
          </cell>
        </row>
        <row r="977">
          <cell r="A977">
            <v>977</v>
          </cell>
        </row>
        <row r="978">
          <cell r="A978">
            <v>978</v>
          </cell>
        </row>
        <row r="979">
          <cell r="A979">
            <v>979</v>
          </cell>
        </row>
        <row r="980">
          <cell r="A980">
            <v>980</v>
          </cell>
        </row>
        <row r="981">
          <cell r="A981">
            <v>981</v>
          </cell>
        </row>
        <row r="982">
          <cell r="A982">
            <v>982</v>
          </cell>
        </row>
        <row r="983">
          <cell r="A983">
            <v>983</v>
          </cell>
        </row>
        <row r="984">
          <cell r="A984">
            <v>984</v>
          </cell>
        </row>
        <row r="985">
          <cell r="A985">
            <v>985</v>
          </cell>
        </row>
        <row r="986">
          <cell r="A986">
            <v>986</v>
          </cell>
        </row>
        <row r="987">
          <cell r="A987">
            <v>987</v>
          </cell>
        </row>
        <row r="988">
          <cell r="A988">
            <v>988</v>
          </cell>
        </row>
        <row r="989">
          <cell r="A989">
            <v>989</v>
          </cell>
        </row>
        <row r="990">
          <cell r="A990">
            <v>990</v>
          </cell>
        </row>
        <row r="991">
          <cell r="A991">
            <v>991</v>
          </cell>
        </row>
        <row r="992">
          <cell r="A992">
            <v>992</v>
          </cell>
        </row>
        <row r="993">
          <cell r="A993">
            <v>993</v>
          </cell>
        </row>
        <row r="994">
          <cell r="A994">
            <v>994</v>
          </cell>
        </row>
        <row r="995">
          <cell r="A995">
            <v>995</v>
          </cell>
        </row>
        <row r="996">
          <cell r="A996">
            <v>996</v>
          </cell>
        </row>
        <row r="997">
          <cell r="A997">
            <v>997</v>
          </cell>
        </row>
        <row r="998">
          <cell r="A998">
            <v>998</v>
          </cell>
        </row>
        <row r="999">
          <cell r="A999">
            <v>999</v>
          </cell>
        </row>
        <row r="1000">
          <cell r="A1000">
            <v>1000</v>
          </cell>
        </row>
        <row r="1001">
          <cell r="A1001">
            <v>1001</v>
          </cell>
        </row>
        <row r="1002">
          <cell r="A1002">
            <v>1002</v>
          </cell>
        </row>
        <row r="1003">
          <cell r="A1003">
            <v>1003</v>
          </cell>
        </row>
        <row r="1004">
          <cell r="A1004">
            <v>1004</v>
          </cell>
        </row>
        <row r="1005">
          <cell r="A1005">
            <v>1005</v>
          </cell>
        </row>
        <row r="1006">
          <cell r="A1006">
            <v>1006</v>
          </cell>
        </row>
        <row r="1007">
          <cell r="A1007">
            <v>1007</v>
          </cell>
        </row>
        <row r="1008">
          <cell r="A1008">
            <v>1008</v>
          </cell>
        </row>
        <row r="1009">
          <cell r="A1009">
            <v>1009</v>
          </cell>
        </row>
        <row r="1010">
          <cell r="A1010">
            <v>1010</v>
          </cell>
        </row>
        <row r="1011">
          <cell r="A1011">
            <v>1011</v>
          </cell>
        </row>
        <row r="1012">
          <cell r="A1012">
            <v>1012</v>
          </cell>
        </row>
        <row r="1013">
          <cell r="A1013">
            <v>1013</v>
          </cell>
        </row>
        <row r="1014">
          <cell r="A1014">
            <v>1014</v>
          </cell>
        </row>
        <row r="1015">
          <cell r="A1015">
            <v>1015</v>
          </cell>
        </row>
        <row r="1016">
          <cell r="A1016">
            <v>1016</v>
          </cell>
        </row>
        <row r="1017">
          <cell r="A1017">
            <v>1017</v>
          </cell>
        </row>
        <row r="1018">
          <cell r="A1018">
            <v>1018</v>
          </cell>
        </row>
        <row r="1019">
          <cell r="A1019">
            <v>1019</v>
          </cell>
        </row>
        <row r="1020">
          <cell r="A1020">
            <v>1020</v>
          </cell>
        </row>
        <row r="1021">
          <cell r="A1021">
            <v>1021</v>
          </cell>
        </row>
        <row r="1022">
          <cell r="A1022">
            <v>1022</v>
          </cell>
        </row>
        <row r="1023">
          <cell r="A1023">
            <v>1023</v>
          </cell>
        </row>
        <row r="1024">
          <cell r="A1024">
            <v>1024</v>
          </cell>
        </row>
        <row r="1025">
          <cell r="A1025">
            <v>1025</v>
          </cell>
        </row>
        <row r="1026">
          <cell r="A1026">
            <v>1026</v>
          </cell>
        </row>
        <row r="1027">
          <cell r="A1027">
            <v>1027</v>
          </cell>
        </row>
        <row r="1028">
          <cell r="A1028">
            <v>1028</v>
          </cell>
        </row>
        <row r="1029">
          <cell r="A1029">
            <v>1029</v>
          </cell>
        </row>
        <row r="1030">
          <cell r="A1030">
            <v>1030</v>
          </cell>
        </row>
        <row r="1031">
          <cell r="A1031">
            <v>1031</v>
          </cell>
        </row>
        <row r="1032">
          <cell r="A1032">
            <v>1032</v>
          </cell>
        </row>
        <row r="1033">
          <cell r="A1033">
            <v>1033</v>
          </cell>
        </row>
        <row r="1034">
          <cell r="A1034">
            <v>1034</v>
          </cell>
        </row>
        <row r="1035">
          <cell r="A1035">
            <v>1035</v>
          </cell>
        </row>
        <row r="1036">
          <cell r="A1036">
            <v>1036</v>
          </cell>
        </row>
        <row r="1037">
          <cell r="A1037">
            <v>1037</v>
          </cell>
        </row>
        <row r="1038">
          <cell r="A1038">
            <v>1038</v>
          </cell>
        </row>
        <row r="1039">
          <cell r="A1039">
            <v>1039</v>
          </cell>
        </row>
        <row r="1040">
          <cell r="A1040">
            <v>1040</v>
          </cell>
        </row>
        <row r="1041">
          <cell r="A1041">
            <v>1041</v>
          </cell>
        </row>
        <row r="1042">
          <cell r="A1042">
            <v>1042</v>
          </cell>
        </row>
        <row r="1043">
          <cell r="A1043">
            <v>1043</v>
          </cell>
        </row>
        <row r="1044">
          <cell r="A1044">
            <v>1044</v>
          </cell>
        </row>
        <row r="1045">
          <cell r="A1045">
            <v>1045</v>
          </cell>
        </row>
        <row r="1046">
          <cell r="A1046">
            <v>1046</v>
          </cell>
        </row>
        <row r="1047">
          <cell r="A1047">
            <v>1047</v>
          </cell>
        </row>
        <row r="1048">
          <cell r="A1048">
            <v>1048</v>
          </cell>
        </row>
        <row r="1049">
          <cell r="A1049">
            <v>1049</v>
          </cell>
        </row>
        <row r="1050">
          <cell r="A1050">
            <v>1050</v>
          </cell>
        </row>
        <row r="1051">
          <cell r="A1051">
            <v>1051</v>
          </cell>
        </row>
        <row r="1052">
          <cell r="A1052">
            <v>1052</v>
          </cell>
        </row>
        <row r="1053">
          <cell r="A1053">
            <v>1053</v>
          </cell>
        </row>
        <row r="1054">
          <cell r="A1054">
            <v>1054</v>
          </cell>
        </row>
        <row r="1055">
          <cell r="A1055">
            <v>1055</v>
          </cell>
        </row>
        <row r="1056">
          <cell r="A1056">
            <v>1056</v>
          </cell>
        </row>
        <row r="1057">
          <cell r="A1057">
            <v>1057</v>
          </cell>
        </row>
        <row r="1058">
          <cell r="A1058">
            <v>1058</v>
          </cell>
        </row>
        <row r="1059">
          <cell r="A1059">
            <v>1059</v>
          </cell>
        </row>
        <row r="1060">
          <cell r="A1060">
            <v>1060</v>
          </cell>
        </row>
        <row r="1061">
          <cell r="A1061">
            <v>1061</v>
          </cell>
        </row>
        <row r="1062">
          <cell r="A1062">
            <v>1062</v>
          </cell>
        </row>
        <row r="1063">
          <cell r="A1063">
            <v>1063</v>
          </cell>
        </row>
        <row r="1064">
          <cell r="A1064">
            <v>1064</v>
          </cell>
        </row>
        <row r="1065">
          <cell r="A1065">
            <v>1065</v>
          </cell>
        </row>
        <row r="1066">
          <cell r="A1066">
            <v>1066</v>
          </cell>
        </row>
        <row r="1067">
          <cell r="A1067">
            <v>1067</v>
          </cell>
        </row>
        <row r="1068">
          <cell r="A1068">
            <v>1068</v>
          </cell>
        </row>
        <row r="1069">
          <cell r="A1069">
            <v>1069</v>
          </cell>
        </row>
        <row r="1070">
          <cell r="A1070">
            <v>1070</v>
          </cell>
        </row>
        <row r="1071">
          <cell r="A1071">
            <v>1071</v>
          </cell>
        </row>
        <row r="1072">
          <cell r="A1072">
            <v>1072</v>
          </cell>
        </row>
        <row r="1073">
          <cell r="A1073">
            <v>1073</v>
          </cell>
        </row>
        <row r="1074">
          <cell r="A1074">
            <v>1074</v>
          </cell>
        </row>
        <row r="1075">
          <cell r="A1075">
            <v>1075</v>
          </cell>
        </row>
        <row r="1076">
          <cell r="A1076">
            <v>1076</v>
          </cell>
        </row>
        <row r="1077">
          <cell r="A1077">
            <v>1077</v>
          </cell>
        </row>
        <row r="1078">
          <cell r="A1078">
            <v>1078</v>
          </cell>
        </row>
        <row r="1079">
          <cell r="A1079">
            <v>1079</v>
          </cell>
        </row>
        <row r="1080">
          <cell r="A1080">
            <v>1080</v>
          </cell>
        </row>
        <row r="1081">
          <cell r="A1081">
            <v>1081</v>
          </cell>
        </row>
        <row r="1082">
          <cell r="A1082">
            <v>1082</v>
          </cell>
        </row>
        <row r="1083">
          <cell r="A1083">
            <v>1083</v>
          </cell>
        </row>
        <row r="1084">
          <cell r="A1084">
            <v>1084</v>
          </cell>
        </row>
        <row r="1085">
          <cell r="A1085">
            <v>1085</v>
          </cell>
        </row>
        <row r="1086">
          <cell r="A1086">
            <v>1086</v>
          </cell>
        </row>
        <row r="1087">
          <cell r="A1087">
            <v>1087</v>
          </cell>
        </row>
        <row r="1088">
          <cell r="A1088">
            <v>1088</v>
          </cell>
        </row>
        <row r="1089">
          <cell r="A1089">
            <v>1089</v>
          </cell>
        </row>
        <row r="1090">
          <cell r="A1090">
            <v>1090</v>
          </cell>
        </row>
        <row r="1091">
          <cell r="A1091">
            <v>1091</v>
          </cell>
        </row>
        <row r="1092">
          <cell r="A1092">
            <v>1092</v>
          </cell>
        </row>
        <row r="1093">
          <cell r="A1093">
            <v>1093</v>
          </cell>
        </row>
        <row r="1094">
          <cell r="A1094">
            <v>1094</v>
          </cell>
        </row>
        <row r="1095">
          <cell r="A1095">
            <v>1095</v>
          </cell>
        </row>
        <row r="1096">
          <cell r="A1096">
            <v>1096</v>
          </cell>
        </row>
        <row r="1097">
          <cell r="A1097">
            <v>1097</v>
          </cell>
        </row>
        <row r="1098">
          <cell r="A1098">
            <v>1098</v>
          </cell>
        </row>
        <row r="1099">
          <cell r="A1099">
            <v>1099</v>
          </cell>
        </row>
        <row r="1100">
          <cell r="A1100">
            <v>1100</v>
          </cell>
        </row>
        <row r="1101">
          <cell r="A1101">
            <v>1101</v>
          </cell>
        </row>
        <row r="1102">
          <cell r="A1102">
            <v>1102</v>
          </cell>
        </row>
        <row r="1103">
          <cell r="A1103">
            <v>1103</v>
          </cell>
        </row>
        <row r="1104">
          <cell r="A1104">
            <v>1104</v>
          </cell>
        </row>
        <row r="1105">
          <cell r="A1105">
            <v>1105</v>
          </cell>
        </row>
        <row r="1106">
          <cell r="A1106">
            <v>1106</v>
          </cell>
        </row>
        <row r="1107">
          <cell r="A1107">
            <v>1107</v>
          </cell>
        </row>
        <row r="1108">
          <cell r="A1108">
            <v>1108</v>
          </cell>
        </row>
        <row r="1109">
          <cell r="A1109">
            <v>1109</v>
          </cell>
        </row>
        <row r="1110">
          <cell r="A1110">
            <v>1110</v>
          </cell>
        </row>
        <row r="1111">
          <cell r="A1111">
            <v>1111</v>
          </cell>
        </row>
        <row r="1112">
          <cell r="A1112">
            <v>1112</v>
          </cell>
        </row>
        <row r="1113">
          <cell r="A1113">
            <v>1113</v>
          </cell>
        </row>
        <row r="1114">
          <cell r="A1114">
            <v>1114</v>
          </cell>
        </row>
        <row r="1115">
          <cell r="A1115">
            <v>1115</v>
          </cell>
        </row>
        <row r="1116">
          <cell r="A1116">
            <v>1116</v>
          </cell>
        </row>
        <row r="1117">
          <cell r="A1117">
            <v>1117</v>
          </cell>
        </row>
        <row r="1118">
          <cell r="A1118">
            <v>1118</v>
          </cell>
        </row>
        <row r="1119">
          <cell r="A1119">
            <v>1119</v>
          </cell>
        </row>
        <row r="1120">
          <cell r="A1120">
            <v>1120</v>
          </cell>
        </row>
        <row r="1121">
          <cell r="A1121">
            <v>1121</v>
          </cell>
        </row>
        <row r="1122">
          <cell r="A1122">
            <v>1122</v>
          </cell>
        </row>
        <row r="1123">
          <cell r="A1123">
            <v>1123</v>
          </cell>
        </row>
        <row r="1124">
          <cell r="A1124">
            <v>1124</v>
          </cell>
        </row>
        <row r="1125">
          <cell r="A1125">
            <v>1125</v>
          </cell>
        </row>
        <row r="1126">
          <cell r="A1126">
            <v>1126</v>
          </cell>
        </row>
        <row r="1127">
          <cell r="A1127">
            <v>1127</v>
          </cell>
        </row>
        <row r="1128">
          <cell r="A1128">
            <v>1128</v>
          </cell>
        </row>
        <row r="1129">
          <cell r="A1129">
            <v>1129</v>
          </cell>
        </row>
        <row r="1130">
          <cell r="A1130">
            <v>1130</v>
          </cell>
        </row>
        <row r="1131">
          <cell r="A1131">
            <v>1131</v>
          </cell>
        </row>
        <row r="1132">
          <cell r="A1132">
            <v>1132</v>
          </cell>
        </row>
        <row r="1133">
          <cell r="A1133">
            <v>1133</v>
          </cell>
        </row>
        <row r="1134">
          <cell r="A1134">
            <v>1134</v>
          </cell>
        </row>
        <row r="1135">
          <cell r="A1135">
            <v>1135</v>
          </cell>
        </row>
        <row r="1136">
          <cell r="A1136">
            <v>1136</v>
          </cell>
        </row>
        <row r="1137">
          <cell r="A1137">
            <v>1137</v>
          </cell>
        </row>
        <row r="1138">
          <cell r="A1138">
            <v>1138</v>
          </cell>
        </row>
        <row r="1139">
          <cell r="A1139">
            <v>1139</v>
          </cell>
        </row>
        <row r="1140">
          <cell r="A1140">
            <v>1140</v>
          </cell>
        </row>
        <row r="1141">
          <cell r="A1141">
            <v>1141</v>
          </cell>
        </row>
        <row r="1142">
          <cell r="A1142">
            <v>1142</v>
          </cell>
        </row>
        <row r="1143">
          <cell r="A1143">
            <v>1143</v>
          </cell>
        </row>
        <row r="1144">
          <cell r="A1144">
            <v>1144</v>
          </cell>
        </row>
        <row r="1145">
          <cell r="A1145">
            <v>1145</v>
          </cell>
        </row>
        <row r="1146">
          <cell r="A1146">
            <v>1146</v>
          </cell>
        </row>
        <row r="1147">
          <cell r="A1147">
            <v>1147</v>
          </cell>
        </row>
        <row r="1148">
          <cell r="A1148">
            <v>1148</v>
          </cell>
        </row>
        <row r="1149">
          <cell r="A1149">
            <v>1149</v>
          </cell>
        </row>
        <row r="1150">
          <cell r="A1150">
            <v>1150</v>
          </cell>
        </row>
        <row r="1151">
          <cell r="A1151">
            <v>1151</v>
          </cell>
        </row>
        <row r="1152">
          <cell r="A1152">
            <v>1152</v>
          </cell>
        </row>
        <row r="1153">
          <cell r="A1153">
            <v>1153</v>
          </cell>
        </row>
        <row r="1154">
          <cell r="A1154">
            <v>1154</v>
          </cell>
        </row>
        <row r="1155">
          <cell r="A1155">
            <v>1155</v>
          </cell>
        </row>
        <row r="1156">
          <cell r="A1156">
            <v>1156</v>
          </cell>
        </row>
        <row r="1157">
          <cell r="A1157">
            <v>1157</v>
          </cell>
        </row>
        <row r="1158">
          <cell r="A1158">
            <v>1158</v>
          </cell>
        </row>
        <row r="1159">
          <cell r="A1159">
            <v>1159</v>
          </cell>
        </row>
        <row r="1160">
          <cell r="A1160">
            <v>1160</v>
          </cell>
        </row>
        <row r="1161">
          <cell r="A1161">
            <v>1161</v>
          </cell>
        </row>
        <row r="1162">
          <cell r="A1162">
            <v>1162</v>
          </cell>
        </row>
        <row r="1163">
          <cell r="A1163">
            <v>1163</v>
          </cell>
        </row>
        <row r="1164">
          <cell r="A1164">
            <v>1164</v>
          </cell>
        </row>
        <row r="1165">
          <cell r="A1165">
            <v>1165</v>
          </cell>
        </row>
        <row r="1166">
          <cell r="A1166">
            <v>1166</v>
          </cell>
        </row>
        <row r="1167">
          <cell r="A1167">
            <v>1167</v>
          </cell>
        </row>
        <row r="1168">
          <cell r="A1168">
            <v>1168</v>
          </cell>
        </row>
        <row r="1169">
          <cell r="A1169">
            <v>1169</v>
          </cell>
        </row>
        <row r="1170">
          <cell r="A1170">
            <v>1170</v>
          </cell>
        </row>
        <row r="1171">
          <cell r="A1171">
            <v>1171</v>
          </cell>
        </row>
        <row r="1172">
          <cell r="A1172">
            <v>1172</v>
          </cell>
        </row>
        <row r="1173">
          <cell r="A1173">
            <v>1173</v>
          </cell>
        </row>
        <row r="1174">
          <cell r="A1174">
            <v>1174</v>
          </cell>
        </row>
        <row r="1175">
          <cell r="A1175">
            <v>1175</v>
          </cell>
        </row>
        <row r="1176">
          <cell r="A1176">
            <v>1176</v>
          </cell>
        </row>
        <row r="1177">
          <cell r="A1177">
            <v>1177</v>
          </cell>
        </row>
        <row r="1178">
          <cell r="A1178">
            <v>1178</v>
          </cell>
        </row>
        <row r="1179">
          <cell r="A1179">
            <v>1179</v>
          </cell>
        </row>
        <row r="1180">
          <cell r="A1180">
            <v>1180</v>
          </cell>
        </row>
        <row r="1181">
          <cell r="A1181">
            <v>1181</v>
          </cell>
        </row>
        <row r="1182">
          <cell r="A1182">
            <v>1182</v>
          </cell>
        </row>
        <row r="1183">
          <cell r="A1183">
            <v>1183</v>
          </cell>
        </row>
        <row r="1184">
          <cell r="A1184">
            <v>1184</v>
          </cell>
        </row>
        <row r="1185">
          <cell r="A1185">
            <v>1185</v>
          </cell>
        </row>
        <row r="1186">
          <cell r="A1186">
            <v>1186</v>
          </cell>
        </row>
        <row r="1187">
          <cell r="A1187">
            <v>1187</v>
          </cell>
        </row>
        <row r="1188">
          <cell r="A1188">
            <v>1188</v>
          </cell>
        </row>
        <row r="1189">
          <cell r="A1189">
            <v>1189</v>
          </cell>
        </row>
        <row r="1190">
          <cell r="A1190">
            <v>1190</v>
          </cell>
        </row>
        <row r="1191">
          <cell r="A1191">
            <v>1191</v>
          </cell>
        </row>
        <row r="1192">
          <cell r="A1192">
            <v>1192</v>
          </cell>
        </row>
        <row r="1193">
          <cell r="A1193">
            <v>1193</v>
          </cell>
        </row>
        <row r="1194">
          <cell r="A1194">
            <v>1194</v>
          </cell>
        </row>
        <row r="1195">
          <cell r="A1195">
            <v>1195</v>
          </cell>
        </row>
        <row r="1196">
          <cell r="A1196">
            <v>1196</v>
          </cell>
        </row>
        <row r="1197">
          <cell r="A1197">
            <v>1197</v>
          </cell>
        </row>
        <row r="1198">
          <cell r="A1198">
            <v>1198</v>
          </cell>
        </row>
        <row r="1199">
          <cell r="A1199">
            <v>1199</v>
          </cell>
        </row>
        <row r="1200">
          <cell r="A1200">
            <v>1200</v>
          </cell>
        </row>
        <row r="1201">
          <cell r="A1201">
            <v>1201</v>
          </cell>
        </row>
        <row r="1202">
          <cell r="A1202">
            <v>1202</v>
          </cell>
        </row>
        <row r="1203">
          <cell r="A1203">
            <v>1203</v>
          </cell>
        </row>
        <row r="1204">
          <cell r="A1204">
            <v>1204</v>
          </cell>
        </row>
        <row r="1205">
          <cell r="A1205">
            <v>1205</v>
          </cell>
        </row>
        <row r="1206">
          <cell r="A1206">
            <v>1206</v>
          </cell>
        </row>
        <row r="1207">
          <cell r="A1207">
            <v>1207</v>
          </cell>
        </row>
        <row r="1208">
          <cell r="A1208">
            <v>1208</v>
          </cell>
        </row>
        <row r="1209">
          <cell r="A1209">
            <v>1209</v>
          </cell>
        </row>
        <row r="1210">
          <cell r="A1210">
            <v>1210</v>
          </cell>
        </row>
        <row r="1211">
          <cell r="A1211">
            <v>1211</v>
          </cell>
        </row>
        <row r="1212">
          <cell r="A1212">
            <v>1212</v>
          </cell>
        </row>
        <row r="1213">
          <cell r="A1213">
            <v>1213</v>
          </cell>
        </row>
        <row r="1214">
          <cell r="A1214">
            <v>1214</v>
          </cell>
        </row>
        <row r="1215">
          <cell r="A1215">
            <v>1215</v>
          </cell>
        </row>
        <row r="1216">
          <cell r="A1216">
            <v>1216</v>
          </cell>
        </row>
        <row r="1217">
          <cell r="A1217">
            <v>1217</v>
          </cell>
        </row>
        <row r="1218">
          <cell r="A1218">
            <v>1218</v>
          </cell>
        </row>
        <row r="1219">
          <cell r="A1219">
            <v>1219</v>
          </cell>
        </row>
        <row r="1220">
          <cell r="A1220">
            <v>1220</v>
          </cell>
        </row>
        <row r="1221">
          <cell r="A1221">
            <v>1221</v>
          </cell>
        </row>
        <row r="1222">
          <cell r="A1222">
            <v>1222</v>
          </cell>
        </row>
        <row r="1223">
          <cell r="A1223">
            <v>1223</v>
          </cell>
        </row>
        <row r="1224">
          <cell r="A1224">
            <v>1224</v>
          </cell>
        </row>
        <row r="1225">
          <cell r="A1225">
            <v>1225</v>
          </cell>
        </row>
        <row r="1226">
          <cell r="A1226">
            <v>1226</v>
          </cell>
        </row>
        <row r="1227">
          <cell r="A1227">
            <v>1227</v>
          </cell>
        </row>
        <row r="1228">
          <cell r="A1228">
            <v>1228</v>
          </cell>
        </row>
        <row r="1229">
          <cell r="A1229">
            <v>1229</v>
          </cell>
        </row>
        <row r="1230">
          <cell r="A1230">
            <v>1230</v>
          </cell>
        </row>
        <row r="1231">
          <cell r="A1231">
            <v>1231</v>
          </cell>
        </row>
        <row r="1232">
          <cell r="A1232">
            <v>1232</v>
          </cell>
        </row>
        <row r="1233">
          <cell r="A1233">
            <v>1233</v>
          </cell>
        </row>
        <row r="1234">
          <cell r="A1234">
            <v>1234</v>
          </cell>
        </row>
        <row r="1235">
          <cell r="A1235">
            <v>1235</v>
          </cell>
        </row>
        <row r="1236">
          <cell r="A1236">
            <v>1236</v>
          </cell>
        </row>
        <row r="1237">
          <cell r="A1237">
            <v>1237</v>
          </cell>
        </row>
        <row r="1238">
          <cell r="A1238">
            <v>1238</v>
          </cell>
        </row>
        <row r="1239">
          <cell r="A1239">
            <v>1239</v>
          </cell>
        </row>
        <row r="1240">
          <cell r="A1240">
            <v>1240</v>
          </cell>
        </row>
        <row r="1241">
          <cell r="A1241">
            <v>1241</v>
          </cell>
        </row>
        <row r="1242">
          <cell r="A1242">
            <v>1242</v>
          </cell>
        </row>
        <row r="1243">
          <cell r="A1243">
            <v>1243</v>
          </cell>
        </row>
        <row r="1244">
          <cell r="A1244">
            <v>1244</v>
          </cell>
        </row>
        <row r="1245">
          <cell r="A1245">
            <v>1245</v>
          </cell>
        </row>
        <row r="1246">
          <cell r="A1246">
            <v>1246</v>
          </cell>
        </row>
        <row r="1247">
          <cell r="A1247">
            <v>1247</v>
          </cell>
        </row>
        <row r="1248">
          <cell r="A1248">
            <v>1248</v>
          </cell>
        </row>
        <row r="1249">
          <cell r="A1249">
            <v>1249</v>
          </cell>
        </row>
        <row r="1250">
          <cell r="A1250">
            <v>1250</v>
          </cell>
        </row>
        <row r="1251">
          <cell r="A1251">
            <v>1251</v>
          </cell>
        </row>
        <row r="1252">
          <cell r="A1252">
            <v>1252</v>
          </cell>
        </row>
        <row r="1253">
          <cell r="A1253">
            <v>1253</v>
          </cell>
        </row>
        <row r="1254">
          <cell r="A1254">
            <v>1254</v>
          </cell>
        </row>
        <row r="1255">
          <cell r="A1255">
            <v>1255</v>
          </cell>
        </row>
        <row r="1256">
          <cell r="A1256">
            <v>1256</v>
          </cell>
        </row>
        <row r="1257">
          <cell r="A1257">
            <v>1257</v>
          </cell>
        </row>
        <row r="1258">
          <cell r="A1258">
            <v>1258</v>
          </cell>
        </row>
        <row r="1259">
          <cell r="A1259">
            <v>1259</v>
          </cell>
        </row>
        <row r="1260">
          <cell r="A1260">
            <v>1260</v>
          </cell>
        </row>
        <row r="1261">
          <cell r="A1261">
            <v>1261</v>
          </cell>
        </row>
        <row r="1262">
          <cell r="A1262">
            <v>1262</v>
          </cell>
        </row>
        <row r="1263">
          <cell r="A1263">
            <v>1263</v>
          </cell>
        </row>
        <row r="1264">
          <cell r="A1264">
            <v>1264</v>
          </cell>
        </row>
        <row r="1265">
          <cell r="A1265">
            <v>1265</v>
          </cell>
        </row>
        <row r="1266">
          <cell r="A1266">
            <v>1266</v>
          </cell>
        </row>
        <row r="1267">
          <cell r="A1267">
            <v>1267</v>
          </cell>
        </row>
        <row r="1268">
          <cell r="A1268">
            <v>1268</v>
          </cell>
        </row>
        <row r="1269">
          <cell r="A1269">
            <v>1269</v>
          </cell>
        </row>
        <row r="1270">
          <cell r="A1270">
            <v>1270</v>
          </cell>
        </row>
        <row r="1271">
          <cell r="A1271">
            <v>1271</v>
          </cell>
        </row>
        <row r="1272">
          <cell r="A1272">
            <v>1272</v>
          </cell>
        </row>
        <row r="1273">
          <cell r="A1273">
            <v>1273</v>
          </cell>
        </row>
        <row r="1274">
          <cell r="A1274">
            <v>1274</v>
          </cell>
        </row>
        <row r="1275">
          <cell r="A1275">
            <v>1275</v>
          </cell>
        </row>
        <row r="1276">
          <cell r="A1276">
            <v>1276</v>
          </cell>
        </row>
        <row r="1277">
          <cell r="A1277">
            <v>1277</v>
          </cell>
        </row>
        <row r="1278">
          <cell r="A1278">
            <v>1278</v>
          </cell>
        </row>
        <row r="1279">
          <cell r="A1279">
            <v>1279</v>
          </cell>
        </row>
        <row r="1280">
          <cell r="A1280">
            <v>1280</v>
          </cell>
        </row>
        <row r="1281">
          <cell r="A1281">
            <v>1281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내역서"/>
      <sheetName val="수량산출"/>
      <sheetName val="중량산출"/>
      <sheetName val="PANEL 중량산출"/>
      <sheetName val="견적대비표"/>
      <sheetName val="배관배선"/>
      <sheetName val="단가대비표"/>
      <sheetName val="성스테이지"/>
      <sheetName val="타견적서 영시스템"/>
      <sheetName val="진명견적"/>
      <sheetName val="노무비"/>
      <sheetName val="데이타"/>
      <sheetName val="식재인부"/>
      <sheetName val="원가계산서"/>
      <sheetName val="공종별집계표"/>
      <sheetName val="신우"/>
      <sheetName val="갑지"/>
      <sheetName val="내역집계표"/>
      <sheetName val="노무비단가내역"/>
      <sheetName val="공량산출서"/>
      <sheetName val="산출집계표"/>
      <sheetName val="산출기초"/>
      <sheetName val="견적서(주차관제)"/>
      <sheetName val="견적"/>
      <sheetName val="합천내역"/>
      <sheetName val="AS포장복구 "/>
      <sheetName val="산출근거(복구)"/>
      <sheetName val="단가표"/>
      <sheetName val="실행간접비용"/>
      <sheetName val="준공정산"/>
      <sheetName val="빌딩 안내"/>
      <sheetName val="내역"/>
      <sheetName val="설계서"/>
      <sheetName val="Sheet1"/>
      <sheetName val="1안"/>
      <sheetName val="가감수량"/>
      <sheetName val="맨홀수량산출"/>
      <sheetName val="건축-물가변동"/>
      <sheetName val="코드"/>
      <sheetName val="노임단가"/>
      <sheetName val="#REF"/>
      <sheetName val="증감대비"/>
      <sheetName val="_x0000_"/>
      <sheetName val="가설공사"/>
      <sheetName val="sal"/>
      <sheetName val="연습"/>
      <sheetName val="3.내역서"/>
      <sheetName val="9GNG운반"/>
      <sheetName val="Sheet13"/>
      <sheetName val="Sheet14"/>
      <sheetName val="부하계산서"/>
      <sheetName val="일위대가"/>
      <sheetName val="토사(PE)"/>
      <sheetName val="시행후면적"/>
      <sheetName val="수지예산"/>
      <sheetName val="설계명세서"/>
      <sheetName val="01.가로등"/>
      <sheetName val="02.펌프장"/>
      <sheetName val="N賃率-職"/>
      <sheetName val="집계표"/>
      <sheetName val="정공공사"/>
      <sheetName val="Total"/>
      <sheetName val="자료"/>
      <sheetName val="b_balju_cho"/>
      <sheetName val="세부내역서"/>
      <sheetName val="건축"/>
      <sheetName val="DATA"/>
      <sheetName val="Detail"/>
      <sheetName val="공사개요"/>
      <sheetName val="F-CV1.5SQ-2C"/>
      <sheetName val="_x0000_k_x0000_y_x0000__x0000__x0000_£_x0000_±_x0000_¿_x0000_"/>
      <sheetName val="노무,재료"/>
      <sheetName val="간선"/>
      <sheetName val="전압"/>
      <sheetName val="조도"/>
      <sheetName val="동력"/>
      <sheetName val="Sheet9"/>
      <sheetName val="내역서1"/>
      <sheetName val="가스내역"/>
      <sheetName val="준검 내역서"/>
      <sheetName val="sw1"/>
      <sheetName val="수량산출(출력물)"/>
      <sheetName val="단가대비"/>
      <sheetName val="내역갑지"/>
      <sheetName val="맨홀수량산출_x0000__x0000__x0000__x0000__x0010_[내역서.xls]건축-물"/>
      <sheetName val="환율"/>
      <sheetName val="_x0000__x0004_"/>
      <sheetName val="_x0000__x0006_Ā嗰"/>
      <sheetName val="입고장부 (4)"/>
      <sheetName val="CTEMCOST"/>
      <sheetName val="__"/>
      <sheetName val="본댐설계"/>
      <sheetName val="工완성공사율"/>
      <sheetName val="노임,재료비"/>
      <sheetName val="내역서집계(도급)"/>
      <sheetName val="가설공사비"/>
      <sheetName val="도로구조공사비"/>
      <sheetName val="도로토공공사비"/>
      <sheetName val="여수토공사비"/>
      <sheetName val="토목단가산출 "/>
      <sheetName val="노임(1차)"/>
      <sheetName val="수용가조서"/>
      <sheetName val="건축내역"/>
      <sheetName val="EQT-ESTN"/>
      <sheetName val="기존단가 (2)"/>
      <sheetName val="EP0618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요율"/>
      <sheetName val="설계기준"/>
      <sheetName val="내역1"/>
      <sheetName val="약품공급2"/>
      <sheetName val=":"/>
      <sheetName val="기구조직"/>
      <sheetName val="견적B"/>
      <sheetName val="자단"/>
      <sheetName val="사통"/>
      <sheetName val="교대"/>
      <sheetName val="총괄집계표"/>
      <sheetName val="데리네이타현황"/>
      <sheetName val="_x005f_x0000_"/>
      <sheetName val="_x005f_x0000_k_x005f_x0000_y_x005f_x0000__x005f_x0000_"/>
      <sheetName val="을지(방송)"/>
      <sheetName val="PANEL_중량산출"/>
      <sheetName val="타견적서_영시스템"/>
      <sheetName val="참조"/>
      <sheetName val="일위"/>
      <sheetName val="날개벽수량표"/>
      <sheetName val="1.설계조건"/>
      <sheetName val="_x0000_ߐଷॠଷ_x0000_"/>
      <sheetName val="실행철강하도"/>
      <sheetName val="가로등설치비"/>
      <sheetName val="산출(전기)"/>
      <sheetName val="2016.06.11 가로등 산출조서(백양대로).xls"/>
      <sheetName val="_x000a_검ǀ_x0000__x0000__x0000_庯"/>
      <sheetName val="guard(mac)"/>
      <sheetName val="[내역서.xls]:"/>
      <sheetName val="[내역서.xls][내역서.xls]:"/>
      <sheetName val="[내역서.xls][내역서.xls][내역서.xls]:"/>
      <sheetName val="계수시트"/>
      <sheetName val="청소년수련관"/>
      <sheetName val="[내역서.xls][내역서.xls][내역서.xls][내역서"/>
      <sheetName val="시설물일위"/>
      <sheetName val="단가결정"/>
      <sheetName val="내역아"/>
      <sheetName val="울타리"/>
      <sheetName val="_x0000_k_x0000_y_x0000__x0000_"/>
      <sheetName val="표지 (2)"/>
      <sheetName val="내역서(토목) "/>
      <sheetName val="Sheet2"/>
      <sheetName val="Sheet3"/>
      <sheetName val="여의도"/>
      <sheetName val="여의도 (도)(3)"/>
      <sheetName val="여의도 (식)"/>
      <sheetName val="여의도 (87)"/>
      <sheetName val="케이씨"/>
      <sheetName val="능곡"/>
      <sheetName val="ISONI"/>
      <sheetName val="ISONI (2)"/>
      <sheetName val="응암동"/>
      <sheetName val="태백"/>
      <sheetName val="상계1"/>
      <sheetName val="상계2"/>
      <sheetName val="을지로"/>
      <sheetName val="동부s"/>
      <sheetName val="충주"/>
      <sheetName val="기둥(원형)"/>
      <sheetName val="화재 탐지 설비"/>
      <sheetName val="전시시설물"/>
      <sheetName val="모형"/>
      <sheetName val="영상HW"/>
      <sheetName val="영상SW"/>
      <sheetName val="싸인"/>
      <sheetName val="설명그래픽"/>
      <sheetName val="조명기구"/>
      <sheetName val="마감"/>
      <sheetName val="야외"/>
      <sheetName val="총집계표"/>
      <sheetName val="원가계산"/>
      <sheetName val="Sheet10"/>
      <sheetName val="Sheet11"/>
      <sheetName val="Sheet12"/>
      <sheetName val="Sheet15"/>
      <sheetName val="Sheet16"/>
      <sheetName val="조건표 (2)"/>
      <sheetName val="패널"/>
      <sheetName val="견적서"/>
      <sheetName val="중동상가"/>
      <sheetName val="APT"/>
      <sheetName val="연결임시"/>
      <sheetName val="입찰"/>
      <sheetName val="현경"/>
      <sheetName val="수수료율표"/>
      <sheetName val="장비가동"/>
      <sheetName val="단가산출근거"/>
      <sheetName val="단가검토갑지"/>
      <sheetName val="단가검토안"/>
      <sheetName val="설계비1안"/>
      <sheetName val="설계비2안"/>
      <sheetName val="설계비3안"/>
      <sheetName val="참고⇒"/>
      <sheetName val="확폭-오르막 주요단가비교"/>
      <sheetName val="집계표 (2)"/>
      <sheetName val="말뚝지지력산정"/>
      <sheetName val="견적서 갑지"/>
      <sheetName val="Panels"/>
      <sheetName val="전력간선"/>
      <sheetName val="Inst."/>
      <sheetName val="구조물공"/>
      <sheetName val="부대공"/>
      <sheetName val="배수공"/>
      <sheetName val="토공"/>
      <sheetName val="포장공"/>
      <sheetName val="도봉2지구"/>
      <sheetName val="시멘트"/>
      <sheetName val="EJ"/>
      <sheetName val="ELECTRIC"/>
      <sheetName val="TC표지"/>
      <sheetName val="Piping Design Data"/>
      <sheetName val="PROCESS"/>
      <sheetName val="터널조도"/>
      <sheetName val="할"/>
      <sheetName val="원가(토목)"/>
      <sheetName val="토목"/>
      <sheetName val="하도대비(토목)"/>
      <sheetName val="공사원가계산서"/>
      <sheetName val="총괄"/>
      <sheetName val="일위대가표목록표"/>
      <sheetName val="일위대가표"/>
      <sheetName val="JSP수량산출서"/>
      <sheetName val="SDA 수량산출"/>
      <sheetName val="SDA공법단가산출서 "/>
      <sheetName val="재료할증표"/>
      <sheetName val="자재단가"/>
      <sheetName val="토목 집계"/>
      <sheetName val="파일"/>
      <sheetName val="골조집계"/>
      <sheetName val="골조"/>
      <sheetName val="철골"/>
      <sheetName val="예정공정"/>
      <sheetName val="우수"/>
      <sheetName val="hvac(제어동)"/>
      <sheetName val="총괄표"/>
      <sheetName val="1호맨홀자연토공"/>
      <sheetName val="을"/>
      <sheetName val="표지"/>
      <sheetName val="내역 "/>
      <sheetName val="XXXXXX"/>
      <sheetName val="검토내역 (2)"/>
      <sheetName val="입찰안"/>
      <sheetName val="기성표지"/>
      <sheetName val="1회갑지"/>
      <sheetName val="극동건설"/>
      <sheetName val="일위산출"/>
      <sheetName val="구조물공내역서"/>
      <sheetName val="2000년1차"/>
      <sheetName val="일위목록"/>
      <sheetName val="기초대가"/>
      <sheetName val="식재공사"/>
      <sheetName val="골재비"/>
      <sheetName val="총괄내역"/>
      <sheetName val="기계경비"/>
      <sheetName val="단가"/>
      <sheetName val="노임"/>
      <sheetName val="도급실행(본관-주차장)"/>
      <sheetName val="집계"/>
      <sheetName val="을-ATYPE"/>
      <sheetName val="국내조달(통합-1)"/>
      <sheetName val="Sheet6"/>
      <sheetName val="조명율"/>
      <sheetName val="관리,공감"/>
      <sheetName val="세부내역"/>
      <sheetName val="일위집계"/>
      <sheetName val="단가산출"/>
      <sheetName val="집계표(밀)"/>
      <sheetName val="세부산출(밀)"/>
      <sheetName val="건.원"/>
      <sheetName val="토.원"/>
      <sheetName val="설.원"/>
      <sheetName val="내역집계"/>
      <sheetName val="설비"/>
      <sheetName val="기계"/>
      <sheetName val="Sheet4"/>
      <sheetName val="Sheet5"/>
      <sheetName val="기자재"/>
      <sheetName val="기자재설치"/>
      <sheetName val="배관공사"/>
      <sheetName val="기계단가"/>
      <sheetName val="기계중량"/>
      <sheetName val="배관단가"/>
      <sheetName val="수량"/>
      <sheetName val="인공산출서"/>
      <sheetName val="산출집계"/>
      <sheetName val="산출서"/>
      <sheetName val="단가비교"/>
      <sheetName val="정부노임단가"/>
      <sheetName val="일반공사"/>
      <sheetName val="차액보증"/>
      <sheetName val="건축공사집계"/>
      <sheetName val="Front"/>
      <sheetName val="wall"/>
      <sheetName val="COVER"/>
      <sheetName val="부대내역"/>
      <sheetName val="경희대"/>
      <sheetName val="I一般比"/>
      <sheetName val="Sheet1 (2)"/>
      <sheetName val="견적내역"/>
      <sheetName val="시중노임단가"/>
      <sheetName val="공통가설"/>
      <sheetName val="설계내역서"/>
      <sheetName val="기본일위"/>
      <sheetName val="4.2유효폭의 계산"/>
      <sheetName val="노임이"/>
      <sheetName val="경산"/>
      <sheetName val="유림골조"/>
      <sheetName val="J直材4"/>
      <sheetName val="기초일위"/>
      <sheetName val="내역서2안"/>
      <sheetName val="실행내역"/>
      <sheetName val="철거산출근거"/>
      <sheetName val="XXXX"/>
      <sheetName val="인건비"/>
      <sheetName val="소방"/>
      <sheetName val="제출내역"/>
      <sheetName val="Excel"/>
      <sheetName val="매입세"/>
      <sheetName val="PROJECT BRIEF"/>
      <sheetName val="0001new"/>
      <sheetName val="실행내역서 "/>
      <sheetName val="수압집계"/>
      <sheetName val="1차 내역서"/>
      <sheetName val="정산내역"/>
      <sheetName val="입출재고현황 (2)"/>
      <sheetName val="표준물량 산출서"/>
      <sheetName val="시화점실행"/>
      <sheetName val="제출내역 (2)"/>
      <sheetName val="노원열병합  건축공사기성내역서"/>
      <sheetName val="토목_집계"/>
      <sheetName val="PROJECT_BRIEF"/>
      <sheetName val="실행내역서_"/>
      <sheetName val="노원열병합__건축공사기성내역서"/>
      <sheetName val="입출재고현황_(2)"/>
      <sheetName val="금융비용"/>
      <sheetName val="BID"/>
      <sheetName val="일위대가 "/>
      <sheetName val="과천MAIN"/>
      <sheetName val="Macro(차단기)"/>
      <sheetName val="갑지(추정)"/>
      <sheetName val="REACTION(USE평시)"/>
      <sheetName val="위치조서"/>
      <sheetName val="gyun"/>
      <sheetName val="횡배수관집현황(2공구)"/>
      <sheetName val="총괄표(1)"/>
      <sheetName val="내역서(2)"/>
      <sheetName val="접지수량산출서(4)"/>
      <sheetName val="일위대가표(5)"/>
      <sheetName val="휀스(6)"/>
      <sheetName val="적용단가(7)"/>
      <sheetName val="전력요금(8)"/>
      <sheetName val="기초근거(9)"/>
      <sheetName val="산출내역서"/>
      <sheetName val="본공사"/>
      <sheetName val="공비대비"/>
      <sheetName val="일반부표"/>
      <sheetName val="현설시 설명자료(내부)"/>
      <sheetName val="공문"/>
      <sheetName val="배관"/>
      <sheetName val="인사자료총집계"/>
      <sheetName val="교통대책내역"/>
      <sheetName val="견"/>
      <sheetName val="견서"/>
      <sheetName val="서"/>
      <sheetName val="내서"/>
      <sheetName val="일위_파일"/>
      <sheetName val="예가"/>
      <sheetName val="Exec Summ"/>
      <sheetName val="Item Listings"/>
      <sheetName val="Wt Rpt"/>
      <sheetName val="대로근거"/>
      <sheetName val="중로근거"/>
      <sheetName val="산출내역"/>
      <sheetName val="내역서(집계)"/>
      <sheetName val="수량 산출서"/>
      <sheetName val="강교(Sub)"/>
      <sheetName val="일반토공견적"/>
      <sheetName val="45,46"/>
      <sheetName val="산출근거"/>
      <sheetName val="설계내역"/>
      <sheetName val="간접비총계"/>
      <sheetName val="설계예시"/>
      <sheetName val="차선도색현황"/>
      <sheetName val="IMPEADENCE MAP 취수장"/>
      <sheetName val="식재"/>
      <sheetName val="시설물"/>
      <sheetName val="식재출력용"/>
      <sheetName val="유지관리"/>
      <sheetName val="직영노무비명세"/>
      <sheetName val="단가조사"/>
      <sheetName val="본실행경비"/>
      <sheetName val="실행대비"/>
      <sheetName val="장비집계"/>
      <sheetName val="대비"/>
      <sheetName val="부속동"/>
      <sheetName val="소총괄표"/>
      <sheetName val="전력선로집계표"/>
      <sheetName val="예산내역서"/>
      <sheetName val="수량산출서"/>
      <sheetName val="수량산출서 (2)"/>
      <sheetName val="완철수량"/>
      <sheetName val="완철개소별명세표"/>
      <sheetName val="단가비교표"/>
      <sheetName val="관급자재조서"/>
      <sheetName val="수량조서"/>
      <sheetName val="공종별예산조서"/>
      <sheetName val="내역서 "/>
      <sheetName val="Y-WORK"/>
      <sheetName val="횡표지"/>
      <sheetName val="설계설명서"/>
      <sheetName val="예정공정표"/>
      <sheetName val="총괄내역서"/>
      <sheetName val="내역서(A섬)"/>
      <sheetName val="내역서(B섬)"/>
      <sheetName val="내역서(C섬)"/>
      <sheetName val="내역서(D섬)"/>
      <sheetName val="내역서(E섬)"/>
      <sheetName val="내역서(F섬)"/>
      <sheetName val="관급(총괄)"/>
      <sheetName val="관급자재집계표"/>
      <sheetName val="단가산출서(총괄)"/>
      <sheetName val="단가산출서"/>
      <sheetName val="기계경비산출내역"/>
      <sheetName val="기계경비일람표"/>
      <sheetName val="중기사용료"/>
      <sheetName val="토공A"/>
      <sheetName val="정산서"/>
      <sheetName val="경비"/>
      <sheetName val="개산공사비"/>
      <sheetName val="판매시설"/>
      <sheetName val="단가기준"/>
      <sheetName val="플랜트 설치"/>
      <sheetName val="대전-교대(A1-A2)"/>
      <sheetName val="시중노임"/>
      <sheetName val="_REF"/>
      <sheetName val="토목주소"/>
      <sheetName val="프랜트면허"/>
      <sheetName val="S0"/>
      <sheetName val="간접"/>
      <sheetName val="운동장 (2)"/>
      <sheetName val="ABUT수량-A1"/>
      <sheetName val="전기"/>
      <sheetName val="손익"/>
      <sheetName val="의정부문예회관변경내역"/>
      <sheetName val="JUCKEYK"/>
      <sheetName val="간선계산"/>
      <sheetName val="W-현원가"/>
      <sheetName val="교각1"/>
      <sheetName val="단중표"/>
      <sheetName val="조건"/>
      <sheetName val="수목데이타"/>
      <sheetName val="일 위 대 가 표"/>
      <sheetName val="산근"/>
      <sheetName val="재료비"/>
      <sheetName val="중총"/>
      <sheetName val="중산"/>
      <sheetName val="BH-1 (2)"/>
      <sheetName val="BH_1 _2_"/>
      <sheetName val="PIPING"/>
      <sheetName val="Macro1"/>
      <sheetName val="인원계획"/>
      <sheetName val=" HIT-&gt;HMC 견적(3900)"/>
      <sheetName val="_x000a_검ǀ"/>
      <sheetName val=" 검ǀ_x0000__x0000__x0000_庯"/>
      <sheetName val="예산명세서"/>
      <sheetName val="일반문틀 설치"/>
      <sheetName val="토목목록"/>
      <sheetName val=" "/>
      <sheetName val="교량하부공"/>
      <sheetName val=" 검ǀ"/>
      <sheetName val="터파기및재료"/>
      <sheetName val="노무비계"/>
      <sheetName val="한일양산"/>
      <sheetName val="카렌스센터계량기설치공사"/>
      <sheetName val="WORK"/>
      <sheetName val="70%"/>
      <sheetName val="가설"/>
      <sheetName val="목재훈증"/>
      <sheetName val="운반"/>
      <sheetName val="지붕(기와)"/>
      <sheetName val="문학간접"/>
      <sheetName val="대치판정"/>
      <sheetName val="밸브설치"/>
      <sheetName val="총괄표 "/>
      <sheetName val="_x005f_x0000__x005f_x0004_"/>
      <sheetName val="_x005f_x0000__x005f_x0006_Ā嗰"/>
      <sheetName val="_x005f_x005f_x005f_x0000_"/>
      <sheetName val="_x005f_x0000_ߐଷॠଷ_x005f_x0000_"/>
      <sheetName val="_x005f_x000a_검ǀ"/>
      <sheetName val="맨홀수량산출_x005f_x0000__x005f_x0000__x005f_x0000__x00"/>
      <sheetName val="_x005f_x000a_검ǀ_x005f_x0000__x005f_x0000__x005f_x0000_"/>
      <sheetName val="기타 정보통신공사"/>
      <sheetName val="2000.11월설계내역"/>
      <sheetName val="명세서(센타)"/>
      <sheetName val="입력표"/>
      <sheetName val="직재"/>
      <sheetName val="재집"/>
      <sheetName val="단면 (2)"/>
      <sheetName val="COPING"/>
      <sheetName val="가도공"/>
      <sheetName val="맨홀수량산출_x0000__x0000__x0000__x00"/>
      <sheetName val="_x000a_검ǀ_x0000__x0000__x0000_"/>
      <sheetName val="북제주원가"/>
      <sheetName val="_x005f_x005f_x005f_x0000_k_x005f_x005f_x005f_x0000_y_x0"/>
      <sheetName val="폐기물(2)"/>
      <sheetName val="금융자산집계표"/>
      <sheetName val="중기일위대가"/>
      <sheetName val="유탕내역서"/>
      <sheetName val="장성터널내역서 "/>
      <sheetName val="장성터널내역서1"/>
      <sheetName val="총괄원가계산서(계약)"/>
      <sheetName val="총괄표(계약)"/>
      <sheetName val="총괄계약내역서"/>
      <sheetName val="총괄변경원가"/>
      <sheetName val="총괄표(변경)"/>
      <sheetName val="총괄변경내역서"/>
      <sheetName val="자재집계"/>
      <sheetName val="레미콘"/>
      <sheetName val="철근"/>
      <sheetName val="기타"/>
      <sheetName val="골재"/>
      <sheetName val="토량집"/>
      <sheetName val="순성토"/>
      <sheetName val="교량수량집계"/>
      <sheetName val="교량자재집계"/>
      <sheetName val="토자집계표"/>
      <sheetName val="교량토공집계"/>
      <sheetName val="시점토공"/>
      <sheetName val="교각부"/>
      <sheetName val="종점토공"/>
      <sheetName val="물푸기"/>
      <sheetName val="교량철근집계"/>
      <sheetName val="라멘수량"/>
      <sheetName val="접속집계"/>
      <sheetName val="접속철근집계"/>
      <sheetName val="접속슬래브"/>
      <sheetName val="교명주"/>
      <sheetName val="변경단가산출"/>
      <sheetName val="변경단가(합판)"/>
      <sheetName val="변경단가(사토)"/>
      <sheetName val="변경단가(순성토)"/>
      <sheetName val="공사비증감대비표"/>
      <sheetName val="수량증감대비"/>
      <sheetName val="공정갑지"/>
      <sheetName val="수량갑지"/>
      <sheetName val="갑지 (2)"/>
      <sheetName val="설계변경사유서)"/>
      <sheetName val="갑지1"/>
      <sheetName val="4.공.기"/>
      <sheetName val="5.동.인"/>
      <sheetName val="주요자재"/>
      <sheetName val="7.공사"/>
      <sheetName val="앞표지"/>
      <sheetName val="앞표지 (2)"/>
      <sheetName val="000000"/>
      <sheetName val="results"/>
      <sheetName val="내역총괄"/>
      <sheetName val="직접인건비"/>
      <sheetName val="직접경비"/>
      <sheetName val="인력"/>
      <sheetName val="2호맨홀공제수량"/>
      <sheetName val="건축원가"/>
      <sheetName val="Stem Footing"/>
      <sheetName val="설명"/>
      <sheetName val="전익자재"/>
      <sheetName val="부대시설"/>
      <sheetName val="단가적용(터널)"/>
      <sheetName val="단위가격"/>
      <sheetName val="단위가격_할증"/>
      <sheetName val="기안"/>
      <sheetName val="CODE"/>
      <sheetName val="비탈면보호공수량산출"/>
      <sheetName val="일위집계(기존)"/>
      <sheetName val="시중노임(공사)"/>
      <sheetName val="별표집계"/>
      <sheetName val="1.우편집중내역서"/>
      <sheetName val="9811"/>
      <sheetName val="내역서 (2)"/>
      <sheetName val="건축내역서"/>
      <sheetName val="설비내역서"/>
      <sheetName val="전기내역서"/>
      <sheetName val="96노임기준"/>
      <sheetName val="공종별집계"/>
      <sheetName val="건축,토목집계"/>
      <sheetName val="토목내역"/>
      <sheetName val="전체"/>
      <sheetName val="수목데이타 "/>
      <sheetName val="MOTOR"/>
      <sheetName val="DATE"/>
      <sheetName val="POOM_MOTO"/>
      <sheetName val="POOM_MOTO2"/>
      <sheetName val="RESOURCE"/>
      <sheetName val="PROJECT BRIEF(EX.NEW)"/>
      <sheetName val="본체"/>
      <sheetName val="Cable임피던스"/>
      <sheetName val="조명시설"/>
      <sheetName val="내역서 총괄표"/>
      <sheetName val="예산서"/>
      <sheetName val="[내역서.xls][내역서.xls][내역서.xls]___2"/>
      <sheetName val="양식"/>
      <sheetName val="보일러철거공사"/>
      <sheetName val="내역서1999.8최종"/>
      <sheetName val="타공이기수량"/>
      <sheetName val="전기단가조사서"/>
      <sheetName val="설계서표지"/>
      <sheetName val="인부신상자료"/>
      <sheetName val="H-PILE수량집계"/>
      <sheetName val="말고개터널조명전압강하"/>
      <sheetName val="사업성분석"/>
      <sheetName val="빌딩_안내"/>
      <sheetName val="AS포장복구_"/>
      <sheetName val="02_펌프장"/>
      <sheetName val="입고장부_(4)"/>
      <sheetName val="맨홀수량산출[내역서_xls]건축-물"/>
      <sheetName val="01_가로등"/>
      <sheetName val="Ā嗰"/>
      <sheetName val="F-CV1_5SQ-2C"/>
      <sheetName val="준검_내역서"/>
      <sheetName val="수량계산서_집계표(가설_신설_및_철거-을지로3가_3호선)"/>
      <sheetName val="수량계산서_집계표(신설-을지로3가_3호선)"/>
      <sheetName val="수량계산서_집계표(철거-을지로3가_3호선)"/>
      <sheetName val="토목단가산출_"/>
      <sheetName val="3_내역서"/>
      <sheetName val="기존단가_(2)"/>
      <sheetName val="2016_06_11_가로등_산출조서(백양대로)_xls"/>
      <sheetName val="acdrive_misc.xls"/>
      <sheetName val="한전수탁공사비"/>
      <sheetName val="내역서(1공구)"/>
      <sheetName val="001"/>
      <sheetName val="수리결과"/>
      <sheetName val="3.공통공사대비"/>
      <sheetName val="기본사항"/>
      <sheetName val="주관사업"/>
      <sheetName val="샤워실위생"/>
      <sheetName val="금융"/>
      <sheetName val="실행"/>
      <sheetName val="물량"/>
      <sheetName val="돈암사업"/>
      <sheetName val="하수급견적대비"/>
      <sheetName val="분당임차변경"/>
      <sheetName val="카펫타일"/>
      <sheetName val="은행"/>
      <sheetName val="환산"/>
      <sheetName val="물량산출근거"/>
      <sheetName val="부울3"/>
      <sheetName val="자재명세서"/>
      <sheetName val="시방기준"/>
      <sheetName val="공사개요8~11"/>
      <sheetName val="지급자재비"/>
      <sheetName val="지급자재비 (2)"/>
      <sheetName val="지급자재비 (3)"/>
      <sheetName val="지급자재비 (4)"/>
      <sheetName val="간지"/>
      <sheetName val="현장관리비 산출내역"/>
      <sheetName val="조건표"/>
      <sheetName val="내역표지"/>
      <sheetName val="자재단가비교표"/>
      <sheetName val="DATA1"/>
      <sheetName val="인건비 "/>
      <sheetName val="사업총괄"/>
      <sheetName val="5.모델링"/>
      <sheetName val="2.단면가정"/>
      <sheetName val="금액내역서"/>
      <sheetName val="가로등"/>
      <sheetName val="AHU집계"/>
      <sheetName val="공조기휀"/>
      <sheetName val="공조기"/>
      <sheetName val="산#3-2"/>
      <sheetName val="산#3-1"/>
      <sheetName val="산#3-2-2"/>
      <sheetName val="실행예산서"/>
      <sheetName val="1.3 현장계측설비"/>
      <sheetName val="한강운반비"/>
      <sheetName val="단면가정"/>
      <sheetName val="케이블류 OLD"/>
      <sheetName val="1,2공구원가계산서"/>
      <sheetName val="2공구산출내역"/>
      <sheetName val="1공구산출내역서"/>
      <sheetName val="선급금신청서"/>
      <sheetName val="설직재-1"/>
      <sheetName val="수량계산서 집계표(가설 신설 및 철거-을지로3가 2호선)"/>
      <sheetName val="공종"/>
      <sheetName val="수량계산서 집계표(신설-을지로3가 2호선)"/>
      <sheetName val="수량계산서 집계표(철거-을지로3가 2호선)"/>
      <sheetName val="반별DATA"/>
      <sheetName val="재료"/>
      <sheetName val="설치자재"/>
      <sheetName val="기초목록"/>
      <sheetName val="단가(자재)"/>
      <sheetName val="을지"/>
      <sheetName val="목차"/>
      <sheetName val="직노"/>
      <sheetName val="00천안(건.구.차)"/>
      <sheetName val="6호기"/>
      <sheetName val="가설개략"/>
      <sheetName val="6. 직접경비"/>
      <sheetName val="담장산출"/>
      <sheetName val="01"/>
      <sheetName val="평가내역"/>
      <sheetName val="GT 1050x650"/>
      <sheetName val="특수선일위대가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 refreshError="1"/>
      <sheetData sheetId="210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공공사"/>
      <sheetName val="M2CAR"/>
      <sheetName val="90톤전기"/>
      <sheetName val="영창악기"/>
      <sheetName val="공장대비"/>
      <sheetName val="공장대비2"/>
      <sheetName val="갑지"/>
      <sheetName val="집계표"/>
      <sheetName val="2.대외공문"/>
      <sheetName val="남양구조시험동"/>
      <sheetName val="DATE"/>
      <sheetName val="내역(정지)"/>
      <sheetName val="계정"/>
      <sheetName val="공장"/>
      <sheetName val="가시설단위수량"/>
      <sheetName val="SORCE1"/>
      <sheetName val="단위수량"/>
      <sheetName val="수량산출"/>
      <sheetName val="3BL공동구 수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정공공사"/>
      <sheetName val="M2CAR"/>
      <sheetName val="90톤전기"/>
      <sheetName val="영창악기"/>
      <sheetName val="공장대비"/>
      <sheetName val="공장대비2"/>
      <sheetName val="노임단가"/>
      <sheetName val="갑지"/>
      <sheetName val="집계표"/>
      <sheetName val="2.대외공문"/>
      <sheetName val="남양구조시험동"/>
      <sheetName val="DATE"/>
      <sheetName val="부대대비"/>
      <sheetName val="냉연집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총갑지"/>
      <sheetName val="설변경"/>
      <sheetName val="사업개요"/>
      <sheetName val="수익검토"/>
      <sheetName val="사업수지"/>
      <sheetName val="사업비증감"/>
      <sheetName val="년도별"/>
      <sheetName val="보완증감 "/>
      <sheetName val="부대비"/>
      <sheetName val="요율산출"/>
      <sheetName val="잡지출"/>
      <sheetName val="보상비"/>
      <sheetName val="감정평가"/>
      <sheetName val="증감총괄"/>
      <sheetName val="이동조서"/>
      <sheetName val="수량이동"/>
      <sheetName val="공사비총"/>
      <sheetName val="지급자재총"/>
      <sheetName val="지급품총"/>
      <sheetName val="토건총"/>
      <sheetName val="토목갑"/>
      <sheetName val="토목총"/>
      <sheetName val="토목명"/>
      <sheetName val="토목재"/>
      <sheetName val="수량집"/>
      <sheetName val="토공집"/>
      <sheetName val="수량산"/>
      <sheetName val="줄떼"/>
      <sheetName val="도로토적"/>
      <sheetName val="건축갑"/>
      <sheetName val="건축총"/>
      <sheetName val="건축명"/>
      <sheetName val="건축재"/>
      <sheetName val="기계갑"/>
      <sheetName val="기계총"/>
      <sheetName val="기계명"/>
      <sheetName val="기계재"/>
      <sheetName val="전기갑"/>
      <sheetName val="전기총"/>
      <sheetName val="전기명"/>
      <sheetName val="전기재"/>
      <sheetName val="일위대가"/>
      <sheetName val="단가산출"/>
      <sheetName val="노임"/>
      <sheetName val="노임단가"/>
      <sheetName val="정공공사"/>
      <sheetName val="갑지"/>
      <sheetName val="집계표"/>
      <sheetName val="2.대외공문"/>
      <sheetName val="남양구조시험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대외공문"/>
      <sheetName val="정공공사"/>
      <sheetName val="노임단가"/>
      <sheetName val="갑지"/>
      <sheetName val="집계표"/>
      <sheetName val="BID"/>
      <sheetName val="표준문서"/>
      <sheetName val="샘플표지"/>
      <sheetName val="조건 (A)"/>
      <sheetName val="#REF"/>
      <sheetName val="계정"/>
      <sheetName val="DATA"/>
      <sheetName val="영업.일1"/>
      <sheetName val="입찰안"/>
      <sheetName val="6호기"/>
      <sheetName val="단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일위,한전"/>
      <sheetName val="원가계산서"/>
      <sheetName val="단가조사서"/>
      <sheetName val="1. 가로등 설치공사(2공구)"/>
      <sheetName val="일위대가"/>
      <sheetName val="내역서 (2)"/>
      <sheetName val="2.대외공문"/>
      <sheetName val="건축명"/>
      <sheetName val="기계명"/>
      <sheetName val="전기명"/>
      <sheetName val="토목명"/>
      <sheetName val="정공공사"/>
      <sheetName val="노임단가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타견적1"/>
      <sheetName val="타견적2"/>
      <sheetName val="타견적3"/>
      <sheetName val="견적대비표"/>
      <sheetName val="내역서"/>
      <sheetName val="단가대비표"/>
      <sheetName val="PANEL 중량산출"/>
      <sheetName val="중량산출"/>
      <sheetName val="수량산출"/>
      <sheetName val="일위"/>
      <sheetName val="합천내역"/>
      <sheetName val="9GNG운반"/>
      <sheetName val="정공공사"/>
      <sheetName val="신우"/>
      <sheetName val="일위총괄표"/>
      <sheetName val="N賃率-職"/>
      <sheetName val="수량산출(음암)"/>
      <sheetName val="매립"/>
      <sheetName val="데이타"/>
      <sheetName val="식재인부"/>
      <sheetName val="工완성공사율"/>
      <sheetName val="송라초중학교(final)"/>
      <sheetName val="설계명세서"/>
      <sheetName val="제출내역 (2)"/>
      <sheetName val="대치판정"/>
      <sheetName val="CTEMCOST"/>
      <sheetName val="약품설비"/>
      <sheetName val="공사원가계산서"/>
      <sheetName val="갑지"/>
      <sheetName val="일위대가"/>
      <sheetName val="입찰안"/>
      <sheetName val="단가 및 재료비"/>
      <sheetName val="중기사용료산출근거"/>
      <sheetName val="부하계산서"/>
      <sheetName val="1안"/>
      <sheetName val="Sheet1"/>
      <sheetName val="수지표"/>
      <sheetName val="셀명"/>
      <sheetName val="을"/>
      <sheetName val="일위대가표"/>
      <sheetName val="예총"/>
      <sheetName val="철집"/>
      <sheetName val="내역"/>
      <sheetName val="내역서1"/>
      <sheetName val="99노임기준"/>
      <sheetName val="집계표"/>
      <sheetName val="여과지동"/>
      <sheetName val="기초자료"/>
      <sheetName val="강교(Sub)"/>
      <sheetName val="도급"/>
      <sheetName val="BasePriceList"/>
      <sheetName val="H-PILE수량집계"/>
      <sheetName val="H PILE수량"/>
      <sheetName val="일위대가목차"/>
      <sheetName val="01"/>
      <sheetName val="약품공급2"/>
      <sheetName val="공조기"/>
      <sheetName val="AHU집계"/>
      <sheetName val="공조기휀"/>
      <sheetName val="C3"/>
      <sheetName val="1단계"/>
      <sheetName val="2.대외공문"/>
      <sheetName val="한일양산"/>
      <sheetName val="#REF"/>
      <sheetName val="일위목록"/>
      <sheetName val="MOTOR"/>
      <sheetName val="안전장치"/>
      <sheetName val="사통"/>
      <sheetName val="EP0618"/>
      <sheetName val="합의경상"/>
      <sheetName val="샘플표지"/>
      <sheetName val="총괄표"/>
      <sheetName val="중강당 내역"/>
      <sheetName val="FA설치명세"/>
      <sheetName val="T13(P68~72,78)"/>
      <sheetName val="DATA"/>
      <sheetName val="증감대비"/>
      <sheetName val="Ⅲ.설계명세서"/>
      <sheetName val="Total"/>
      <sheetName val="수량산출서"/>
      <sheetName val="실행철강하도"/>
      <sheetName val="포장집계"/>
      <sheetName val="포장연장"/>
      <sheetName val="견"/>
      <sheetName val="날개벽"/>
      <sheetName val="106C0300"/>
      <sheetName val="1검토보고서"/>
      <sheetName val="준공조서"/>
      <sheetName val="공사준공계"/>
      <sheetName val="준공검사보고서"/>
      <sheetName val="건축내역"/>
      <sheetName val="구체"/>
      <sheetName val="좌측날개벽"/>
      <sheetName val="우측날개벽"/>
      <sheetName val="소방"/>
      <sheetName val="SUMMARY"/>
      <sheetName val="갑지(추정)"/>
      <sheetName val="J直材4"/>
      <sheetName val="입고장부 (4)"/>
      <sheetName val="을부담운반비"/>
      <sheetName val="내부부하"/>
      <sheetName val="재집"/>
      <sheetName val="직재"/>
      <sheetName val="원가계산서"/>
      <sheetName val="표지"/>
      <sheetName val="총괄실행예산서"/>
      <sheetName val="설계기준"/>
      <sheetName val="내역1"/>
      <sheetName val="단가"/>
      <sheetName val="공문"/>
      <sheetName val="PANEL_중량산출"/>
      <sheetName val="역T형교대(말뚝기초)"/>
      <sheetName val="양식"/>
      <sheetName val="수량산출기초(케블등)"/>
      <sheetName val="XL4Poppy"/>
      <sheetName val="일위1"/>
      <sheetName val="화재 탐지 설비"/>
      <sheetName val="개산공사비"/>
      <sheetName val="단가표"/>
      <sheetName val="자동제어"/>
      <sheetName val="일위대가(가설)"/>
      <sheetName val="재료비"/>
      <sheetName val="노무"/>
      <sheetName val="공사착공계"/>
      <sheetName val="편성절차"/>
      <sheetName val="GAEYO"/>
      <sheetName val="용수량(생활용수)"/>
      <sheetName val="일위대가(1)"/>
      <sheetName val="간접경상비"/>
      <sheetName val="시화점실행"/>
      <sheetName val="Sheet13"/>
      <sheetName val="발전기"/>
      <sheetName val="Sheet14"/>
      <sheetName val="노임단가"/>
      <sheetName val="요율"/>
      <sheetName val="단가산출"/>
      <sheetName val="일위대가목록"/>
      <sheetName val="교량하부공"/>
      <sheetName val="대창(함평)"/>
      <sheetName val="대창(장성)"/>
      <sheetName val="대창(함평)-창열"/>
      <sheetName val="경비"/>
      <sheetName val="AILC004"/>
      <sheetName val="1.설계조건"/>
      <sheetName val="LeadSchedule"/>
      <sheetName val="소요자재"/>
      <sheetName val="내역을"/>
      <sheetName val="밸브설치"/>
      <sheetName val="1. 설계조건 2.단면가정 3. 하중계산"/>
      <sheetName val="DATA 입력란"/>
      <sheetName val="인제내역"/>
      <sheetName val="단가일람표"/>
      <sheetName val="건축"/>
      <sheetName val="캔개발배경"/>
      <sheetName val="캔판매목표"/>
      <sheetName val="시장"/>
      <sheetName val="일정표"/>
      <sheetName val="오억미만"/>
      <sheetName val="품셈표"/>
      <sheetName val="Macro1"/>
      <sheetName val="식재"/>
      <sheetName val="시설물"/>
      <sheetName val="식재출력용"/>
      <sheetName val="유지관리"/>
      <sheetName val="1.수인터널"/>
      <sheetName val="22전선(P)"/>
      <sheetName val="22전선(L)"/>
      <sheetName val="22전선(R)"/>
      <sheetName val="최초설계"/>
      <sheetName val="월별지출"/>
      <sheetName val="일용직급여"/>
      <sheetName val="일용직"/>
      <sheetName val="수목데이타"/>
      <sheetName val="GI-LIST"/>
      <sheetName val="내역서1999.8최종"/>
      <sheetName val="도체종-상수표"/>
      <sheetName val="단순공사비단가표"/>
      <sheetName val="내역전기"/>
      <sheetName val="공종집계"/>
      <sheetName val="하도급계획"/>
      <sheetName val="가도공"/>
      <sheetName val="인사자료총집계"/>
      <sheetName val="UNIT"/>
      <sheetName val="관급자재대"/>
      <sheetName val="포장수량"/>
      <sheetName val="SCANCHEM"/>
      <sheetName val="연습"/>
      <sheetName val="3.하중산정4.지지력"/>
      <sheetName val="Sheet5"/>
      <sheetName val="예산명세서"/>
      <sheetName val="자료입력"/>
      <sheetName val="Sheet2"/>
      <sheetName val="자재대"/>
      <sheetName val="내역서2안"/>
      <sheetName val="판넬"/>
      <sheetName val="토공"/>
      <sheetName val="현장관리비 산출내역"/>
      <sheetName val="MA"/>
      <sheetName val="9509"/>
      <sheetName val="내역서(총)"/>
      <sheetName val="배수통관(좌)"/>
      <sheetName val="기안"/>
      <sheetName val="GT 1050x650"/>
      <sheetName val="Front"/>
      <sheetName val="wall"/>
      <sheetName val="공사설계"/>
      <sheetName val="조명시설"/>
      <sheetName val="8.3해석단면 선정"/>
      <sheetName val="맨홀"/>
      <sheetName val="DATE"/>
      <sheetName val="내역표지"/>
      <sheetName val="일위_파일"/>
      <sheetName val="단면치수"/>
      <sheetName val="단가비교표"/>
      <sheetName val="과천MAIN"/>
      <sheetName val="노임"/>
      <sheetName val="정부노임단가"/>
      <sheetName val="터널조도"/>
      <sheetName val="가설건물"/>
      <sheetName val="시행후면적"/>
      <sheetName val="ABUT수량-A1"/>
      <sheetName val="원가 (2)"/>
      <sheetName val="배수공 시멘트 및 골재량 산출"/>
      <sheetName val="WORK"/>
      <sheetName val="SANBAISU"/>
      <sheetName val="SANTOGO"/>
      <sheetName val="부하(성남)"/>
      <sheetName val="조도계산서 (도서)"/>
      <sheetName val="부하LOAD"/>
      <sheetName val="ITEM"/>
      <sheetName val="I一般比"/>
      <sheetName val="대비"/>
      <sheetName val="템플릿"/>
      <sheetName val="옥외"/>
      <sheetName val="횡배수관토공수량"/>
      <sheetName val="품셈TABLE"/>
      <sheetName val="골조"/>
      <sheetName val="BJJIN"/>
      <sheetName val="기계경비"/>
      <sheetName val="CC16-내역서"/>
      <sheetName val="1.일위대가"/>
      <sheetName val="제출내역_(2)"/>
      <sheetName val="단가_및_재료비"/>
      <sheetName val="2_대외공문"/>
      <sheetName val="H_PILE수량"/>
      <sheetName val="건축집계표"/>
      <sheetName val="잡철물"/>
      <sheetName val="수목단가"/>
      <sheetName val="시설수량표"/>
      <sheetName val="식재수량표"/>
      <sheetName val="자재단가"/>
      <sheetName val="평3"/>
      <sheetName val="6PILE  (돌출)"/>
      <sheetName val="간접"/>
      <sheetName val="설 계"/>
      <sheetName val="확정실적"/>
      <sheetName val="부대내역"/>
      <sheetName val="제목"/>
      <sheetName val="설계내역서"/>
      <sheetName val="수지"/>
      <sheetName val="당사수지"/>
      <sheetName val="유림골조"/>
      <sheetName val="공사"/>
      <sheetName val="공사개요"/>
      <sheetName val="물량표"/>
      <sheetName val="철근량 산정"/>
      <sheetName val="단가산출1"/>
      <sheetName val="단가산출2"/>
      <sheetName val="산출내역서집계표"/>
      <sheetName val="연동내역"/>
      <sheetName val="골조시행"/>
      <sheetName val="공통비총괄표"/>
      <sheetName val="방배동내역(리라)"/>
      <sheetName val="공통가설"/>
      <sheetName val="부대공사총괄"/>
      <sheetName val="현장경비"/>
      <sheetName val="건축공사집계표"/>
      <sheetName val="방배동내역 (총괄)"/>
      <sheetName val="실행내역서 "/>
      <sheetName val="2F 회의실견적(5_14 일대)"/>
      <sheetName val="예가표"/>
      <sheetName val="품목납기"/>
      <sheetName val="전차선로 물량표"/>
      <sheetName val="제-노임"/>
      <sheetName val="제직재"/>
      <sheetName val="감가상각"/>
      <sheetName val="96갑지"/>
      <sheetName val="인건-측정"/>
      <sheetName val="기본일위"/>
      <sheetName val="S0"/>
      <sheetName val="노무비"/>
      <sheetName val="sw1"/>
      <sheetName val="NOMUBI"/>
      <sheetName val="동원(3)"/>
      <sheetName val="예정(3)"/>
      <sheetName val="원가_(2)"/>
      <sheetName val="CT "/>
      <sheetName val="copy"/>
      <sheetName val="001"/>
      <sheetName val="외천교"/>
      <sheetName val="종배수관"/>
      <sheetName val="설비"/>
      <sheetName val="부산4"/>
      <sheetName val="부대공Ⅱ"/>
      <sheetName val="갑"/>
      <sheetName val="일_4_"/>
      <sheetName val="N賃率_職"/>
      <sheetName val="총_구조물공"/>
      <sheetName val="내역서1-2"/>
      <sheetName val="일(4)"/>
      <sheetName val="00노임기준"/>
      <sheetName val="관리자"/>
      <sheetName val="금액내역서"/>
      <sheetName val="설직재-1"/>
      <sheetName val="1.토공집계표"/>
      <sheetName val="참조"/>
      <sheetName val="직노"/>
      <sheetName val="실행내역"/>
      <sheetName val="토목공사일반"/>
      <sheetName val="집계"/>
      <sheetName val="패널"/>
      <sheetName val="실측자료"/>
      <sheetName val="setup"/>
      <sheetName val="단가 (2)"/>
      <sheetName val="설계명세서(선로)"/>
      <sheetName val="이월가격"/>
      <sheetName val="수지예산"/>
      <sheetName val="전신환매도율"/>
      <sheetName val="원본(갑지)"/>
      <sheetName val="중기사용료"/>
      <sheetName val="하조서"/>
      <sheetName val="G.R300경비"/>
      <sheetName val="관급_File"/>
      <sheetName val="내역(영일)"/>
      <sheetName val="임시정보시트"/>
      <sheetName val="임율"/>
      <sheetName val="전시사인집계"/>
      <sheetName val="수량"/>
      <sheetName val="목록"/>
      <sheetName val="인건비"/>
      <sheetName val="OPT7"/>
      <sheetName val="발신정보"/>
      <sheetName val="실정공사비단가표"/>
      <sheetName val=" 총괄표"/>
      <sheetName val="토적표"/>
      <sheetName val="호남2"/>
      <sheetName val="2F_회의실견적(5_14_일대)"/>
      <sheetName val="금호"/>
      <sheetName val="한전고리-을"/>
      <sheetName val="10월가격"/>
      <sheetName val="기타유틸리티설비"/>
      <sheetName val="명세서"/>
      <sheetName val="우각부보강"/>
      <sheetName val="YES-T"/>
      <sheetName val="산출근거#2-3"/>
      <sheetName val="COVER"/>
      <sheetName val="산출내역서"/>
      <sheetName val="직공비"/>
      <sheetName val="Piping Design Data"/>
      <sheetName val="Macro(차단기)"/>
      <sheetName val="순공사비"/>
      <sheetName val="SCH"/>
      <sheetName val="저리조양"/>
      <sheetName val="SBarch산근"/>
      <sheetName val="건축-물가변동"/>
      <sheetName val="공량서"/>
      <sheetName val="기관"/>
      <sheetName val="257A1"/>
      <sheetName val="교환노무"/>
      <sheetName val="Sheet3"/>
      <sheetName val="K1자재(3차등)"/>
      <sheetName val="총괄"/>
      <sheetName val="운동장 (2)"/>
      <sheetName val="Sheet4"/>
      <sheetName val="유기공정"/>
      <sheetName val="산근"/>
      <sheetName val="공통(20-91)"/>
      <sheetName val="JUCK"/>
      <sheetName val="차액보증"/>
      <sheetName val="업무분장 "/>
      <sheetName val="공통"/>
      <sheetName val="노원열병합  건축공사기성내역서"/>
      <sheetName val="소비자가"/>
      <sheetName val="판매96"/>
      <sheetName val="price"/>
      <sheetName val="실행비교"/>
      <sheetName val="Project Brief"/>
      <sheetName val="각형맨홀"/>
      <sheetName val="PANEL_중량산출1"/>
      <sheetName val="조도계산서_(도서)"/>
      <sheetName val="원가_(2)1"/>
      <sheetName val="내역서1999_8최종"/>
      <sheetName val="전차선로_물량표"/>
      <sheetName val="Piping_Design_Data"/>
      <sheetName val="6PILE__(돌출)"/>
      <sheetName val="CT_"/>
      <sheetName val="실행내역서_"/>
      <sheetName val="1_토공집계표"/>
      <sheetName val="단가_(2)"/>
      <sheetName val="일보"/>
      <sheetName val="현장지지물물량"/>
      <sheetName val="사업장공제"/>
      <sheetName val="물량산출근거"/>
      <sheetName val="단위수량"/>
      <sheetName val="가시설수량"/>
      <sheetName val="WIND"/>
      <sheetName val="단중표"/>
      <sheetName val="model master"/>
      <sheetName val="가격"/>
      <sheetName val="교각계산"/>
      <sheetName val="지급자재"/>
      <sheetName val="자단"/>
      <sheetName val="인공산출"/>
      <sheetName val="환경기계공정표 (3)"/>
      <sheetName val="목차"/>
      <sheetName val="전체"/>
      <sheetName val="토공총괄표"/>
      <sheetName val="원가계산"/>
      <sheetName val="6호기"/>
      <sheetName val="동해title"/>
      <sheetName val="가설"/>
      <sheetName val="가시설단위수량"/>
      <sheetName val="예산내역서(총괄)"/>
      <sheetName val="예산내역서"/>
      <sheetName val="공제대산출"/>
      <sheetName val="운반공사,공구손료"/>
      <sheetName val="FAB별"/>
      <sheetName val="품셈"/>
      <sheetName val="근로소득 세액표"/>
      <sheetName val="건강보험 표준요율표"/>
      <sheetName val="국민연금 표준요율표"/>
      <sheetName val="중강당_내역"/>
      <sheetName val="Ⅲ_설계명세서"/>
      <sheetName val="전기"/>
      <sheetName val="경성자금"/>
      <sheetName val="1.판매계획"/>
      <sheetName val="산출1(신설)"/>
      <sheetName val="산출1-2"/>
      <sheetName val="성곽내역서"/>
      <sheetName val="재료집계표"/>
      <sheetName val="기초자료입력"/>
      <sheetName val="설계산출표지"/>
      <sheetName val="MACRO(전선관)"/>
      <sheetName val="원가-총"/>
      <sheetName val="직접비"/>
      <sheetName val="98수문일위"/>
      <sheetName val="제원및배치"/>
    </sheetNames>
    <sheetDataSet>
      <sheetData sheetId="0">
        <row r="3">
          <cell r="A3">
            <v>3</v>
          </cell>
        </row>
      </sheetData>
      <sheetData sheetId="1">
        <row r="3">
          <cell r="A3">
            <v>3</v>
          </cell>
        </row>
      </sheetData>
      <sheetData sheetId="2">
        <row r="3">
          <cell r="A3">
            <v>3</v>
          </cell>
        </row>
      </sheetData>
      <sheetData sheetId="3">
        <row r="3">
          <cell r="A3">
            <v>3</v>
          </cell>
        </row>
      </sheetData>
      <sheetData sheetId="4">
        <row r="3">
          <cell r="A3">
            <v>3</v>
          </cell>
        </row>
      </sheetData>
      <sheetData sheetId="5">
        <row r="3">
          <cell r="A3">
            <v>3</v>
          </cell>
        </row>
      </sheetData>
      <sheetData sheetId="6">
        <row r="3">
          <cell r="A3">
            <v>3</v>
          </cell>
        </row>
      </sheetData>
      <sheetData sheetId="7">
        <row r="3">
          <cell r="A3">
            <v>3</v>
          </cell>
        </row>
      </sheetData>
      <sheetData sheetId="8" refreshError="1">
        <row r="3">
          <cell r="A3">
            <v>3</v>
          </cell>
          <cell r="B3" t="str">
            <v>송라 초,중학교 다목적 강당 무대기계장치</v>
          </cell>
        </row>
        <row r="4">
          <cell r="A4">
            <v>4</v>
          </cell>
          <cell r="B4" t="str">
            <v>다목적강당 무대기계장치</v>
          </cell>
          <cell r="C4">
            <v>0</v>
          </cell>
          <cell r="D4" t="str">
            <v>L/S</v>
          </cell>
          <cell r="E4">
            <v>1</v>
          </cell>
          <cell r="F4">
            <v>0</v>
          </cell>
          <cell r="G4">
            <v>0</v>
          </cell>
          <cell r="H4" t="str">
            <v>NO.1-00-00</v>
          </cell>
        </row>
        <row r="5">
          <cell r="A5">
            <v>5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</row>
        <row r="6">
          <cell r="A6">
            <v>6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</row>
        <row r="7">
          <cell r="A7">
            <v>7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8">
          <cell r="A8">
            <v>8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  <row r="14">
          <cell r="A14">
            <v>14</v>
          </cell>
        </row>
        <row r="15">
          <cell r="A15">
            <v>15</v>
          </cell>
        </row>
        <row r="16">
          <cell r="A16">
            <v>16</v>
          </cell>
        </row>
        <row r="17">
          <cell r="A17">
            <v>17</v>
          </cell>
        </row>
        <row r="18">
          <cell r="A18">
            <v>18</v>
          </cell>
        </row>
        <row r="19">
          <cell r="A19">
            <v>19</v>
          </cell>
        </row>
        <row r="20">
          <cell r="A20">
            <v>20</v>
          </cell>
        </row>
        <row r="21">
          <cell r="A21">
            <v>21</v>
          </cell>
        </row>
        <row r="22">
          <cell r="A22">
            <v>22</v>
          </cell>
        </row>
        <row r="23">
          <cell r="A23">
            <v>23</v>
          </cell>
        </row>
        <row r="24">
          <cell r="A24">
            <v>24</v>
          </cell>
        </row>
        <row r="25">
          <cell r="A25">
            <v>25</v>
          </cell>
          <cell r="B25" t="str">
            <v>다목적강당 무대기계장치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 t="str">
            <v>NO.1-00-00</v>
          </cell>
        </row>
        <row r="26">
          <cell r="B26" t="str">
            <v>PLACARD BATTEN</v>
          </cell>
          <cell r="C26" t="str">
            <v>7,400L</v>
          </cell>
          <cell r="D26" t="str">
            <v>SET</v>
          </cell>
          <cell r="E26">
            <v>1</v>
          </cell>
          <cell r="F26">
            <v>0</v>
          </cell>
          <cell r="G26">
            <v>0</v>
          </cell>
          <cell r="H26" t="str">
            <v>NO.1-01-00</v>
          </cell>
        </row>
        <row r="27">
          <cell r="A27">
            <v>26</v>
          </cell>
          <cell r="B27" t="str">
            <v xml:space="preserve">DRAW CURTAIN </v>
          </cell>
          <cell r="C27" t="str">
            <v>8,660 x 3,300H</v>
          </cell>
          <cell r="D27" t="str">
            <v>SET</v>
          </cell>
          <cell r="E27">
            <v>1</v>
          </cell>
          <cell r="F27">
            <v>0</v>
          </cell>
          <cell r="G27">
            <v>0</v>
          </cell>
          <cell r="H27" t="str">
            <v>NO.1-02-00</v>
          </cell>
        </row>
        <row r="28">
          <cell r="A28">
            <v>27</v>
          </cell>
          <cell r="B28" t="str">
            <v xml:space="preserve">ROLL SCREEN </v>
          </cell>
          <cell r="C28" t="str">
            <v>1,800L x 1,200H</v>
          </cell>
          <cell r="D28" t="str">
            <v>SET</v>
          </cell>
          <cell r="E28">
            <v>1</v>
          </cell>
          <cell r="F28">
            <v>0</v>
          </cell>
          <cell r="G28">
            <v>0</v>
          </cell>
          <cell r="H28" t="str">
            <v>NO.1-03-00</v>
          </cell>
        </row>
        <row r="29">
          <cell r="A29">
            <v>28</v>
          </cell>
          <cell r="B29" t="str">
            <v>ROLL FLAG</v>
          </cell>
          <cell r="C29" t="str">
            <v>3,500L x 2,500H</v>
          </cell>
          <cell r="D29" t="str">
            <v>SET</v>
          </cell>
          <cell r="E29">
            <v>1</v>
          </cell>
          <cell r="F29">
            <v>0</v>
          </cell>
          <cell r="G29">
            <v>0</v>
          </cell>
          <cell r="H29" t="str">
            <v>NO.1-04-00</v>
          </cell>
        </row>
        <row r="30">
          <cell r="A30">
            <v>29</v>
          </cell>
          <cell r="B30" t="str">
            <v>COVER CURTAIN</v>
          </cell>
          <cell r="C30" t="str">
            <v>8,800 x 3,500H</v>
          </cell>
          <cell r="D30" t="str">
            <v>SET</v>
          </cell>
          <cell r="E30">
            <v>1</v>
          </cell>
          <cell r="F30">
            <v>0</v>
          </cell>
          <cell r="G30">
            <v>0</v>
          </cell>
          <cell r="H30" t="str">
            <v>NO.1-05-00</v>
          </cell>
        </row>
        <row r="31">
          <cell r="A31">
            <v>30</v>
          </cell>
          <cell r="B31" t="str">
            <v>WINDOW DARKEN CURTAIN</v>
          </cell>
          <cell r="C31" t="str">
            <v>4,050L x 3,500H</v>
          </cell>
          <cell r="D31" t="str">
            <v>SET</v>
          </cell>
          <cell r="E31">
            <v>6</v>
          </cell>
          <cell r="F31">
            <v>0</v>
          </cell>
          <cell r="G31">
            <v>0</v>
          </cell>
          <cell r="H31" t="str">
            <v>NO.1-06-00</v>
          </cell>
        </row>
        <row r="32">
          <cell r="A32">
            <v>31</v>
          </cell>
          <cell r="B32" t="str">
            <v>DOOR DARKEN CURTAIN</v>
          </cell>
          <cell r="C32" t="str">
            <v>4,050L x 3,500H</v>
          </cell>
          <cell r="D32" t="str">
            <v>SET</v>
          </cell>
          <cell r="E32">
            <v>2</v>
          </cell>
          <cell r="F32">
            <v>0</v>
          </cell>
          <cell r="G32">
            <v>0</v>
          </cell>
          <cell r="H32" t="str">
            <v>NO.1-06-00</v>
          </cell>
        </row>
        <row r="33">
          <cell r="A33">
            <v>32</v>
          </cell>
          <cell r="B33" t="str">
            <v>GRID IRON</v>
          </cell>
          <cell r="C33" t="str">
            <v>8600L x 900D</v>
          </cell>
          <cell r="D33" t="str">
            <v>L/S</v>
          </cell>
          <cell r="E33">
            <v>1</v>
          </cell>
          <cell r="F33">
            <v>0</v>
          </cell>
          <cell r="G33">
            <v>0</v>
          </cell>
          <cell r="H33" t="str">
            <v>NO.1-07-00</v>
          </cell>
        </row>
        <row r="34">
          <cell r="A34">
            <v>33</v>
          </cell>
          <cell r="B34" t="str">
            <v>CONTROL PANEL</v>
          </cell>
          <cell r="C34" t="str">
            <v>600L x 1,000H x 250W</v>
          </cell>
          <cell r="D34" t="str">
            <v>SET</v>
          </cell>
          <cell r="E34">
            <v>1</v>
          </cell>
          <cell r="F34">
            <v>0</v>
          </cell>
          <cell r="G34">
            <v>0</v>
          </cell>
          <cell r="H34" t="str">
            <v>NO.1-08-00</v>
          </cell>
        </row>
        <row r="35">
          <cell r="A35">
            <v>34</v>
          </cell>
          <cell r="B35" t="str">
            <v>CONTROL BOARD</v>
          </cell>
          <cell r="C35">
            <v>0</v>
          </cell>
          <cell r="D35" t="str">
            <v>SET</v>
          </cell>
          <cell r="E35">
            <v>1</v>
          </cell>
          <cell r="F35">
            <v>0</v>
          </cell>
          <cell r="G35">
            <v>0</v>
          </cell>
          <cell r="H35" t="str">
            <v>NO.1-09-00</v>
          </cell>
        </row>
        <row r="36">
          <cell r="A36">
            <v>35</v>
          </cell>
          <cell r="B36" t="str">
            <v>배관 및 배선</v>
          </cell>
          <cell r="C36">
            <v>0</v>
          </cell>
          <cell r="D36" t="str">
            <v>식</v>
          </cell>
          <cell r="E36">
            <v>1</v>
          </cell>
          <cell r="F36">
            <v>0</v>
          </cell>
          <cell r="G36">
            <v>0</v>
          </cell>
          <cell r="H36" t="str">
            <v>NO.1-10-00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A40">
            <v>39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 t="e">
            <v>#REF!</v>
          </cell>
        </row>
        <row r="45">
          <cell r="A45" t="e">
            <v>#REF!</v>
          </cell>
        </row>
        <row r="46">
          <cell r="A46" t="e">
            <v>#REF!</v>
          </cell>
        </row>
        <row r="47">
          <cell r="A47" t="e">
            <v>#REF!</v>
          </cell>
          <cell r="B47" t="str">
            <v>공사명: PLACARD BATTEN (7,400L)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 t="str">
            <v>NO.1-1-00</v>
          </cell>
        </row>
        <row r="48">
          <cell r="A48" t="e">
            <v>#REF!</v>
          </cell>
          <cell r="B48" t="str">
            <v>MACHINE PART</v>
          </cell>
          <cell r="C48" t="str">
            <v>1.5KW x 4P用</v>
          </cell>
          <cell r="D48" t="str">
            <v>SET</v>
          </cell>
          <cell r="E48">
            <v>1</v>
          </cell>
          <cell r="F48">
            <v>0</v>
          </cell>
          <cell r="G48">
            <v>0</v>
          </cell>
          <cell r="H48" t="str">
            <v>일위대가-1</v>
          </cell>
        </row>
        <row r="49">
          <cell r="A49" t="e">
            <v>#REF!</v>
          </cell>
          <cell r="B49" t="str">
            <v>AL - DRUM</v>
          </cell>
          <cell r="C49" t="str">
            <v>Ø300 x 4줄</v>
          </cell>
          <cell r="D49" t="str">
            <v>EA</v>
          </cell>
          <cell r="E49">
            <v>1</v>
          </cell>
          <cell r="F49" t="str">
            <v>WIRE POINT 4줄</v>
          </cell>
        </row>
        <row r="50">
          <cell r="A50" t="e">
            <v>#REF!</v>
          </cell>
          <cell r="B50" t="str">
            <v>MACHINE FRAME</v>
          </cell>
          <cell r="C50" t="str">
            <v>1.5KW x 4P用</v>
          </cell>
          <cell r="D50" t="str">
            <v>EA</v>
          </cell>
          <cell r="E50">
            <v>1</v>
          </cell>
          <cell r="F50" t="str">
            <v>MACHINE PART 고정용</v>
          </cell>
        </row>
        <row r="51">
          <cell r="A51" t="e">
            <v>#REF!</v>
          </cell>
          <cell r="B51" t="str">
            <v>BOLT, NUT, W/S, S/W</v>
          </cell>
          <cell r="C51" t="str">
            <v>M16 x 50L</v>
          </cell>
          <cell r="D51" t="str">
            <v>SET</v>
          </cell>
          <cell r="E51">
            <v>6</v>
          </cell>
          <cell r="F51" t="str">
            <v xml:space="preserve">M/C FRME 1SET당 6SET이므로 </v>
          </cell>
        </row>
        <row r="52">
          <cell r="A52" t="e">
            <v>#REF!</v>
          </cell>
          <cell r="B52" t="str">
            <v>VERTICAL ROLLER</v>
          </cell>
          <cell r="C52" t="str">
            <v>Ø200 x 22L</v>
          </cell>
          <cell r="D52" t="str">
            <v>EA</v>
          </cell>
          <cell r="E52">
            <v>3</v>
          </cell>
          <cell r="F52" t="str">
            <v xml:space="preserve">WIRE ROPE 1줄당 1SET이므로 </v>
          </cell>
        </row>
        <row r="53">
          <cell r="A53" t="e">
            <v>#REF!</v>
          </cell>
          <cell r="B53" t="str">
            <v>VERTICAL ROLLER</v>
          </cell>
          <cell r="C53" t="str">
            <v>Ø220 x 35L</v>
          </cell>
          <cell r="D53" t="str">
            <v>EA</v>
          </cell>
          <cell r="E53">
            <v>1</v>
          </cell>
          <cell r="F53" t="str">
            <v xml:space="preserve">WIRE ROPE 1줄당 1SET이므로 </v>
          </cell>
        </row>
        <row r="54">
          <cell r="A54" t="e">
            <v>#REF!</v>
          </cell>
          <cell r="B54" t="str">
            <v>BOLT, NUT, W/S, S/W</v>
          </cell>
          <cell r="C54" t="str">
            <v>M16 x 40L</v>
          </cell>
          <cell r="D54" t="str">
            <v>SET</v>
          </cell>
          <cell r="E54">
            <v>16</v>
          </cell>
          <cell r="F54" t="str">
            <v>VERTICAL ROLLER 1SET당 4SET이므로 4줄x4SET = 16SET</v>
          </cell>
        </row>
        <row r="55">
          <cell r="A55" t="e">
            <v>#REF!</v>
          </cell>
          <cell r="B55" t="str">
            <v>WIRE ROPE</v>
          </cell>
          <cell r="C55" t="str">
            <v>Ø6 x 7 x 19</v>
          </cell>
          <cell r="D55" t="str">
            <v>M</v>
          </cell>
          <cell r="E55">
            <v>62</v>
          </cell>
          <cell r="F55" t="str">
            <v>WIRE 1줄당 (7M+7M)=14M, 14x4줄= 56x1.1(할증10%)=61.6M 약 61.6M</v>
          </cell>
          <cell r="G55" t="str">
            <v>10%</v>
          </cell>
        </row>
        <row r="56">
          <cell r="A56" t="e">
            <v>#REF!</v>
          </cell>
          <cell r="B56" t="str">
            <v>WIRE CLIP</v>
          </cell>
          <cell r="C56" t="str">
            <v>Ø6용</v>
          </cell>
          <cell r="D56" t="str">
            <v>EA</v>
          </cell>
          <cell r="E56">
            <v>16</v>
          </cell>
          <cell r="F56" t="str">
            <v>WIRE 1줄당 4EA이므로, 4EAx4줄= 16EA</v>
          </cell>
          <cell r="G56">
            <v>0</v>
          </cell>
        </row>
        <row r="57">
          <cell r="A57" t="e">
            <v>#REF!</v>
          </cell>
          <cell r="B57" t="str">
            <v>THIMBLE</v>
          </cell>
          <cell r="C57" t="str">
            <v>Ø6용</v>
          </cell>
          <cell r="D57" t="str">
            <v>EA</v>
          </cell>
          <cell r="E57">
            <v>4</v>
          </cell>
          <cell r="F57" t="str">
            <v>WIRE 1줄당 1EA이므로, 1EAx4줄= 4EA</v>
          </cell>
        </row>
        <row r="58">
          <cell r="A58" t="e">
            <v>#REF!</v>
          </cell>
          <cell r="B58" t="str">
            <v>SHACKLE</v>
          </cell>
          <cell r="C58" t="str">
            <v>#10</v>
          </cell>
          <cell r="D58" t="str">
            <v>EA</v>
          </cell>
          <cell r="E58">
            <v>4</v>
          </cell>
          <cell r="F58" t="str">
            <v>WIRE 1줄당 1EA이므로, 1EAx4줄= 4EA</v>
          </cell>
        </row>
        <row r="59">
          <cell r="A59" t="e">
            <v>#REF!</v>
          </cell>
          <cell r="B59" t="str">
            <v>PIPE BAND</v>
          </cell>
          <cell r="C59" t="str">
            <v>Ø48.6 용</v>
          </cell>
          <cell r="D59" t="str">
            <v>EA</v>
          </cell>
          <cell r="E59">
            <v>4</v>
          </cell>
          <cell r="F59" t="str">
            <v>WIRE 1줄당 1EA이므로, 1EAx4줄= 4EA</v>
          </cell>
        </row>
        <row r="60">
          <cell r="A60" t="e">
            <v>#REF!</v>
          </cell>
          <cell r="B60" t="str">
            <v>BOLT,NUT,W/S,S/W</v>
          </cell>
          <cell r="C60" t="str">
            <v>M10 x 30L</v>
          </cell>
          <cell r="D60" t="str">
            <v>SET</v>
          </cell>
          <cell r="E60">
            <v>8</v>
          </cell>
          <cell r="F60" t="str">
            <v>WIRE 1줄당 2EA이므로, 2EAx4줄= 8EA</v>
          </cell>
        </row>
        <row r="61">
          <cell r="A61" t="e">
            <v>#REF!</v>
          </cell>
          <cell r="B61" t="str">
            <v>PIPE</v>
          </cell>
          <cell r="C61" t="str">
            <v>Ø48.6</v>
          </cell>
          <cell r="D61" t="str">
            <v>본</v>
          </cell>
          <cell r="E61">
            <v>2</v>
          </cell>
          <cell r="F61" t="str">
            <v>PIPE 本당 6M이므로 7.4/6= 1.23本  약 2本</v>
          </cell>
        </row>
        <row r="62">
          <cell r="A62" t="e">
            <v>#REF!</v>
          </cell>
          <cell r="B62" t="str">
            <v>PIPE CAP</v>
          </cell>
          <cell r="C62" t="str">
            <v>Ø48.6용</v>
          </cell>
          <cell r="D62" t="str">
            <v>EA</v>
          </cell>
          <cell r="E62">
            <v>2</v>
          </cell>
          <cell r="F62" t="str">
            <v>양끝단 처리</v>
          </cell>
        </row>
        <row r="63">
          <cell r="A63" t="e">
            <v>#REF!</v>
          </cell>
          <cell r="B63" t="str">
            <v>PIPE JOINT</v>
          </cell>
          <cell r="C63" t="str">
            <v>Ø48.6용</v>
          </cell>
          <cell r="D63" t="str">
            <v>EA</v>
          </cell>
          <cell r="E63">
            <v>1</v>
          </cell>
          <cell r="F63" t="str">
            <v>PIPE 2本이므로 연결부분 1SET</v>
          </cell>
          <cell r="G63">
            <v>0</v>
          </cell>
          <cell r="H63">
            <v>0</v>
          </cell>
        </row>
        <row r="64">
          <cell r="A64" t="e">
            <v>#REF!</v>
          </cell>
          <cell r="B64" t="str">
            <v>도 장 비</v>
          </cell>
          <cell r="C64" t="str">
            <v>각 2회</v>
          </cell>
          <cell r="D64" t="str">
            <v>M2</v>
          </cell>
          <cell r="E64">
            <v>8</v>
          </cell>
          <cell r="F64" t="str">
            <v>FRAME(1.4)+ROLLER.22L(1.2x3SET)+ROLLER.35L(1.4)</v>
          </cell>
        </row>
        <row r="65">
          <cell r="F65" t="str">
            <v>+P.BAND(0.2x4SET)+PIPE(1.13) = 8.33M2 약 8M2</v>
          </cell>
        </row>
        <row r="68">
          <cell r="A68" t="e">
            <v>#REF!</v>
          </cell>
        </row>
        <row r="69">
          <cell r="A69" t="e">
            <v>#REF!</v>
          </cell>
          <cell r="B69" t="str">
            <v>공사명: DRAW CURTAIN (8,660L x 3,300H)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 t="str">
            <v>NO.1-02-00</v>
          </cell>
        </row>
        <row r="70">
          <cell r="A70" t="e">
            <v>#REF!</v>
          </cell>
          <cell r="B70" t="str">
            <v>소형MOTOR</v>
          </cell>
          <cell r="C70" t="str">
            <v>40W</v>
          </cell>
          <cell r="D70" t="str">
            <v>SET</v>
          </cell>
          <cell r="E70">
            <v>1</v>
          </cell>
          <cell r="F70">
            <v>0</v>
          </cell>
        </row>
        <row r="71">
          <cell r="B71" t="str">
            <v>MOTOR BRACKET</v>
          </cell>
          <cell r="C71">
            <v>0</v>
          </cell>
          <cell r="D71" t="str">
            <v>SET</v>
          </cell>
          <cell r="E71">
            <v>1</v>
          </cell>
        </row>
        <row r="72">
          <cell r="B72" t="str">
            <v>REDUCER</v>
          </cell>
          <cell r="C72" t="str">
            <v>15:1</v>
          </cell>
          <cell r="D72" t="str">
            <v>SET</v>
          </cell>
          <cell r="E72">
            <v>1</v>
          </cell>
        </row>
        <row r="73">
          <cell r="B73" t="str">
            <v>S.Q PIPE</v>
          </cell>
          <cell r="C73" t="str">
            <v>ㅁ-50 x 50 x 2.3t</v>
          </cell>
          <cell r="D73" t="str">
            <v>本</v>
          </cell>
          <cell r="E73">
            <v>2</v>
          </cell>
          <cell r="F73" t="str">
            <v>8.66/6M=1.44 약 2本</v>
          </cell>
        </row>
        <row r="74">
          <cell r="B74" t="str">
            <v>AL RAIL</v>
          </cell>
          <cell r="C74" t="str">
            <v>주문 제작</v>
          </cell>
          <cell r="D74" t="str">
            <v>M</v>
          </cell>
          <cell r="E74">
            <v>9</v>
          </cell>
          <cell r="F74" t="str">
            <v>8.66M 약 9M</v>
          </cell>
        </row>
        <row r="75">
          <cell r="B75" t="str">
            <v>DRIVE PULLEY</v>
          </cell>
          <cell r="C75" t="str">
            <v>Ø60</v>
          </cell>
          <cell r="D75" t="str">
            <v>EA</v>
          </cell>
          <cell r="E75">
            <v>1</v>
          </cell>
        </row>
        <row r="76">
          <cell r="B76" t="str">
            <v>ADJUST BRACKET</v>
          </cell>
          <cell r="C76">
            <v>0</v>
          </cell>
          <cell r="D76" t="str">
            <v>EA</v>
          </cell>
          <cell r="E76">
            <v>1</v>
          </cell>
        </row>
        <row r="77">
          <cell r="B77" t="str">
            <v>MASTER CARRIER</v>
          </cell>
          <cell r="C77" t="str">
            <v>주문 제작</v>
          </cell>
          <cell r="D77" t="str">
            <v>EA</v>
          </cell>
          <cell r="E77">
            <v>2</v>
          </cell>
          <cell r="F77" t="str">
            <v>좌,우 최선단에</v>
          </cell>
        </row>
        <row r="78">
          <cell r="B78" t="str">
            <v>SINGLE CARRIER</v>
          </cell>
          <cell r="C78" t="str">
            <v>주문 제작</v>
          </cell>
          <cell r="D78" t="str">
            <v>EA</v>
          </cell>
          <cell r="E78">
            <v>44</v>
          </cell>
          <cell r="F78" t="str">
            <v>(8.66/0.2)x2=43.43EA 약 44EA</v>
          </cell>
        </row>
        <row r="79">
          <cell r="B79" t="str">
            <v>ROPE</v>
          </cell>
          <cell r="C79" t="str">
            <v>SUSØ1.6</v>
          </cell>
          <cell r="D79" t="str">
            <v>M</v>
          </cell>
          <cell r="E79">
            <v>17</v>
          </cell>
          <cell r="F79" t="str">
            <v>8.6x2=17.2M</v>
          </cell>
        </row>
        <row r="80">
          <cell r="B80" t="str">
            <v>LIMIT SWITCH</v>
          </cell>
          <cell r="C80">
            <v>0</v>
          </cell>
          <cell r="D80" t="str">
            <v>EA</v>
          </cell>
          <cell r="E80">
            <v>1</v>
          </cell>
        </row>
        <row r="81">
          <cell r="B81" t="str">
            <v>CURTAIN</v>
          </cell>
          <cell r="C81" t="str">
            <v>(VELVET선방염지)</v>
          </cell>
          <cell r="D81" t="str">
            <v>M2</v>
          </cell>
          <cell r="E81">
            <v>109</v>
          </cell>
          <cell r="F81" t="str">
            <v>(8.66x할증350%)=30.31, 3.3+가공여유(0.3)=3.6, 30.31x3.6=109.11M2 약 109M2</v>
          </cell>
          <cell r="G81">
            <v>3.5</v>
          </cell>
        </row>
        <row r="82">
          <cell r="B82" t="str">
            <v>PIPE</v>
          </cell>
          <cell r="C82" t="str">
            <v>Ø27.2</v>
          </cell>
          <cell r="D82" t="str">
            <v>本</v>
          </cell>
          <cell r="E82">
            <v>2</v>
          </cell>
          <cell r="F82" t="str">
            <v>8.66/6M=1.44 약 2本</v>
          </cell>
        </row>
        <row r="83">
          <cell r="B83" t="str">
            <v>PIPE CAP</v>
          </cell>
          <cell r="C83" t="str">
            <v>Ø27.2</v>
          </cell>
          <cell r="D83" t="str">
            <v>EA</v>
          </cell>
          <cell r="E83">
            <v>2</v>
          </cell>
          <cell r="F83" t="str">
            <v>양끝단 처리</v>
          </cell>
        </row>
        <row r="84">
          <cell r="B84" t="str">
            <v>PIPE JOINT</v>
          </cell>
          <cell r="C84" t="str">
            <v>Ø27.2</v>
          </cell>
          <cell r="D84" t="str">
            <v>EA</v>
          </cell>
          <cell r="E84">
            <v>1</v>
          </cell>
          <cell r="F84" t="str">
            <v>PIPE 2本이므로 연결부분 1SET</v>
          </cell>
          <cell r="G84">
            <v>0</v>
          </cell>
          <cell r="H84">
            <v>0</v>
          </cell>
        </row>
        <row r="85">
          <cell r="B85" t="str">
            <v>HEAD CURTAIN</v>
          </cell>
          <cell r="C85" t="str">
            <v>(VELVET선방염지)</v>
          </cell>
          <cell r="D85" t="str">
            <v>M2</v>
          </cell>
          <cell r="E85">
            <v>17</v>
          </cell>
          <cell r="F85" t="str">
            <v>(8.66x할증250%)=21.65, 0.5+가공여유(0.3)=0.8, 21.65x0.8=17.32 약 17M2</v>
          </cell>
          <cell r="G85">
            <v>2.5</v>
          </cell>
        </row>
        <row r="86">
          <cell r="B86" t="str">
            <v>도장비</v>
          </cell>
          <cell r="C86">
            <v>0</v>
          </cell>
          <cell r="D86" t="str">
            <v>M2</v>
          </cell>
          <cell r="E86">
            <v>2.5</v>
          </cell>
          <cell r="F86" t="str">
            <v>ㅁ50x50 (1.73)+ Ø27.2 (0.73)=약 2.46M2</v>
          </cell>
        </row>
        <row r="88">
          <cell r="E88">
            <v>0</v>
          </cell>
        </row>
        <row r="90">
          <cell r="A90" t="e">
            <v>#REF!</v>
          </cell>
        </row>
        <row r="91">
          <cell r="A91" t="e">
            <v>#REF!</v>
          </cell>
          <cell r="B91" t="str">
            <v xml:space="preserve">공사명 : ROLL SCREEN (4,000L x 3,000H)        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 t="str">
            <v>NO.1-03-00</v>
          </cell>
        </row>
        <row r="92">
          <cell r="A92" t="e">
            <v>#REF!</v>
          </cell>
          <cell r="B92" t="str">
            <v>원추형 MOTOR</v>
          </cell>
          <cell r="C92" t="str">
            <v>190W</v>
          </cell>
          <cell r="D92" t="str">
            <v>SET</v>
          </cell>
          <cell r="E92">
            <v>1</v>
          </cell>
          <cell r="F92">
            <v>0</v>
          </cell>
        </row>
        <row r="93">
          <cell r="A93" t="e">
            <v>#REF!</v>
          </cell>
          <cell r="B93" t="str">
            <v>LIMIT SWITCH BOX</v>
          </cell>
          <cell r="C93">
            <v>0</v>
          </cell>
          <cell r="D93" t="str">
            <v>SET</v>
          </cell>
          <cell r="E93">
            <v>1</v>
          </cell>
          <cell r="F93">
            <v>0</v>
          </cell>
        </row>
        <row r="94">
          <cell r="A94" t="e">
            <v>#REF!</v>
          </cell>
          <cell r="B94" t="str">
            <v>BUSHING</v>
          </cell>
          <cell r="C94">
            <v>0</v>
          </cell>
          <cell r="D94" t="str">
            <v>EA</v>
          </cell>
          <cell r="E94">
            <v>2</v>
          </cell>
          <cell r="F94" t="str">
            <v xml:space="preserve">ROLL SCREEN 2곳 </v>
          </cell>
        </row>
        <row r="95">
          <cell r="A95" t="e">
            <v>#REF!</v>
          </cell>
          <cell r="B95" t="str">
            <v>BEARING DIE</v>
          </cell>
          <cell r="C95">
            <v>0</v>
          </cell>
          <cell r="D95" t="str">
            <v>EA</v>
          </cell>
          <cell r="E95">
            <v>2</v>
          </cell>
          <cell r="F95">
            <v>0</v>
          </cell>
        </row>
        <row r="96">
          <cell r="A96" t="e">
            <v>#REF!</v>
          </cell>
          <cell r="B96" t="str">
            <v>주물 PIPE</v>
          </cell>
          <cell r="C96" t="str">
            <v>Ø53</v>
          </cell>
          <cell r="D96" t="str">
            <v>M</v>
          </cell>
          <cell r="E96">
            <v>4</v>
          </cell>
          <cell r="F96">
            <v>0</v>
          </cell>
        </row>
        <row r="97">
          <cell r="A97" t="e">
            <v>#REF!</v>
          </cell>
          <cell r="B97" t="str">
            <v>BALANCE PIPE</v>
          </cell>
          <cell r="C97" t="str">
            <v>Ø27.2</v>
          </cell>
          <cell r="D97" t="str">
            <v>本</v>
          </cell>
          <cell r="E97">
            <v>1</v>
          </cell>
          <cell r="F97" t="str">
            <v xml:space="preserve">1本 = 6M </v>
          </cell>
        </row>
        <row r="98">
          <cell r="A98" t="e">
            <v>#REF!</v>
          </cell>
          <cell r="B98" t="str">
            <v>SCREEN</v>
          </cell>
          <cell r="C98" t="str">
            <v>ULTRA MATE</v>
          </cell>
          <cell r="D98" t="str">
            <v>M2</v>
          </cell>
          <cell r="E98">
            <v>15</v>
          </cell>
          <cell r="F98" t="str">
            <v>4M x (3M+0.8(가공여유)) = 15.2M2 약 15M2</v>
          </cell>
        </row>
        <row r="99">
          <cell r="A99" t="e">
            <v>#REF!</v>
          </cell>
          <cell r="B99" t="str">
            <v>SCREEN BOX A'SSY</v>
          </cell>
          <cell r="C99">
            <v>0</v>
          </cell>
          <cell r="D99" t="str">
            <v>SET</v>
          </cell>
          <cell r="E99">
            <v>1</v>
          </cell>
          <cell r="F99">
            <v>0</v>
          </cell>
        </row>
        <row r="100">
          <cell r="A100" t="e">
            <v>#REF!</v>
          </cell>
          <cell r="B100" t="str">
            <v>도 장 비</v>
          </cell>
          <cell r="C100" t="str">
            <v>각 2회</v>
          </cell>
          <cell r="D100" t="str">
            <v>M2</v>
          </cell>
          <cell r="E100">
            <v>5</v>
          </cell>
          <cell r="F100" t="str">
            <v>BOX(2)+BUSHING.DIE(0.8x2)+PIPE(0.66)+Ø27.2(0.34)= 4.6M2 약 5M2</v>
          </cell>
        </row>
        <row r="101">
          <cell r="A101" t="e">
            <v>#REF!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</row>
        <row r="102">
          <cell r="A102" t="e">
            <v>#REF!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</row>
        <row r="103">
          <cell r="A103" t="e">
            <v>#REF!</v>
          </cell>
        </row>
        <row r="104">
          <cell r="A104" t="e">
            <v>#REF!</v>
          </cell>
        </row>
        <row r="105">
          <cell r="A105" t="e">
            <v>#REF!</v>
          </cell>
        </row>
        <row r="106">
          <cell r="A106" t="e">
            <v>#REF!</v>
          </cell>
        </row>
        <row r="107">
          <cell r="A107" t="e">
            <v>#REF!</v>
          </cell>
        </row>
        <row r="108">
          <cell r="A108" t="e">
            <v>#REF!</v>
          </cell>
        </row>
        <row r="109">
          <cell r="A109" t="e">
            <v>#REF!</v>
          </cell>
        </row>
        <row r="110">
          <cell r="A110" t="e">
            <v>#REF!</v>
          </cell>
        </row>
        <row r="111">
          <cell r="A111" t="e">
            <v>#REF!</v>
          </cell>
        </row>
        <row r="112">
          <cell r="A112" t="e">
            <v>#REF!</v>
          </cell>
        </row>
        <row r="113">
          <cell r="A113" t="e">
            <v>#REF!</v>
          </cell>
          <cell r="B113" t="str">
            <v xml:space="preserve">공사명 : ROLL FLAG  (2,100L x 3,000H)   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 t="str">
            <v>NO.1-04-00</v>
          </cell>
        </row>
        <row r="114">
          <cell r="A114" t="e">
            <v>#REF!</v>
          </cell>
          <cell r="B114" t="str">
            <v>원추형 MOTOR</v>
          </cell>
          <cell r="C114" t="str">
            <v>100W</v>
          </cell>
          <cell r="D114" t="str">
            <v>SET</v>
          </cell>
          <cell r="E114">
            <v>1</v>
          </cell>
          <cell r="F114">
            <v>0</v>
          </cell>
        </row>
        <row r="115">
          <cell r="A115" t="e">
            <v>#REF!</v>
          </cell>
          <cell r="B115" t="str">
            <v>LIMIT SWITCH BOX</v>
          </cell>
          <cell r="C115">
            <v>0</v>
          </cell>
          <cell r="D115" t="str">
            <v>SET</v>
          </cell>
          <cell r="E115">
            <v>1</v>
          </cell>
          <cell r="F115">
            <v>0</v>
          </cell>
        </row>
        <row r="116">
          <cell r="A116" t="e">
            <v>#REF!</v>
          </cell>
          <cell r="B116" t="str">
            <v>BUSHING</v>
          </cell>
          <cell r="C116">
            <v>0</v>
          </cell>
          <cell r="D116" t="str">
            <v>EA</v>
          </cell>
          <cell r="E116">
            <v>2</v>
          </cell>
          <cell r="F116" t="str">
            <v xml:space="preserve">ROLL SCREEN 2곳 </v>
          </cell>
        </row>
        <row r="117">
          <cell r="A117" t="e">
            <v>#REF!</v>
          </cell>
          <cell r="B117" t="str">
            <v>BEARING DIE</v>
          </cell>
          <cell r="C117">
            <v>0</v>
          </cell>
          <cell r="D117" t="str">
            <v>EA</v>
          </cell>
          <cell r="E117">
            <v>2</v>
          </cell>
          <cell r="F117">
            <v>0</v>
          </cell>
        </row>
        <row r="118">
          <cell r="A118" t="e">
            <v>#REF!</v>
          </cell>
          <cell r="B118" t="str">
            <v>주물PIPE</v>
          </cell>
          <cell r="C118" t="str">
            <v>Ø53</v>
          </cell>
          <cell r="D118" t="str">
            <v>M</v>
          </cell>
          <cell r="E118">
            <v>2.1</v>
          </cell>
          <cell r="F118">
            <v>0</v>
          </cell>
        </row>
        <row r="119">
          <cell r="A119" t="e">
            <v>#REF!</v>
          </cell>
          <cell r="B119" t="str">
            <v>BALANCE PIPE</v>
          </cell>
          <cell r="C119" t="str">
            <v>Ø27.2</v>
          </cell>
          <cell r="D119" t="str">
            <v>M</v>
          </cell>
          <cell r="E119">
            <v>2.1</v>
          </cell>
          <cell r="F119">
            <v>0</v>
          </cell>
        </row>
        <row r="120">
          <cell r="A120" t="e">
            <v>#REF!</v>
          </cell>
          <cell r="B120" t="str">
            <v>FLAG</v>
          </cell>
          <cell r="C120" t="str">
            <v>ULTRA-MATE</v>
          </cell>
          <cell r="D120" t="str">
            <v>M2</v>
          </cell>
          <cell r="E120">
            <v>6</v>
          </cell>
          <cell r="F120" t="str">
            <v>2.1M x (3M+0.8(가공여유)) = 5.9M2 약 6M2</v>
          </cell>
        </row>
        <row r="121">
          <cell r="A121" t="e">
            <v>#REF!</v>
          </cell>
          <cell r="B121" t="str">
            <v>씰크 인쇄</v>
          </cell>
          <cell r="C121">
            <v>0</v>
          </cell>
          <cell r="D121" t="str">
            <v>SET</v>
          </cell>
          <cell r="E121">
            <v>1</v>
          </cell>
          <cell r="F121">
            <v>0</v>
          </cell>
        </row>
        <row r="122">
          <cell r="A122" t="e">
            <v>#REF!</v>
          </cell>
          <cell r="B122" t="str">
            <v>FLAG BOX A'SSY</v>
          </cell>
          <cell r="C122">
            <v>0</v>
          </cell>
          <cell r="D122" t="str">
            <v>SET</v>
          </cell>
          <cell r="E122">
            <v>1</v>
          </cell>
          <cell r="F122">
            <v>0</v>
          </cell>
        </row>
        <row r="123">
          <cell r="A123" t="e">
            <v>#REF!</v>
          </cell>
          <cell r="B123" t="str">
            <v>도 장 비</v>
          </cell>
          <cell r="C123" t="str">
            <v>각 2회</v>
          </cell>
          <cell r="D123" t="str">
            <v>M2</v>
          </cell>
          <cell r="E123">
            <v>4</v>
          </cell>
          <cell r="F123" t="str">
            <v>BOX(2)+BUSHING.DIE(0.8x2)+PIPE(0.34)+Ø27.2(0.17)= 4.11M2 약 4M2</v>
          </cell>
        </row>
        <row r="124">
          <cell r="A124" t="e">
            <v>#REF!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</row>
        <row r="125">
          <cell r="A125" t="e">
            <v>#REF!</v>
          </cell>
        </row>
        <row r="126">
          <cell r="A126" t="e">
            <v>#REF!</v>
          </cell>
        </row>
        <row r="127">
          <cell r="A127" t="e">
            <v>#REF!</v>
          </cell>
        </row>
        <row r="128">
          <cell r="A128" t="e">
            <v>#REF!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</row>
        <row r="129">
          <cell r="A129" t="e">
            <v>#REF!</v>
          </cell>
        </row>
        <row r="130">
          <cell r="A130" t="e">
            <v>#REF!</v>
          </cell>
        </row>
        <row r="131">
          <cell r="A131" t="e">
            <v>#REF!</v>
          </cell>
        </row>
        <row r="132">
          <cell r="A132" t="e">
            <v>#REF!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</row>
        <row r="133">
          <cell r="A133" t="e">
            <v>#REF!</v>
          </cell>
        </row>
        <row r="135">
          <cell r="B135" t="str">
            <v>공사명: COVER CURTAIN (8,800L x 3,500H)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 t="str">
            <v>NO.1-05-00</v>
          </cell>
        </row>
        <row r="136">
          <cell r="B136" t="str">
            <v>소형MOTOR</v>
          </cell>
          <cell r="C136" t="str">
            <v>40W</v>
          </cell>
          <cell r="D136" t="str">
            <v>SET</v>
          </cell>
          <cell r="E136">
            <v>1</v>
          </cell>
          <cell r="F136">
            <v>0</v>
          </cell>
        </row>
        <row r="137">
          <cell r="A137" t="e">
            <v>#REF!</v>
          </cell>
          <cell r="B137" t="str">
            <v>MOTOR BRACKET</v>
          </cell>
          <cell r="C137">
            <v>0</v>
          </cell>
          <cell r="D137" t="str">
            <v>SET</v>
          </cell>
          <cell r="E137">
            <v>1</v>
          </cell>
        </row>
        <row r="138">
          <cell r="A138" t="e">
            <v>#REF!</v>
          </cell>
          <cell r="B138" t="str">
            <v>REDUCER</v>
          </cell>
          <cell r="C138" t="str">
            <v>15:1</v>
          </cell>
          <cell r="D138" t="str">
            <v>SET</v>
          </cell>
          <cell r="E138">
            <v>1</v>
          </cell>
        </row>
        <row r="139">
          <cell r="A139" t="e">
            <v>#REF!</v>
          </cell>
          <cell r="B139" t="str">
            <v>S.Q PIPE</v>
          </cell>
          <cell r="C139" t="str">
            <v>ㅁ-50 x 50 x 2.3t</v>
          </cell>
          <cell r="D139" t="str">
            <v>本</v>
          </cell>
          <cell r="E139">
            <v>2</v>
          </cell>
          <cell r="F139" t="str">
            <v>8.8/6M=1.46 약 2本</v>
          </cell>
        </row>
        <row r="140">
          <cell r="A140" t="e">
            <v>#REF!</v>
          </cell>
          <cell r="B140" t="str">
            <v>AL RAIL</v>
          </cell>
          <cell r="C140" t="str">
            <v>주문 제작</v>
          </cell>
          <cell r="D140" t="str">
            <v>M</v>
          </cell>
          <cell r="E140">
            <v>9</v>
          </cell>
          <cell r="F140" t="str">
            <v>8.8M 약 9M</v>
          </cell>
        </row>
        <row r="141">
          <cell r="A141" t="e">
            <v>#REF!</v>
          </cell>
          <cell r="B141" t="str">
            <v>DRIVE PULLEY</v>
          </cell>
          <cell r="C141" t="str">
            <v>Ø60</v>
          </cell>
          <cell r="D141" t="str">
            <v>EA</v>
          </cell>
          <cell r="E141">
            <v>1</v>
          </cell>
        </row>
        <row r="142">
          <cell r="A142" t="e">
            <v>#REF!</v>
          </cell>
          <cell r="B142" t="str">
            <v>ADJUST BRACKET</v>
          </cell>
          <cell r="C142">
            <v>0</v>
          </cell>
          <cell r="D142" t="str">
            <v>EA</v>
          </cell>
          <cell r="E142">
            <v>1</v>
          </cell>
        </row>
        <row r="143">
          <cell r="A143" t="e">
            <v>#REF!</v>
          </cell>
          <cell r="B143" t="str">
            <v>MASTER CARRIER</v>
          </cell>
          <cell r="C143" t="str">
            <v>주문 제작</v>
          </cell>
          <cell r="D143" t="str">
            <v>EA</v>
          </cell>
          <cell r="E143">
            <v>2</v>
          </cell>
          <cell r="F143" t="str">
            <v>좌,우 최선단에</v>
          </cell>
        </row>
        <row r="144">
          <cell r="A144" t="e">
            <v>#REF!</v>
          </cell>
          <cell r="B144" t="str">
            <v>SINGLE CARRIER</v>
          </cell>
          <cell r="C144" t="str">
            <v>주문 제작</v>
          </cell>
          <cell r="D144" t="str">
            <v>EA</v>
          </cell>
          <cell r="E144">
            <v>44</v>
          </cell>
          <cell r="F144" t="str">
            <v>(8.8/0.2)x2=44EA 약 44EA</v>
          </cell>
        </row>
        <row r="145">
          <cell r="A145" t="e">
            <v>#REF!</v>
          </cell>
          <cell r="B145" t="str">
            <v>ROPE</v>
          </cell>
          <cell r="C145" t="str">
            <v>SUSØ1.6</v>
          </cell>
          <cell r="D145" t="str">
            <v>M</v>
          </cell>
          <cell r="E145">
            <v>18</v>
          </cell>
          <cell r="F145" t="str">
            <v>8.8x2=17.6M 약 18M</v>
          </cell>
        </row>
        <row r="146">
          <cell r="A146" t="e">
            <v>#REF!</v>
          </cell>
          <cell r="B146" t="str">
            <v>LIMIT SWITCH</v>
          </cell>
          <cell r="C146">
            <v>0</v>
          </cell>
          <cell r="D146" t="str">
            <v>EA</v>
          </cell>
          <cell r="E146">
            <v>1</v>
          </cell>
        </row>
        <row r="147">
          <cell r="A147" t="e">
            <v>#REF!</v>
          </cell>
          <cell r="B147" t="str">
            <v>LIMIT SWITCH</v>
          </cell>
          <cell r="C147">
            <v>0</v>
          </cell>
          <cell r="D147" t="str">
            <v>EA</v>
          </cell>
          <cell r="E147">
            <v>1</v>
          </cell>
        </row>
        <row r="148">
          <cell r="A148" t="e">
            <v>#REF!</v>
          </cell>
          <cell r="B148" t="str">
            <v>CURTAIN</v>
          </cell>
          <cell r="C148" t="str">
            <v>(암막지 선방염)</v>
          </cell>
          <cell r="D148" t="str">
            <v>M2</v>
          </cell>
          <cell r="E148">
            <v>117</v>
          </cell>
          <cell r="F148" t="str">
            <v>(8.8x할증350%)=30.8, 3.5+가공여유(0.3)=3.8, 30.8x3.8=117.04M2 약 117M2</v>
          </cell>
          <cell r="G148">
            <v>3.5</v>
          </cell>
        </row>
        <row r="149">
          <cell r="A149" t="e">
            <v>#REF!</v>
          </cell>
          <cell r="B149" t="str">
            <v>도장비</v>
          </cell>
          <cell r="C149">
            <v>0</v>
          </cell>
          <cell r="D149" t="str">
            <v>M2</v>
          </cell>
          <cell r="E149">
            <v>2</v>
          </cell>
          <cell r="F149" t="str">
            <v>PIPE(1.76)=약 2M2</v>
          </cell>
        </row>
        <row r="150">
          <cell r="A150" t="e">
            <v>#REF!</v>
          </cell>
        </row>
        <row r="151">
          <cell r="A151" t="e">
            <v>#REF!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</row>
        <row r="152">
          <cell r="A152" t="e">
            <v>#REF!</v>
          </cell>
        </row>
        <row r="153">
          <cell r="F153">
            <v>0</v>
          </cell>
        </row>
        <row r="154">
          <cell r="A154" t="e">
            <v>#REF!</v>
          </cell>
        </row>
        <row r="155">
          <cell r="A155" t="e">
            <v>#REF!</v>
          </cell>
        </row>
        <row r="156">
          <cell r="A156" t="e">
            <v>#REF!</v>
          </cell>
        </row>
        <row r="157">
          <cell r="B157" t="str">
            <v>공사명:WINDOW DARKEN CURTAIN(4,050L x 3,500H)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 t="str">
            <v>NO.1-06-00</v>
          </cell>
        </row>
        <row r="158">
          <cell r="B158" t="str">
            <v>소형 MOTOR</v>
          </cell>
          <cell r="C158" t="str">
            <v>25W</v>
          </cell>
          <cell r="D158" t="str">
            <v>SET</v>
          </cell>
          <cell r="E158">
            <v>1</v>
          </cell>
          <cell r="F158">
            <v>0</v>
          </cell>
        </row>
        <row r="159">
          <cell r="A159" t="e">
            <v>#REF!</v>
          </cell>
          <cell r="B159" t="str">
            <v>MOTOR BRACKET</v>
          </cell>
          <cell r="C159">
            <v>0</v>
          </cell>
          <cell r="D159" t="str">
            <v>SET</v>
          </cell>
          <cell r="E159">
            <v>1</v>
          </cell>
        </row>
        <row r="160">
          <cell r="A160" t="e">
            <v>#REF!</v>
          </cell>
          <cell r="B160" t="str">
            <v>REDUCER</v>
          </cell>
          <cell r="C160" t="str">
            <v>15:1</v>
          </cell>
          <cell r="D160" t="str">
            <v>SET</v>
          </cell>
          <cell r="E160">
            <v>1</v>
          </cell>
        </row>
        <row r="161">
          <cell r="A161" t="e">
            <v>#REF!</v>
          </cell>
          <cell r="B161" t="str">
            <v>S.Q PIPE</v>
          </cell>
          <cell r="C161" t="str">
            <v>ㅁ-50 x 50 x 2.3t</v>
          </cell>
          <cell r="D161" t="str">
            <v>本</v>
          </cell>
          <cell r="E161">
            <v>2</v>
          </cell>
          <cell r="F161" t="str">
            <v>4.05/6M=0.675M 약 1本</v>
          </cell>
        </row>
        <row r="162">
          <cell r="A162" t="e">
            <v>#REF!</v>
          </cell>
          <cell r="B162" t="str">
            <v>AL RAIL</v>
          </cell>
          <cell r="C162" t="str">
            <v>주문 제작</v>
          </cell>
          <cell r="D162" t="str">
            <v>M</v>
          </cell>
          <cell r="E162">
            <v>4</v>
          </cell>
          <cell r="F162" t="str">
            <v>4.05M 약 4M</v>
          </cell>
        </row>
        <row r="163">
          <cell r="A163" t="e">
            <v>#REF!</v>
          </cell>
          <cell r="B163" t="str">
            <v>DRIVE PULLEY</v>
          </cell>
          <cell r="C163" t="str">
            <v>Ø60</v>
          </cell>
          <cell r="D163" t="str">
            <v>EA</v>
          </cell>
          <cell r="E163">
            <v>1</v>
          </cell>
        </row>
        <row r="164">
          <cell r="A164" t="e">
            <v>#REF!</v>
          </cell>
          <cell r="B164" t="str">
            <v>ADJUST BRACKET</v>
          </cell>
          <cell r="C164">
            <v>0</v>
          </cell>
          <cell r="D164" t="str">
            <v>EA</v>
          </cell>
          <cell r="E164">
            <v>1</v>
          </cell>
        </row>
        <row r="165">
          <cell r="A165" t="e">
            <v>#REF!</v>
          </cell>
          <cell r="B165" t="str">
            <v>MASTER CARRIER</v>
          </cell>
          <cell r="C165" t="str">
            <v>주문 제작</v>
          </cell>
          <cell r="D165" t="str">
            <v>EA</v>
          </cell>
          <cell r="E165">
            <v>2</v>
          </cell>
          <cell r="F165" t="str">
            <v>좌,우 최선단에</v>
          </cell>
        </row>
        <row r="166">
          <cell r="A166" t="e">
            <v>#REF!</v>
          </cell>
          <cell r="B166" t="str">
            <v>SINGLE CARRIER</v>
          </cell>
          <cell r="C166" t="str">
            <v>주문 제작</v>
          </cell>
          <cell r="D166" t="str">
            <v>EA</v>
          </cell>
          <cell r="E166">
            <v>20</v>
          </cell>
          <cell r="F166" t="str">
            <v>(4.05/0.2)x2=20.25EA 약 20EA</v>
          </cell>
        </row>
        <row r="167">
          <cell r="A167" t="e">
            <v>#REF!</v>
          </cell>
          <cell r="B167" t="str">
            <v>ROPE</v>
          </cell>
          <cell r="C167" t="str">
            <v>SUSØ1.6</v>
          </cell>
          <cell r="D167" t="str">
            <v>M</v>
          </cell>
          <cell r="E167">
            <v>8</v>
          </cell>
          <cell r="F167" t="str">
            <v>4.05x2=8.1M 약 8M</v>
          </cell>
        </row>
        <row r="168">
          <cell r="A168" t="e">
            <v>#REF!</v>
          </cell>
          <cell r="B168" t="str">
            <v>LIMIT SWITCH</v>
          </cell>
          <cell r="C168">
            <v>0</v>
          </cell>
          <cell r="D168" t="str">
            <v>EA</v>
          </cell>
          <cell r="E168">
            <v>1</v>
          </cell>
        </row>
        <row r="169">
          <cell r="A169" t="e">
            <v>#REF!</v>
          </cell>
          <cell r="B169" t="str">
            <v>CURTAIN</v>
          </cell>
          <cell r="C169" t="str">
            <v>(암막지 선방염)</v>
          </cell>
          <cell r="D169" t="str">
            <v>M2</v>
          </cell>
          <cell r="E169">
            <v>54</v>
          </cell>
          <cell r="F169" t="str">
            <v>(4.05x할증350%)=14.175, 3.5+가공여유(0.3)=3.8, 14.175x3.8=53.865 약 54M2</v>
          </cell>
          <cell r="G169">
            <v>3.5</v>
          </cell>
        </row>
        <row r="170">
          <cell r="A170" t="e">
            <v>#REF!</v>
          </cell>
          <cell r="B170" t="str">
            <v>도장비</v>
          </cell>
          <cell r="C170">
            <v>0</v>
          </cell>
          <cell r="D170" t="str">
            <v>M2</v>
          </cell>
          <cell r="E170">
            <v>1</v>
          </cell>
          <cell r="F170" t="str">
            <v>PIPE(0.8)=약 1M2</v>
          </cell>
        </row>
        <row r="171">
          <cell r="A171" t="e">
            <v>#REF!</v>
          </cell>
        </row>
        <row r="172">
          <cell r="A172" t="e">
            <v>#REF!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</row>
        <row r="173">
          <cell r="A173" t="e">
            <v>#REF!</v>
          </cell>
        </row>
        <row r="174">
          <cell r="A174" t="e">
            <v>#REF!</v>
          </cell>
        </row>
        <row r="175">
          <cell r="A175" t="e">
            <v>#REF!</v>
          </cell>
        </row>
        <row r="176">
          <cell r="A176" t="e">
            <v>#REF!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</row>
        <row r="177">
          <cell r="A177" t="e">
            <v>#REF!</v>
          </cell>
        </row>
        <row r="178">
          <cell r="A178" t="e">
            <v>#REF!</v>
          </cell>
        </row>
        <row r="179">
          <cell r="A179" t="e">
            <v>#REF!</v>
          </cell>
          <cell r="B179" t="str">
            <v>공사명:DOOR DARKEN CURTAIN(4,050L x 3,500H)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 t="str">
            <v>NO.1-07-00</v>
          </cell>
        </row>
        <row r="180">
          <cell r="A180" t="e">
            <v>#REF!</v>
          </cell>
          <cell r="B180" t="str">
            <v>S.Q PIPE</v>
          </cell>
          <cell r="C180" t="str">
            <v>ㅁ-50 x 50 x 2.3t</v>
          </cell>
          <cell r="D180" t="str">
            <v>本</v>
          </cell>
          <cell r="E180">
            <v>1</v>
          </cell>
          <cell r="F180" t="str">
            <v>4.05/6M=0.675M 약 1本</v>
          </cell>
        </row>
        <row r="181">
          <cell r="A181" t="e">
            <v>#REF!</v>
          </cell>
          <cell r="B181" t="str">
            <v>AL RAIL</v>
          </cell>
          <cell r="C181" t="str">
            <v>주문 제작</v>
          </cell>
          <cell r="D181" t="str">
            <v>M</v>
          </cell>
          <cell r="E181">
            <v>4</v>
          </cell>
          <cell r="F181" t="str">
            <v>4.05M 약 4M</v>
          </cell>
        </row>
        <row r="182">
          <cell r="A182" t="e">
            <v>#REF!</v>
          </cell>
          <cell r="B182" t="str">
            <v>MASTER CARRIER</v>
          </cell>
          <cell r="C182" t="str">
            <v>주문 제작</v>
          </cell>
          <cell r="D182" t="str">
            <v>EA</v>
          </cell>
          <cell r="E182">
            <v>2</v>
          </cell>
          <cell r="F182" t="str">
            <v>좌,우 최선단에</v>
          </cell>
        </row>
        <row r="183">
          <cell r="A183" t="e">
            <v>#REF!</v>
          </cell>
          <cell r="B183" t="str">
            <v>SINGLE CARRIER</v>
          </cell>
          <cell r="C183" t="str">
            <v>주문 제작</v>
          </cell>
          <cell r="D183" t="str">
            <v>EA</v>
          </cell>
          <cell r="E183">
            <v>20</v>
          </cell>
          <cell r="F183" t="str">
            <v>(4.05/0.2)x2=20.25EA 약 20EA</v>
          </cell>
        </row>
        <row r="184">
          <cell r="A184" t="e">
            <v>#REF!</v>
          </cell>
          <cell r="B184" t="str">
            <v>CURTAIN</v>
          </cell>
          <cell r="C184" t="str">
            <v>(암막지 선방염)</v>
          </cell>
          <cell r="D184" t="str">
            <v>M2</v>
          </cell>
          <cell r="E184">
            <v>54</v>
          </cell>
          <cell r="F184" t="str">
            <v>(4.05x할증350%)=14.175, 3.5+가공여유(0.3)=3.8, 14.175x3.8=53.865 약 54M2</v>
          </cell>
          <cell r="G184">
            <v>3.5</v>
          </cell>
        </row>
        <row r="185">
          <cell r="A185" t="e">
            <v>#REF!</v>
          </cell>
          <cell r="B185" t="str">
            <v>도장비</v>
          </cell>
          <cell r="C185">
            <v>0</v>
          </cell>
          <cell r="D185" t="str">
            <v>M2</v>
          </cell>
          <cell r="E185">
            <v>1</v>
          </cell>
          <cell r="F185" t="str">
            <v>PIPE(0.8)=약 1M2</v>
          </cell>
        </row>
        <row r="186">
          <cell r="A186" t="e">
            <v>#REF!</v>
          </cell>
        </row>
        <row r="187">
          <cell r="A187" t="e">
            <v>#REF!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</row>
        <row r="191">
          <cell r="F191">
            <v>0</v>
          </cell>
        </row>
        <row r="193">
          <cell r="A193" t="e">
            <v>#REF!</v>
          </cell>
        </row>
        <row r="194">
          <cell r="A194" t="e">
            <v>#REF!</v>
          </cell>
        </row>
        <row r="195">
          <cell r="A195" t="e">
            <v>#REF!</v>
          </cell>
        </row>
        <row r="196">
          <cell r="A196" t="e">
            <v>#REF!</v>
          </cell>
        </row>
        <row r="198">
          <cell r="A198" t="e">
            <v>#REF!</v>
          </cell>
        </row>
        <row r="199">
          <cell r="A199" t="e">
            <v>#REF!</v>
          </cell>
        </row>
        <row r="200">
          <cell r="A200" t="e">
            <v>#REF!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 t="str">
            <v>293KG=0.293TON</v>
          </cell>
        </row>
        <row r="201">
          <cell r="A201" t="e">
            <v>#REF!</v>
          </cell>
          <cell r="B201" t="str">
            <v>공사명:GRID IRON(8,600L x 900D)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 t="str">
            <v>NO.1-08-00</v>
          </cell>
        </row>
        <row r="202">
          <cell r="A202" t="e">
            <v>#REF!</v>
          </cell>
          <cell r="B202" t="str">
            <v>CHANNEL</v>
          </cell>
          <cell r="C202" t="str">
            <v xml:space="preserve">[-100 x 50 x 5t </v>
          </cell>
          <cell r="D202" t="str">
            <v>KG</v>
          </cell>
          <cell r="E202">
            <v>275</v>
          </cell>
          <cell r="F202" t="str">
            <v>(8.6x2)+(0.9x12)=28M+(할증5%)=29.4M</v>
          </cell>
          <cell r="G202">
            <v>0.05</v>
          </cell>
        </row>
        <row r="203">
          <cell r="A203" t="e">
            <v>#REF!</v>
          </cell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 t="str">
            <v>=29.4x9.36KG/M= 275.18KG 약 275KG</v>
          </cell>
        </row>
        <row r="204">
          <cell r="A204" t="e">
            <v>#REF!</v>
          </cell>
          <cell r="B204" t="str">
            <v>ROUND BAR</v>
          </cell>
          <cell r="C204" t="str">
            <v>Ø19</v>
          </cell>
          <cell r="D204" t="str">
            <v>KG</v>
          </cell>
          <cell r="E204">
            <v>18</v>
          </cell>
          <cell r="F204" t="str">
            <v xml:space="preserve">HANGER POINT 8곳,8x1M=8x2.23KG = 17.84KG </v>
          </cell>
        </row>
        <row r="205">
          <cell r="A205" t="e">
            <v>#REF!</v>
          </cell>
          <cell r="B205" t="str">
            <v>TURNBUCKLE</v>
          </cell>
          <cell r="C205" t="str">
            <v>W5/8" x 300</v>
          </cell>
          <cell r="D205" t="str">
            <v>EA</v>
          </cell>
          <cell r="E205">
            <v>8</v>
          </cell>
          <cell r="F205" t="str">
            <v>HANGER POINT</v>
          </cell>
        </row>
        <row r="206">
          <cell r="A206" t="e">
            <v>#REF!</v>
          </cell>
          <cell r="B206" t="str">
            <v>SHACKLE</v>
          </cell>
          <cell r="C206" t="str">
            <v xml:space="preserve">W5/8" </v>
          </cell>
          <cell r="D206" t="str">
            <v>EA</v>
          </cell>
          <cell r="E206">
            <v>16</v>
          </cell>
          <cell r="F206" t="str">
            <v>1PONT당 2EA씩이므로 8x2 = 16EA</v>
          </cell>
        </row>
        <row r="207">
          <cell r="A207" t="e">
            <v>#REF!</v>
          </cell>
          <cell r="B207" t="str">
            <v>HANGER BRACKET</v>
          </cell>
          <cell r="C207">
            <v>0</v>
          </cell>
          <cell r="D207" t="str">
            <v>EA</v>
          </cell>
          <cell r="E207">
            <v>8</v>
          </cell>
          <cell r="F207" t="str">
            <v>천정부분 HANGER POINT</v>
          </cell>
        </row>
        <row r="208">
          <cell r="A208" t="e">
            <v>#REF!</v>
          </cell>
          <cell r="B208" t="str">
            <v>HANGER PLATE</v>
          </cell>
          <cell r="C208" t="str">
            <v>PL 9tx200x75</v>
          </cell>
          <cell r="D208" t="str">
            <v>EA</v>
          </cell>
          <cell r="E208">
            <v>8</v>
          </cell>
          <cell r="F208" t="str">
            <v>GRID 부분 HANGER POINT</v>
          </cell>
        </row>
        <row r="209">
          <cell r="A209" t="e">
            <v>#REF!</v>
          </cell>
          <cell r="B209" t="str">
            <v>도 장 비</v>
          </cell>
          <cell r="C209" t="str">
            <v>각 2회</v>
          </cell>
          <cell r="D209" t="str">
            <v>M2</v>
          </cell>
          <cell r="E209">
            <v>21</v>
          </cell>
          <cell r="F209" t="str">
            <v>CH-100(29x0.6)+ROUND BAR(8x0.1)++T'ASSY(8x0.3)=20.6 약 21M2</v>
          </cell>
        </row>
        <row r="210">
          <cell r="A210" t="e">
            <v>#REF!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</row>
        <row r="211">
          <cell r="B211">
            <v>0</v>
          </cell>
          <cell r="C211">
            <v>0</v>
          </cell>
          <cell r="D211">
            <v>0</v>
          </cell>
          <cell r="E211">
            <v>0</v>
          </cell>
        </row>
        <row r="218">
          <cell r="A218" t="e">
            <v>#REF!</v>
          </cell>
        </row>
        <row r="219">
          <cell r="A219" t="e">
            <v>#REF!</v>
          </cell>
        </row>
        <row r="220">
          <cell r="A220" t="e">
            <v>#REF!</v>
          </cell>
        </row>
        <row r="221">
          <cell r="A221" t="e">
            <v>#REF!</v>
          </cell>
        </row>
        <row r="222">
          <cell r="A222" t="e">
            <v>#REF!</v>
          </cell>
        </row>
        <row r="223">
          <cell r="B223" t="str">
            <v>공사명 : CONTROL PANEL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 t="str">
            <v>NO.1-09-00</v>
          </cell>
        </row>
        <row r="224">
          <cell r="A224" t="e">
            <v>#REF!</v>
          </cell>
          <cell r="B224" t="str">
            <v>PANEL</v>
          </cell>
          <cell r="C224" t="str">
            <v>800Lx1200Hx250D</v>
          </cell>
          <cell r="D224" t="str">
            <v>SET</v>
          </cell>
          <cell r="E224">
            <v>1</v>
          </cell>
          <cell r="F224">
            <v>0</v>
          </cell>
        </row>
        <row r="225">
          <cell r="B225" t="str">
            <v>MAIN N.F.B</v>
          </cell>
          <cell r="C225" t="str">
            <v>3P 20A</v>
          </cell>
          <cell r="D225" t="str">
            <v>EA</v>
          </cell>
          <cell r="E225">
            <v>1</v>
          </cell>
          <cell r="F225">
            <v>0</v>
          </cell>
        </row>
        <row r="226">
          <cell r="A226" t="e">
            <v>#REF!</v>
          </cell>
          <cell r="B226" t="str">
            <v>N.F.B</v>
          </cell>
          <cell r="C226" t="str">
            <v>3P 30AF/10AT</v>
          </cell>
          <cell r="D226" t="str">
            <v>EA</v>
          </cell>
          <cell r="E226">
            <v>1</v>
          </cell>
          <cell r="F226" t="str">
            <v>1.5KW 1회로 이므로</v>
          </cell>
        </row>
        <row r="227">
          <cell r="A227" t="e">
            <v>#REF!</v>
          </cell>
          <cell r="B227" t="str">
            <v>N.F.B</v>
          </cell>
          <cell r="C227" t="str">
            <v>2P 5A</v>
          </cell>
          <cell r="D227" t="str">
            <v>EA</v>
          </cell>
          <cell r="E227">
            <v>10</v>
          </cell>
          <cell r="F227" t="str">
            <v>25W x 6회로, 40W x 2회로, 100W x 1회로, 190W x 1회로= 10회로이므로</v>
          </cell>
        </row>
        <row r="228">
          <cell r="A228" t="e">
            <v>#REF!</v>
          </cell>
          <cell r="B228" t="str">
            <v xml:space="preserve">N.F.B(MACHINE OP') </v>
          </cell>
          <cell r="C228" t="str">
            <v>2P 5A</v>
          </cell>
          <cell r="D228" t="str">
            <v>EA</v>
          </cell>
          <cell r="E228">
            <v>1</v>
          </cell>
          <cell r="F228">
            <v>0</v>
          </cell>
        </row>
        <row r="229">
          <cell r="B229" t="str">
            <v>MAGNETIC S/W</v>
          </cell>
          <cell r="C229" t="str">
            <v>SMO - 15</v>
          </cell>
          <cell r="D229" t="str">
            <v>EA</v>
          </cell>
          <cell r="E229">
            <v>2</v>
          </cell>
          <cell r="F229" t="str">
            <v>1회로 (1.5KW이하) x 2EA씩 (정.역회전)</v>
          </cell>
        </row>
        <row r="230">
          <cell r="A230" t="e">
            <v>#REF!</v>
          </cell>
          <cell r="B230" t="str">
            <v>전  선</v>
          </cell>
          <cell r="C230" t="str">
            <v>UL #24</v>
          </cell>
          <cell r="D230" t="str">
            <v>M</v>
          </cell>
          <cell r="E230">
            <v>10</v>
          </cell>
          <cell r="F230">
            <v>0</v>
          </cell>
        </row>
        <row r="231">
          <cell r="A231" t="e">
            <v>#REF!</v>
          </cell>
          <cell r="B231" t="str">
            <v>PILOT LAMP</v>
          </cell>
          <cell r="C231">
            <v>0</v>
          </cell>
          <cell r="D231" t="str">
            <v>EA</v>
          </cell>
          <cell r="E231">
            <v>2</v>
          </cell>
          <cell r="F231" t="str">
            <v>POWER용 1EA, OPERATION용 1EA</v>
          </cell>
        </row>
        <row r="232">
          <cell r="B232" t="str">
            <v>T.H</v>
          </cell>
          <cell r="C232">
            <v>0</v>
          </cell>
          <cell r="D232" t="str">
            <v>EA</v>
          </cell>
          <cell r="E232">
            <v>1</v>
          </cell>
          <cell r="F232" t="str">
            <v>회로당 1EA씩 x 1회로</v>
          </cell>
        </row>
        <row r="233">
          <cell r="A233" t="e">
            <v>#REF!</v>
          </cell>
          <cell r="B233" t="str">
            <v>POWER RELAY</v>
          </cell>
          <cell r="C233" t="str">
            <v>4a4b</v>
          </cell>
          <cell r="D233" t="str">
            <v>EA</v>
          </cell>
          <cell r="E233">
            <v>20</v>
          </cell>
          <cell r="F233" t="str">
            <v>회로당 2EA씩 x 10회로</v>
          </cell>
        </row>
        <row r="234">
          <cell r="A234" t="e">
            <v>#REF!</v>
          </cell>
          <cell r="B234" t="str">
            <v>RELAY</v>
          </cell>
          <cell r="C234" t="str">
            <v>DC 24V 14PIN</v>
          </cell>
          <cell r="D234" t="str">
            <v>EA</v>
          </cell>
          <cell r="E234">
            <v>2</v>
          </cell>
          <cell r="F234" t="str">
            <v>회로당 2EA씩 x 1회로</v>
          </cell>
        </row>
        <row r="235">
          <cell r="A235" t="e">
            <v>#REF!</v>
          </cell>
          <cell r="B235" t="str">
            <v>RELAY SOCKET</v>
          </cell>
          <cell r="C235" t="str">
            <v>DC 24V 14PIN</v>
          </cell>
          <cell r="D235" t="str">
            <v>EA</v>
          </cell>
          <cell r="E235">
            <v>2</v>
          </cell>
          <cell r="F235" t="str">
            <v>회로당 2EA씩 x 1회로</v>
          </cell>
          <cell r="G235">
            <v>0</v>
          </cell>
        </row>
        <row r="236">
          <cell r="A236" t="e">
            <v>#REF!</v>
          </cell>
          <cell r="B236" t="str">
            <v>FUSE/SOCKET</v>
          </cell>
          <cell r="C236">
            <v>0</v>
          </cell>
          <cell r="D236" t="str">
            <v>EA</v>
          </cell>
          <cell r="E236">
            <v>3</v>
          </cell>
          <cell r="F236" t="str">
            <v>3상 이므로</v>
          </cell>
        </row>
        <row r="237">
          <cell r="A237" t="e">
            <v>#REF!</v>
          </cell>
          <cell r="B237" t="str">
            <v>TRANS</v>
          </cell>
          <cell r="C237" t="str">
            <v>250W 380/220,110,24V</v>
          </cell>
          <cell r="D237" t="str">
            <v>SET</v>
          </cell>
          <cell r="E237">
            <v>1</v>
          </cell>
        </row>
        <row r="238">
          <cell r="A238" t="e">
            <v>#REF!</v>
          </cell>
          <cell r="B238" t="str">
            <v>TERMINAL &amp; BLOCK</v>
          </cell>
          <cell r="C238" t="str">
            <v>20A</v>
          </cell>
          <cell r="D238" t="str">
            <v>EA</v>
          </cell>
          <cell r="E238">
            <v>44</v>
          </cell>
          <cell r="F238" t="str">
            <v>11CIR'x4EA=44EA (POWER)</v>
          </cell>
        </row>
        <row r="239">
          <cell r="A239" t="e">
            <v>#REF!</v>
          </cell>
          <cell r="B239" t="str">
            <v>TERMINAL &amp; BLOCK</v>
          </cell>
          <cell r="C239" t="str">
            <v>10A</v>
          </cell>
          <cell r="D239" t="str">
            <v>EA</v>
          </cell>
          <cell r="E239">
            <v>66</v>
          </cell>
          <cell r="F239" t="str">
            <v>11CIR'x6EA=66EA (OPERATION)</v>
          </cell>
        </row>
        <row r="240">
          <cell r="B240" t="str">
            <v>TERMINAL &amp; TUBE</v>
          </cell>
          <cell r="C240" t="str">
            <v>3.5sq</v>
          </cell>
          <cell r="D240" t="str">
            <v>SET</v>
          </cell>
          <cell r="E240">
            <v>88</v>
          </cell>
          <cell r="F240">
            <v>0</v>
          </cell>
        </row>
        <row r="241">
          <cell r="A241" t="e">
            <v>#REF!</v>
          </cell>
          <cell r="B241" t="str">
            <v>TERMINAL &amp; TUBE</v>
          </cell>
          <cell r="C241" t="str">
            <v>1.25sq</v>
          </cell>
          <cell r="D241" t="str">
            <v>SET</v>
          </cell>
          <cell r="E241">
            <v>132</v>
          </cell>
          <cell r="F241">
            <v>0</v>
          </cell>
        </row>
        <row r="242">
          <cell r="A242" t="e">
            <v>#REF!</v>
          </cell>
          <cell r="B242" t="str">
            <v>전   선</v>
          </cell>
          <cell r="C242" t="str">
            <v>IV 3.5sq</v>
          </cell>
          <cell r="D242" t="str">
            <v>M</v>
          </cell>
          <cell r="E242">
            <v>88</v>
          </cell>
          <cell r="F242" t="str">
            <v>회로당2M x (4가닥 x11회로)=88M</v>
          </cell>
        </row>
        <row r="243">
          <cell r="A243" t="e">
            <v>#REF!</v>
          </cell>
          <cell r="B243" t="str">
            <v>전   선</v>
          </cell>
          <cell r="C243" t="str">
            <v>IV 1.25sq</v>
          </cell>
          <cell r="D243" t="str">
            <v>M</v>
          </cell>
          <cell r="E243">
            <v>88</v>
          </cell>
          <cell r="F243" t="str">
            <v>회로당2M x (4가닥 x11회로)=88M</v>
          </cell>
          <cell r="G243">
            <v>0</v>
          </cell>
          <cell r="H243">
            <v>0</v>
          </cell>
        </row>
        <row r="245">
          <cell r="A245" t="e">
            <v>#REF!</v>
          </cell>
          <cell r="B245" t="str">
            <v>공사명: CONTROL BOARD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 t="str">
            <v>NO.1-10-00</v>
          </cell>
        </row>
        <row r="246">
          <cell r="A246" t="e">
            <v>#REF!</v>
          </cell>
          <cell r="B246" t="str">
            <v>CONTROL BOARD</v>
          </cell>
          <cell r="C246" t="str">
            <v>325x350x80</v>
          </cell>
          <cell r="D246" t="str">
            <v>SET</v>
          </cell>
          <cell r="E246">
            <v>1</v>
          </cell>
          <cell r="F246" t="str">
            <v>도면 참조</v>
          </cell>
        </row>
        <row r="247">
          <cell r="A247" t="e">
            <v>#REF!</v>
          </cell>
          <cell r="B247" t="str">
            <v>PILOT LAMP</v>
          </cell>
          <cell r="C247" t="str">
            <v>Ø16</v>
          </cell>
          <cell r="D247" t="str">
            <v>EA</v>
          </cell>
          <cell r="E247">
            <v>1</v>
          </cell>
          <cell r="F247" t="str">
            <v>도면 참조</v>
          </cell>
        </row>
        <row r="248">
          <cell r="A248" t="e">
            <v>#REF!</v>
          </cell>
          <cell r="B248" t="str">
            <v>KEY S/W</v>
          </cell>
          <cell r="C248">
            <v>0</v>
          </cell>
          <cell r="D248" t="str">
            <v>EA</v>
          </cell>
          <cell r="E248">
            <v>1</v>
          </cell>
          <cell r="F248" t="str">
            <v>도면 참조</v>
          </cell>
          <cell r="G248">
            <v>0</v>
          </cell>
        </row>
        <row r="249">
          <cell r="A249" t="e">
            <v>#REF!</v>
          </cell>
          <cell r="B249" t="str">
            <v>EMERGENCY S/W</v>
          </cell>
          <cell r="C249" t="str">
            <v>Ø25</v>
          </cell>
          <cell r="D249" t="str">
            <v>EA</v>
          </cell>
          <cell r="E249">
            <v>1</v>
          </cell>
          <cell r="F249" t="str">
            <v>도면 참조</v>
          </cell>
        </row>
        <row r="250">
          <cell r="A250" t="e">
            <v>#REF!</v>
          </cell>
          <cell r="B250" t="str">
            <v>선 택 S/W</v>
          </cell>
          <cell r="C250" t="str">
            <v xml:space="preserve">Ø16 </v>
          </cell>
          <cell r="D250" t="str">
            <v>EA</v>
          </cell>
          <cell r="E250">
            <v>11</v>
          </cell>
          <cell r="F250" t="str">
            <v>도면 참조</v>
          </cell>
        </row>
        <row r="251">
          <cell r="A251" t="e">
            <v>#REF!</v>
          </cell>
          <cell r="B251" t="str">
            <v>PUSH BUTTON S/W</v>
          </cell>
          <cell r="C251" t="str">
            <v xml:space="preserve">Ø16 </v>
          </cell>
          <cell r="D251" t="str">
            <v>EA</v>
          </cell>
          <cell r="E251">
            <v>33</v>
          </cell>
          <cell r="F251" t="str">
            <v>11회로 x 3EA = 33EA</v>
          </cell>
        </row>
        <row r="252">
          <cell r="A252" t="e">
            <v>#REF!</v>
          </cell>
          <cell r="B252" t="str">
            <v>TERMINAL BLOCK</v>
          </cell>
          <cell r="C252" t="str">
            <v>20A</v>
          </cell>
          <cell r="D252" t="str">
            <v>EA</v>
          </cell>
          <cell r="E252">
            <v>33</v>
          </cell>
          <cell r="F252" t="str">
            <v>11회로 x3EA = 33EA</v>
          </cell>
        </row>
        <row r="253">
          <cell r="A253" t="e">
            <v>#REF!</v>
          </cell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</row>
        <row r="254">
          <cell r="A254" t="e">
            <v>#REF!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</row>
        <row r="255">
          <cell r="A255" t="e">
            <v>#REF!</v>
          </cell>
        </row>
        <row r="256">
          <cell r="A256" t="e">
            <v>#REF!</v>
          </cell>
        </row>
        <row r="258">
          <cell r="A258" t="e">
            <v>#REF!</v>
          </cell>
        </row>
        <row r="259">
          <cell r="A259" t="e">
            <v>#REF!</v>
          </cell>
        </row>
        <row r="260">
          <cell r="A260" t="e">
            <v>#REF!</v>
          </cell>
        </row>
        <row r="262">
          <cell r="A262" t="e">
            <v>#REF!</v>
          </cell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e">
            <v>#REF!</v>
          </cell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</row>
        <row r="264">
          <cell r="A264" t="e">
            <v>#REF!</v>
          </cell>
        </row>
        <row r="265">
          <cell r="A265" t="e">
            <v>#REF!</v>
          </cell>
        </row>
        <row r="266">
          <cell r="A266" t="e">
            <v>#REF!</v>
          </cell>
        </row>
        <row r="267">
          <cell r="A267" t="e">
            <v>#REF!</v>
          </cell>
          <cell r="B267" t="str">
            <v>공사명 : MACHINE PART (1.5KW x 4P用: WINCH TYPE)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 t="str">
            <v>일위대가-1</v>
          </cell>
        </row>
        <row r="268">
          <cell r="A268" t="e">
            <v>#REF!</v>
          </cell>
          <cell r="B268" t="str">
            <v>MOTOR</v>
          </cell>
          <cell r="C268" t="str">
            <v>1.5KW x 4P</v>
          </cell>
          <cell r="D268" t="str">
            <v>대</v>
          </cell>
          <cell r="E268">
            <v>1</v>
          </cell>
          <cell r="F268">
            <v>0</v>
          </cell>
        </row>
        <row r="269">
          <cell r="A269" t="e">
            <v>#REF!</v>
          </cell>
          <cell r="B269" t="str">
            <v>DISK BRAKE</v>
          </cell>
          <cell r="C269" t="str">
            <v>1.5KW x 4P用</v>
          </cell>
          <cell r="D269" t="str">
            <v>대</v>
          </cell>
          <cell r="E269">
            <v>1</v>
          </cell>
          <cell r="F269">
            <v>0</v>
          </cell>
        </row>
        <row r="270">
          <cell r="A270" t="e">
            <v>#REF!</v>
          </cell>
          <cell r="B270" t="str">
            <v>BOLT,NUT,W/S,S/W</v>
          </cell>
          <cell r="C270" t="str">
            <v>M12 x 40L</v>
          </cell>
          <cell r="D270" t="str">
            <v>SET</v>
          </cell>
          <cell r="E270">
            <v>4</v>
          </cell>
          <cell r="F270" t="str">
            <v>MOTOR 고정용</v>
          </cell>
        </row>
        <row r="271">
          <cell r="A271" t="e">
            <v>#REF!</v>
          </cell>
          <cell r="B271" t="str">
            <v>MOTOR DIE</v>
          </cell>
          <cell r="C271" t="str">
            <v>1.5KW x 4P用</v>
          </cell>
          <cell r="D271" t="str">
            <v>SET</v>
          </cell>
          <cell r="E271">
            <v>1</v>
          </cell>
          <cell r="F271" t="str">
            <v>MOTOR 고정용</v>
          </cell>
        </row>
        <row r="272">
          <cell r="A272" t="e">
            <v>#REF!</v>
          </cell>
          <cell r="B272" t="str">
            <v>STUD BOLT</v>
          </cell>
          <cell r="C272" t="str">
            <v>M16 x 200L</v>
          </cell>
          <cell r="D272" t="str">
            <v>SET</v>
          </cell>
          <cell r="E272">
            <v>4</v>
          </cell>
          <cell r="F272" t="str">
            <v>MOTOR 출력축과 WORM REDUCER 입력축과의 거리조절용</v>
          </cell>
        </row>
        <row r="273">
          <cell r="A273" t="e">
            <v>#REF!</v>
          </cell>
          <cell r="B273" t="str">
            <v>NUT</v>
          </cell>
          <cell r="C273" t="str">
            <v>M16</v>
          </cell>
          <cell r="D273" t="str">
            <v>EA</v>
          </cell>
          <cell r="E273">
            <v>16</v>
          </cell>
          <cell r="F273" t="str">
            <v>STUD BOLT 1EA당 4EA씩으므로 4EAx4EA= 16EA</v>
          </cell>
        </row>
        <row r="274">
          <cell r="A274" t="e">
            <v>#REF!</v>
          </cell>
          <cell r="B274" t="str">
            <v xml:space="preserve">V-PULLEY </v>
          </cell>
          <cell r="C274" t="str">
            <v>B형 x 2열 x 3"</v>
          </cell>
          <cell r="D274" t="str">
            <v>EA</v>
          </cell>
          <cell r="E274">
            <v>1</v>
          </cell>
          <cell r="F274" t="str">
            <v>MOTOR 출력용</v>
          </cell>
        </row>
        <row r="275">
          <cell r="A275" t="e">
            <v>#REF!</v>
          </cell>
          <cell r="B275" t="str">
            <v xml:space="preserve">V-PULLEY </v>
          </cell>
          <cell r="C275" t="str">
            <v>B형 x 2열 x 8"</v>
          </cell>
          <cell r="D275" t="str">
            <v>EA</v>
          </cell>
          <cell r="E275">
            <v>1</v>
          </cell>
          <cell r="F275" t="str">
            <v>WORM REDUCER 입력축용</v>
          </cell>
        </row>
        <row r="276">
          <cell r="A276" t="e">
            <v>#REF!</v>
          </cell>
          <cell r="B276" t="str">
            <v>V-BELT</v>
          </cell>
          <cell r="C276" t="str">
            <v>B형 x 42"</v>
          </cell>
          <cell r="D276" t="str">
            <v>EA</v>
          </cell>
          <cell r="E276">
            <v>2</v>
          </cell>
          <cell r="F276" t="str">
            <v>V-PULLEY가 2열</v>
          </cell>
        </row>
        <row r="277">
          <cell r="A277" t="e">
            <v>#REF!</v>
          </cell>
          <cell r="B277" t="str">
            <v>WORM REDUCER</v>
          </cell>
          <cell r="C277" t="str">
            <v>1.5KW x 4P用</v>
          </cell>
          <cell r="D277" t="str">
            <v>대</v>
          </cell>
          <cell r="E277">
            <v>1</v>
          </cell>
          <cell r="F277">
            <v>0</v>
          </cell>
        </row>
        <row r="278">
          <cell r="A278" t="e">
            <v>#REF!</v>
          </cell>
          <cell r="B278" t="str">
            <v>BOLT,NUT,W/S,S/W</v>
          </cell>
          <cell r="C278" t="str">
            <v>M16 x 60L</v>
          </cell>
          <cell r="D278" t="str">
            <v>SET</v>
          </cell>
          <cell r="E278">
            <v>2</v>
          </cell>
          <cell r="F278" t="str">
            <v>WORM REDUCER 고정용</v>
          </cell>
        </row>
        <row r="279">
          <cell r="A279" t="e">
            <v>#REF!</v>
          </cell>
          <cell r="B279" t="str">
            <v>BEARING</v>
          </cell>
          <cell r="C279" t="str">
            <v>UCP #207</v>
          </cell>
          <cell r="D279" t="str">
            <v>EA</v>
          </cell>
          <cell r="E279">
            <v>1</v>
          </cell>
          <cell r="F279">
            <v>0</v>
          </cell>
        </row>
        <row r="280">
          <cell r="A280" t="e">
            <v>#REF!</v>
          </cell>
          <cell r="B280" t="str">
            <v>BEARING DIE</v>
          </cell>
          <cell r="C280" t="str">
            <v>UCP #207用</v>
          </cell>
          <cell r="D280" t="str">
            <v>EA</v>
          </cell>
          <cell r="E280">
            <v>1</v>
          </cell>
          <cell r="F280">
            <v>0</v>
          </cell>
        </row>
        <row r="281">
          <cell r="A281" t="e">
            <v>#REF!</v>
          </cell>
          <cell r="B281" t="str">
            <v>BOLT,NUT,W/S,S/W</v>
          </cell>
          <cell r="C281" t="str">
            <v>M16 x 60L</v>
          </cell>
          <cell r="D281" t="str">
            <v>SET</v>
          </cell>
          <cell r="E281">
            <v>2</v>
          </cell>
          <cell r="F281" t="str">
            <v>BEARING DIE 고정용</v>
          </cell>
        </row>
        <row r="282">
          <cell r="A282" t="e">
            <v>#REF!</v>
          </cell>
          <cell r="B282" t="str">
            <v>CHAIN SPROCKET</v>
          </cell>
          <cell r="C282" t="str">
            <v>DS #35 x 12t</v>
          </cell>
          <cell r="D282" t="str">
            <v>SET</v>
          </cell>
          <cell r="E282">
            <v>1</v>
          </cell>
          <cell r="F282" t="str">
            <v>LIMIT 제어동력 전달용 (CAM LINIT S/W 입력축)</v>
          </cell>
        </row>
        <row r="283">
          <cell r="A283" t="e">
            <v>#REF!</v>
          </cell>
          <cell r="B283" t="str">
            <v>CHAIN SPROCKET</v>
          </cell>
          <cell r="C283" t="str">
            <v>DS #35 x 27t</v>
          </cell>
          <cell r="D283" t="str">
            <v>SET</v>
          </cell>
          <cell r="E283">
            <v>1</v>
          </cell>
          <cell r="F283" t="str">
            <v>LIMIT 제어동력 전달용 (WORM REDUCER 출력축 끝단)</v>
          </cell>
        </row>
        <row r="284">
          <cell r="A284" t="e">
            <v>#REF!</v>
          </cell>
          <cell r="B284" t="str">
            <v xml:space="preserve">CHAIN </v>
          </cell>
          <cell r="C284" t="str">
            <v xml:space="preserve">DS #35 </v>
          </cell>
          <cell r="D284" t="str">
            <v>SET</v>
          </cell>
          <cell r="E284">
            <v>1</v>
          </cell>
          <cell r="F284" t="str">
            <v>LIMIT 제어동력</v>
          </cell>
        </row>
        <row r="285">
          <cell r="A285" t="e">
            <v>#REF!</v>
          </cell>
          <cell r="B285" t="str">
            <v>CHAIN OFFSET LINK</v>
          </cell>
          <cell r="C285" t="str">
            <v xml:space="preserve">DS #35用 </v>
          </cell>
          <cell r="D285" t="str">
            <v>EA</v>
          </cell>
          <cell r="E285">
            <v>1</v>
          </cell>
          <cell r="F285" t="str">
            <v>CHAIN 연결용</v>
          </cell>
        </row>
        <row r="286">
          <cell r="A286" t="e">
            <v>#REF!</v>
          </cell>
          <cell r="B286" t="str">
            <v>CAM LIMIT S/W</v>
          </cell>
          <cell r="C286" t="str">
            <v>SCREW TYPE</v>
          </cell>
          <cell r="D286" t="str">
            <v>SET</v>
          </cell>
          <cell r="E286">
            <v>1</v>
          </cell>
          <cell r="F286" t="str">
            <v>LIMIT 제어동력</v>
          </cell>
        </row>
        <row r="287">
          <cell r="A287" t="e">
            <v>#REF!</v>
          </cell>
          <cell r="B287" t="str">
            <v>LIMIT S/W DIE</v>
          </cell>
          <cell r="C287">
            <v>0</v>
          </cell>
          <cell r="D287" t="str">
            <v>SET</v>
          </cell>
          <cell r="E287">
            <v>1</v>
          </cell>
          <cell r="F287">
            <v>0</v>
          </cell>
        </row>
        <row r="288">
          <cell r="A288" t="e">
            <v>#REF!</v>
          </cell>
          <cell r="B288" t="str">
            <v>BOLT,NUT,W/S,S/W</v>
          </cell>
          <cell r="C288" t="str">
            <v>M6 x 30L</v>
          </cell>
          <cell r="D288" t="str">
            <v>SET</v>
          </cell>
          <cell r="E288">
            <v>2</v>
          </cell>
          <cell r="F288" t="str">
            <v>CAM LIMITS S/W 고정용</v>
          </cell>
        </row>
        <row r="289">
          <cell r="A289" t="e">
            <v>#REF!</v>
          </cell>
        </row>
        <row r="290">
          <cell r="A290" t="e">
            <v>#REF!</v>
          </cell>
        </row>
        <row r="291">
          <cell r="A291" t="e">
            <v>#REF!</v>
          </cell>
        </row>
        <row r="292">
          <cell r="A292" t="e">
            <v>#REF!</v>
          </cell>
        </row>
        <row r="293">
          <cell r="A293" t="e">
            <v>#REF!</v>
          </cell>
        </row>
        <row r="294">
          <cell r="A294" t="e">
            <v>#REF!</v>
          </cell>
        </row>
        <row r="295">
          <cell r="A295" t="e">
            <v>#REF!</v>
          </cell>
        </row>
        <row r="296">
          <cell r="A296" t="e">
            <v>#REF!</v>
          </cell>
        </row>
        <row r="297">
          <cell r="A297" t="e">
            <v>#REF!</v>
          </cell>
        </row>
        <row r="298">
          <cell r="A298" t="e">
            <v>#REF!</v>
          </cell>
        </row>
        <row r="299">
          <cell r="A299" t="e">
            <v>#REF!</v>
          </cell>
        </row>
        <row r="300">
          <cell r="A300" t="e">
            <v>#REF!</v>
          </cell>
        </row>
        <row r="301">
          <cell r="A301" t="e">
            <v>#REF!</v>
          </cell>
        </row>
        <row r="302">
          <cell r="A302" t="e">
            <v>#REF!</v>
          </cell>
        </row>
        <row r="303">
          <cell r="A303" t="e">
            <v>#REF!</v>
          </cell>
        </row>
        <row r="304">
          <cell r="A304" t="e">
            <v>#REF!</v>
          </cell>
        </row>
        <row r="305">
          <cell r="A305" t="e">
            <v>#REF!</v>
          </cell>
        </row>
        <row r="306">
          <cell r="A306" t="e">
            <v>#REF!</v>
          </cell>
        </row>
        <row r="307">
          <cell r="A307" t="e">
            <v>#REF!</v>
          </cell>
        </row>
        <row r="308">
          <cell r="A308" t="e">
            <v>#REF!</v>
          </cell>
        </row>
        <row r="309">
          <cell r="A309" t="e">
            <v>#REF!</v>
          </cell>
        </row>
        <row r="310">
          <cell r="A310" t="e">
            <v>#REF!</v>
          </cell>
        </row>
        <row r="311">
          <cell r="A311" t="e">
            <v>#REF!</v>
          </cell>
        </row>
        <row r="312">
          <cell r="A312" t="e">
            <v>#REF!</v>
          </cell>
        </row>
        <row r="313">
          <cell r="A313" t="e">
            <v>#REF!</v>
          </cell>
        </row>
        <row r="314">
          <cell r="A314" t="e">
            <v>#REF!</v>
          </cell>
        </row>
        <row r="315">
          <cell r="A315" t="e">
            <v>#REF!</v>
          </cell>
        </row>
        <row r="316">
          <cell r="A316" t="e">
            <v>#REF!</v>
          </cell>
        </row>
        <row r="317">
          <cell r="A317" t="e">
            <v>#REF!</v>
          </cell>
        </row>
        <row r="318">
          <cell r="A318" t="e">
            <v>#REF!</v>
          </cell>
        </row>
        <row r="319">
          <cell r="A319" t="e">
            <v>#REF!</v>
          </cell>
        </row>
        <row r="320">
          <cell r="A320" t="e">
            <v>#REF!</v>
          </cell>
        </row>
        <row r="321">
          <cell r="A321" t="e">
            <v>#REF!</v>
          </cell>
        </row>
        <row r="322">
          <cell r="A322" t="e">
            <v>#REF!</v>
          </cell>
        </row>
        <row r="323">
          <cell r="A323" t="e">
            <v>#REF!</v>
          </cell>
        </row>
        <row r="324">
          <cell r="A324" t="e">
            <v>#REF!</v>
          </cell>
        </row>
        <row r="325">
          <cell r="A325" t="e">
            <v>#REF!</v>
          </cell>
        </row>
        <row r="326">
          <cell r="A326" t="e">
            <v>#REF!</v>
          </cell>
        </row>
        <row r="327">
          <cell r="A327" t="e">
            <v>#REF!</v>
          </cell>
        </row>
        <row r="328">
          <cell r="A328" t="e">
            <v>#REF!</v>
          </cell>
        </row>
        <row r="329">
          <cell r="A329" t="e">
            <v>#REF!</v>
          </cell>
        </row>
        <row r="330">
          <cell r="A330" t="e">
            <v>#REF!</v>
          </cell>
        </row>
        <row r="331">
          <cell r="A331" t="e">
            <v>#REF!</v>
          </cell>
        </row>
        <row r="332">
          <cell r="A332" t="e">
            <v>#REF!</v>
          </cell>
        </row>
        <row r="333">
          <cell r="A333" t="e">
            <v>#REF!</v>
          </cell>
        </row>
        <row r="334">
          <cell r="A334" t="e">
            <v>#REF!</v>
          </cell>
        </row>
        <row r="335">
          <cell r="A335" t="e">
            <v>#REF!</v>
          </cell>
        </row>
        <row r="336">
          <cell r="A336" t="e">
            <v>#REF!</v>
          </cell>
        </row>
        <row r="337">
          <cell r="A337" t="e">
            <v>#REF!</v>
          </cell>
        </row>
        <row r="338">
          <cell r="A338" t="e">
            <v>#REF!</v>
          </cell>
        </row>
        <row r="339">
          <cell r="A339" t="e">
            <v>#REF!</v>
          </cell>
        </row>
        <row r="340">
          <cell r="A340" t="e">
            <v>#REF!</v>
          </cell>
        </row>
        <row r="341">
          <cell r="A341" t="e">
            <v>#REF!</v>
          </cell>
        </row>
        <row r="342">
          <cell r="A342" t="e">
            <v>#REF!</v>
          </cell>
        </row>
        <row r="343">
          <cell r="A343" t="e">
            <v>#REF!</v>
          </cell>
        </row>
        <row r="344">
          <cell r="A344" t="e">
            <v>#REF!</v>
          </cell>
        </row>
        <row r="345">
          <cell r="A345" t="e">
            <v>#REF!</v>
          </cell>
        </row>
        <row r="346">
          <cell r="A346" t="e">
            <v>#REF!</v>
          </cell>
        </row>
        <row r="347">
          <cell r="A347" t="e">
            <v>#REF!</v>
          </cell>
        </row>
        <row r="348">
          <cell r="A348" t="e">
            <v>#REF!</v>
          </cell>
        </row>
        <row r="349">
          <cell r="A349" t="e">
            <v>#REF!</v>
          </cell>
        </row>
        <row r="350">
          <cell r="A350" t="e">
            <v>#REF!</v>
          </cell>
        </row>
        <row r="351">
          <cell r="A351" t="e">
            <v>#REF!</v>
          </cell>
        </row>
        <row r="352">
          <cell r="A352" t="e">
            <v>#REF!</v>
          </cell>
        </row>
        <row r="353">
          <cell r="A353" t="e">
            <v>#REF!</v>
          </cell>
        </row>
        <row r="354">
          <cell r="A354" t="e">
            <v>#REF!</v>
          </cell>
        </row>
        <row r="355">
          <cell r="A355" t="e">
            <v>#REF!</v>
          </cell>
        </row>
        <row r="356">
          <cell r="A356" t="e">
            <v>#REF!</v>
          </cell>
        </row>
        <row r="357">
          <cell r="A357" t="e">
            <v>#REF!</v>
          </cell>
        </row>
        <row r="358">
          <cell r="A358" t="e">
            <v>#REF!</v>
          </cell>
        </row>
        <row r="359">
          <cell r="A359" t="e">
            <v>#REF!</v>
          </cell>
        </row>
        <row r="360">
          <cell r="A360" t="e">
            <v>#REF!</v>
          </cell>
        </row>
        <row r="361">
          <cell r="A361" t="e">
            <v>#REF!</v>
          </cell>
        </row>
        <row r="362">
          <cell r="A362" t="e">
            <v>#REF!</v>
          </cell>
        </row>
        <row r="363">
          <cell r="A363" t="e">
            <v>#REF!</v>
          </cell>
        </row>
        <row r="364">
          <cell r="A364" t="e">
            <v>#REF!</v>
          </cell>
        </row>
        <row r="365">
          <cell r="A365" t="e">
            <v>#REF!</v>
          </cell>
        </row>
        <row r="366">
          <cell r="A366" t="e">
            <v>#REF!</v>
          </cell>
        </row>
        <row r="367">
          <cell r="A367" t="e">
            <v>#REF!</v>
          </cell>
        </row>
        <row r="368">
          <cell r="A368" t="e">
            <v>#REF!</v>
          </cell>
        </row>
        <row r="369">
          <cell r="A369" t="e">
            <v>#REF!</v>
          </cell>
        </row>
        <row r="370">
          <cell r="A370" t="e">
            <v>#REF!</v>
          </cell>
        </row>
        <row r="371">
          <cell r="A371" t="e">
            <v>#REF!</v>
          </cell>
        </row>
        <row r="372">
          <cell r="A372" t="e">
            <v>#REF!</v>
          </cell>
        </row>
        <row r="373">
          <cell r="A373" t="e">
            <v>#REF!</v>
          </cell>
        </row>
        <row r="374">
          <cell r="A374" t="e">
            <v>#REF!</v>
          </cell>
        </row>
        <row r="375">
          <cell r="A375" t="e">
            <v>#REF!</v>
          </cell>
        </row>
        <row r="376">
          <cell r="A376" t="e">
            <v>#REF!</v>
          </cell>
        </row>
        <row r="377">
          <cell r="A377" t="e">
            <v>#REF!</v>
          </cell>
        </row>
        <row r="378">
          <cell r="A378" t="e">
            <v>#REF!</v>
          </cell>
        </row>
        <row r="379">
          <cell r="A379" t="e">
            <v>#REF!</v>
          </cell>
        </row>
        <row r="380">
          <cell r="A380" t="e">
            <v>#REF!</v>
          </cell>
        </row>
        <row r="381">
          <cell r="A381" t="e">
            <v>#REF!</v>
          </cell>
        </row>
        <row r="382">
          <cell r="A382" t="e">
            <v>#REF!</v>
          </cell>
        </row>
        <row r="383">
          <cell r="A383" t="e">
            <v>#REF!</v>
          </cell>
        </row>
        <row r="384">
          <cell r="A384" t="e">
            <v>#REF!</v>
          </cell>
        </row>
        <row r="385">
          <cell r="A385" t="e">
            <v>#REF!</v>
          </cell>
        </row>
        <row r="386">
          <cell r="A386" t="e">
            <v>#REF!</v>
          </cell>
        </row>
        <row r="387">
          <cell r="A387" t="e">
            <v>#REF!</v>
          </cell>
        </row>
        <row r="388">
          <cell r="A388" t="e">
            <v>#REF!</v>
          </cell>
        </row>
        <row r="389">
          <cell r="A389" t="e">
            <v>#REF!</v>
          </cell>
        </row>
        <row r="390">
          <cell r="A390" t="e">
            <v>#REF!</v>
          </cell>
        </row>
        <row r="391">
          <cell r="A391" t="e">
            <v>#REF!</v>
          </cell>
        </row>
        <row r="392">
          <cell r="A392" t="e">
            <v>#REF!</v>
          </cell>
        </row>
        <row r="393">
          <cell r="A393" t="e">
            <v>#REF!</v>
          </cell>
        </row>
        <row r="394">
          <cell r="A394" t="e">
            <v>#REF!</v>
          </cell>
        </row>
        <row r="395">
          <cell r="A395" t="e">
            <v>#REF!</v>
          </cell>
        </row>
        <row r="396">
          <cell r="A396" t="e">
            <v>#REF!</v>
          </cell>
        </row>
        <row r="397">
          <cell r="A397" t="e">
            <v>#REF!</v>
          </cell>
        </row>
        <row r="398">
          <cell r="A398" t="e">
            <v>#REF!</v>
          </cell>
        </row>
        <row r="399">
          <cell r="A399" t="e">
            <v>#REF!</v>
          </cell>
        </row>
        <row r="400">
          <cell r="A400" t="e">
            <v>#REF!</v>
          </cell>
        </row>
        <row r="401">
          <cell r="A401" t="e">
            <v>#REF!</v>
          </cell>
        </row>
        <row r="402">
          <cell r="A402" t="e">
            <v>#REF!</v>
          </cell>
        </row>
        <row r="403">
          <cell r="A403" t="e">
            <v>#REF!</v>
          </cell>
        </row>
        <row r="404">
          <cell r="A404" t="e">
            <v>#REF!</v>
          </cell>
        </row>
        <row r="405">
          <cell r="A405" t="e">
            <v>#REF!</v>
          </cell>
        </row>
        <row r="406">
          <cell r="A406" t="e">
            <v>#REF!</v>
          </cell>
        </row>
        <row r="407">
          <cell r="A407" t="e">
            <v>#REF!</v>
          </cell>
        </row>
        <row r="408">
          <cell r="A408" t="e">
            <v>#REF!</v>
          </cell>
        </row>
        <row r="409">
          <cell r="A409" t="e">
            <v>#REF!</v>
          </cell>
        </row>
        <row r="410">
          <cell r="A410" t="e">
            <v>#REF!</v>
          </cell>
        </row>
        <row r="411">
          <cell r="A411" t="e">
            <v>#REF!</v>
          </cell>
        </row>
        <row r="412">
          <cell r="A412" t="e">
            <v>#REF!</v>
          </cell>
        </row>
        <row r="413">
          <cell r="A413" t="e">
            <v>#REF!</v>
          </cell>
        </row>
        <row r="414">
          <cell r="A414" t="e">
            <v>#REF!</v>
          </cell>
        </row>
        <row r="415">
          <cell r="A415" t="e">
            <v>#REF!</v>
          </cell>
        </row>
        <row r="416">
          <cell r="A416" t="e">
            <v>#REF!</v>
          </cell>
        </row>
        <row r="417">
          <cell r="A417" t="e">
            <v>#REF!</v>
          </cell>
        </row>
        <row r="418">
          <cell r="A418" t="e">
            <v>#REF!</v>
          </cell>
        </row>
        <row r="419">
          <cell r="A419" t="e">
            <v>#REF!</v>
          </cell>
        </row>
        <row r="420">
          <cell r="A420" t="e">
            <v>#REF!</v>
          </cell>
        </row>
        <row r="421">
          <cell r="A421" t="e">
            <v>#REF!</v>
          </cell>
        </row>
        <row r="422">
          <cell r="A422" t="e">
            <v>#REF!</v>
          </cell>
        </row>
        <row r="423">
          <cell r="A423" t="e">
            <v>#REF!</v>
          </cell>
        </row>
        <row r="424">
          <cell r="A424" t="e">
            <v>#REF!</v>
          </cell>
        </row>
        <row r="425">
          <cell r="A425" t="e">
            <v>#REF!</v>
          </cell>
        </row>
        <row r="426">
          <cell r="A426" t="e">
            <v>#REF!</v>
          </cell>
        </row>
        <row r="427">
          <cell r="A427" t="e">
            <v>#REF!</v>
          </cell>
        </row>
        <row r="428">
          <cell r="A428" t="e">
            <v>#REF!</v>
          </cell>
        </row>
        <row r="429">
          <cell r="A429" t="e">
            <v>#REF!</v>
          </cell>
        </row>
        <row r="430">
          <cell r="A430" t="e">
            <v>#REF!</v>
          </cell>
        </row>
        <row r="431">
          <cell r="A431" t="e">
            <v>#REF!</v>
          </cell>
        </row>
        <row r="432">
          <cell r="A432" t="e">
            <v>#REF!</v>
          </cell>
        </row>
        <row r="433">
          <cell r="A433" t="e">
            <v>#REF!</v>
          </cell>
        </row>
        <row r="434">
          <cell r="A434" t="e">
            <v>#REF!</v>
          </cell>
        </row>
        <row r="435">
          <cell r="A435" t="e">
            <v>#REF!</v>
          </cell>
        </row>
        <row r="436">
          <cell r="A436" t="e">
            <v>#REF!</v>
          </cell>
        </row>
        <row r="437">
          <cell r="A437" t="e">
            <v>#REF!</v>
          </cell>
        </row>
        <row r="438">
          <cell r="A438" t="e">
            <v>#REF!</v>
          </cell>
        </row>
        <row r="439">
          <cell r="A439" t="e">
            <v>#REF!</v>
          </cell>
        </row>
        <row r="440">
          <cell r="A440" t="e">
            <v>#REF!</v>
          </cell>
        </row>
        <row r="441">
          <cell r="A441" t="e">
            <v>#REF!</v>
          </cell>
        </row>
        <row r="442">
          <cell r="A442" t="e">
            <v>#REF!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"/>
      <sheetName val="본댐"/>
      <sheetName val="도수"/>
      <sheetName val="ssb"/>
      <sheetName val="증감"/>
      <sheetName val="토목"/>
      <sheetName val="국고"/>
      <sheetName val="발전"/>
      <sheetName val="건축"/>
      <sheetName val="건축내역"/>
      <sheetName val="기계"/>
      <sheetName val="전기"/>
      <sheetName val="통신"/>
      <sheetName val="집계"/>
      <sheetName val="챠트"/>
      <sheetName val="물가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수량산출"/>
      <sheetName val="8.PILE  (돌출)"/>
      <sheetName val="일위"/>
      <sheetName val="설계용지"/>
      <sheetName val="일위대가"/>
      <sheetName val="갑지"/>
      <sheetName val="수량총괄표"/>
      <sheetName val="단가 및 재료비"/>
      <sheetName val="중기사용료산출근거"/>
      <sheetName val="내역서 제출"/>
      <sheetName val="기본단가표"/>
      <sheetName val="내역서"/>
      <sheetName val="단가"/>
      <sheetName val="1.설계조건"/>
      <sheetName val="소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간지"/>
      <sheetName val="자재총괄"/>
      <sheetName val="시멘트레미콘구입량"/>
      <sheetName val="골재구입량"/>
      <sheetName val="3구조물공간지"/>
      <sheetName val="1집계표간지"/>
      <sheetName val="구조물공집계표"/>
      <sheetName val="토공집계표"/>
      <sheetName val="2여과지"/>
      <sheetName val="여과지집계표"/>
      <sheetName val="여과지"/>
      <sheetName val="여과지토적표"/>
      <sheetName val="3배수지"/>
      <sheetName val="배수지집계표"/>
      <sheetName val="배수지"/>
      <sheetName val="배수지토적표"/>
      <sheetName val="4염소투입실"/>
      <sheetName val="염소투입실집계표"/>
      <sheetName val="염소투입실공사"/>
      <sheetName val="지장물보호(수집)"/>
      <sheetName val="지장물산근"/>
      <sheetName val="지장물보호공단위수량"/>
      <sheetName val="표지"/>
      <sheetName val="총괄집계표"/>
      <sheetName val="재료집계표"/>
      <sheetName val="몰탈집계표"/>
      <sheetName val="포장집계표"/>
      <sheetName val="본선부집계"/>
      <sheetName val="TYPE별조서"/>
      <sheetName val="본선부산출"/>
      <sheetName val="진입부보도집계"/>
      <sheetName val="진입보도산출"/>
      <sheetName val="접속도로집계"/>
      <sheetName val="진입로집계"/>
      <sheetName val="진입로"/>
      <sheetName val="점자블럭집계"/>
      <sheetName val="점자블럭산출"/>
      <sheetName val="공제량집계"/>
      <sheetName val="공제량"/>
      <sheetName val="경계석총집계"/>
      <sheetName val="보차도수량집계"/>
      <sheetName val="보차도경계조서"/>
      <sheetName val="보차도산출"/>
      <sheetName val="도로경계석집계"/>
      <sheetName val="도로경계조서"/>
      <sheetName val="도로경계산출"/>
      <sheetName val="VXXX"/>
      <sheetName val="Recovered_Sheet1"/>
      <sheetName val="관로공집계"/>
      <sheetName val="수밀검사조서"/>
      <sheetName val="본관조서(PVC)"/>
      <sheetName val="PVC접합개소 산출서"/>
      <sheetName val="PVC이중벽관D300집계"/>
      <sheetName val="PVC이중벽관D300집계-OPEN"/>
      <sheetName val="PVCDC300단위집계-OPEN"/>
      <sheetName val="PVCDC300단위수량-OPEN"/>
      <sheetName val="PVC이중벽관D300집계-가설흙막이"/>
      <sheetName val="PVCDC300단위집계-가설흙막이"/>
      <sheetName val="PVCDC300단위수량-가설흙막이"/>
      <sheetName val="전체맨홀집계"/>
      <sheetName val="원형1호맨홀집계표"/>
      <sheetName val="오수맨홀조서"/>
      <sheetName val="원형1맨홀(무근)집계표"/>
      <sheetName val="원형1호맨홀(철근)집계표"/>
      <sheetName val="오수원형1호맨홀단위집계"/>
      <sheetName val="오수원형맨홀1호"/>
      <sheetName val="원형1호맨홀(철근)단위수량집계"/>
      <sheetName val="원형1호맨홀(철근)단위수량"/>
      <sheetName val="자재집계표"/>
      <sheetName val="주요자재집계표"/>
      <sheetName val="토공"/>
      <sheetName val="총괄토공집계"/>
      <sheetName val="시점부토공"/>
      <sheetName val="종점부토공"/>
      <sheetName val="교각토공"/>
      <sheetName val="총괄집계 "/>
      <sheetName val="총괄철근집계(1)"/>
      <sheetName val="총괄철근집계(2)"/>
      <sheetName val="구조물공"/>
      <sheetName val="본체집계"/>
      <sheetName val="본체철근집계"/>
      <sheetName val="날개벽철근집계 "/>
      <sheetName val="본체그림"/>
      <sheetName val="본체수량"/>
      <sheetName val="접속슬래브집계"/>
      <sheetName val="접속(시점)"/>
      <sheetName val="접속(종점)"/>
      <sheetName val="VXXXXX"/>
      <sheetName val="방음벽수량"/>
      <sheetName val="방음벽기초수량"/>
      <sheetName val="방음벽설치현황"/>
      <sheetName val="단위수량"/>
      <sheetName val="가설방음판넬"/>
      <sheetName val="가설방진망"/>
      <sheetName val="세륜세차시설"/>
      <sheetName val="가도수량집계"/>
      <sheetName val="가도토공"/>
      <sheetName val="가도포장수량집계표"/>
      <sheetName val="가포장조서"/>
      <sheetName val="가도단위수량"/>
      <sheetName val="가배수관"/>
      <sheetName val="골재덮개시설"/>
      <sheetName val="준공표지판집계"/>
      <sheetName val="경계표주집계(X)"/>
      <sheetName val="경계수량(X)"/>
      <sheetName val="경계표주단위수량(X)"/>
      <sheetName val="기존도로유지관리비"/>
      <sheetName val="식재공"/>
      <sheetName val="산림복구비"/>
      <sheetName val="가설건물"/>
      <sheetName val="가옥철거조서"/>
      <sheetName val="자재집계산출"/>
      <sheetName val="1.토총"/>
      <sheetName val="토적"/>
      <sheetName val="가정오수"/>
      <sheetName val="2.관로집"/>
      <sheetName val="관부설"/>
      <sheetName val="가정연결"/>
      <sheetName val="3.구조물집계"/>
      <sheetName val="맨홀높이"/>
      <sheetName val="맨홀2"/>
      <sheetName val="4.포장공"/>
      <sheetName val="관로"/>
      <sheetName val="가정연결관"/>
      <sheetName val="5.부대공"/>
      <sheetName val="(1)가시설공"/>
      <sheetName val="(2)경고"/>
      <sheetName val="(3)기타"/>
      <sheetName val="6.주요자재대"/>
      <sheetName val="7.폐기물"/>
      <sheetName val="토실"/>
      <sheetName val="1.토공집계"/>
      <sheetName val="2.관대집계표"/>
      <sheetName val="접합"/>
      <sheetName val="3.구조물공"/>
      <sheetName val="7.폐기물집계"/>
      <sheetName val="Sheet1"/>
      <sheetName val="일위대가"/>
      <sheetName val="조견표"/>
      <sheetName val="기계경비(일반)"/>
      <sheetName val="산출근거(마산, 만천, 가례)"/>
      <sheetName val="산출근거(남강)"/>
      <sheetName val="산출근거(가설도로 조성)"/>
      <sheetName val="산출근거(가설도로 성토다짐)"/>
      <sheetName val="산출근거(가설도로 살수)"/>
      <sheetName val="산출근거(가설도로 유지보수)"/>
      <sheetName val="세부내역"/>
      <sheetName val="건축명"/>
      <sheetName val="기계명"/>
      <sheetName val="전기명"/>
      <sheetName val="토목명"/>
      <sheetName val="식재"/>
      <sheetName val="시설물"/>
      <sheetName val="식재출력용"/>
      <sheetName val="유지관리"/>
      <sheetName val="단가"/>
      <sheetName val="조명시설"/>
      <sheetName val="내역"/>
      <sheetName val="차수별내역서"/>
      <sheetName val="변수값"/>
      <sheetName val="중기상차"/>
      <sheetName val="AS복구"/>
      <sheetName val="중기터파기"/>
      <sheetName val="공사설명서"/>
      <sheetName val="자재단가(완)"/>
      <sheetName val="노임단가(완)"/>
      <sheetName val="일위대가_목록"/>
      <sheetName val="일위대가(노임수정(완), 자재 및 물린단산수정필요)"/>
      <sheetName val="2007기계경비산출표(완)"/>
      <sheetName val="단가산출_목록"/>
      <sheetName val="단가산출서"/>
      <sheetName val="시험비 단가"/>
      <sheetName val="내역서"/>
      <sheetName val="일반화물자동차운임"/>
      <sheetName val="장비집계"/>
      <sheetName val="고양관재"/>
      <sheetName val="입찰"/>
      <sheetName val="현경"/>
      <sheetName val="진주방향"/>
      <sheetName val="총괄내역서"/>
      <sheetName val="SLAB"/>
      <sheetName val="데이타"/>
      <sheetName val="배수공총괄 집계표(횡)"/>
      <sheetName val="보차도경계석집계표(종)"/>
      <sheetName val="보차도경계석 조서"/>
      <sheetName val="보차도경계석단위량"/>
      <sheetName val="경계석집계표(종)"/>
      <sheetName val="경계석"/>
      <sheetName val="경계석단위량"/>
      <sheetName val="배수집계표(종)"/>
      <sheetName val="종배수관"/>
      <sheetName val="빗물받이집계"/>
      <sheetName val="빗물받이조서"/>
      <sheetName val="빗물받이단위량"/>
      <sheetName val="맨홀집계표 "/>
      <sheetName val="맨홀조서"/>
      <sheetName val="맨홀단위량"/>
      <sheetName val="터파기및재료"/>
      <sheetName val="#REF"/>
      <sheetName val="관경고용테이프수집"/>
      <sheetName val="관경고용산근"/>
      <sheetName val="상부집계표"/>
      <sheetName val="bearing"/>
      <sheetName val="연동내역"/>
      <sheetName val="관접합및부설"/>
      <sheetName val="구조물철거타공정이월"/>
      <sheetName val="가도공"/>
      <sheetName val="집계표"/>
      <sheetName val="실행대비"/>
      <sheetName val="도급"/>
      <sheetName val="교각1"/>
      <sheetName val="산출근거"/>
      <sheetName val="자료"/>
      <sheetName val="설계조건"/>
      <sheetName val="요율"/>
      <sheetName val="4차원가계산서"/>
      <sheetName val="우수받이"/>
      <sheetName val="Sheet1 (2)"/>
      <sheetName val="수량산출"/>
      <sheetName val="해평견적"/>
      <sheetName val="견적대비표"/>
      <sheetName val="관급자재대"/>
      <sheetName val="계산서(곡선부)"/>
      <sheetName val="포장재료집계표"/>
      <sheetName val="식재인부"/>
      <sheetName val="단가일람"/>
      <sheetName val="조경일람"/>
      <sheetName val="증감내역서"/>
      <sheetName val="우배수"/>
      <sheetName val="계산식"/>
      <sheetName val="guard(mac)"/>
      <sheetName val="수안보-MBR1"/>
      <sheetName val="공사"/>
      <sheetName val="수지표"/>
      <sheetName val="셀명"/>
      <sheetName val="1-4-2.관(약)"/>
      <sheetName val="레미콘"/>
      <sheetName val="pe이중벽관"/>
      <sheetName val="pe이중벽관 (우수)"/>
      <sheetName val="D100관"/>
      <sheetName val="D16"/>
      <sheetName val="D20"/>
      <sheetName val="D25"/>
      <sheetName val="D50"/>
      <sheetName val="D75,D100"/>
      <sheetName val="5.정산서"/>
      <sheetName val="값"/>
      <sheetName val="POOM_MOTO"/>
      <sheetName val="Sheet5"/>
      <sheetName val="Total"/>
      <sheetName val="설계명세서"/>
      <sheetName val="nys"/>
      <sheetName val="토공 total"/>
      <sheetName val="계정"/>
      <sheetName val="2.대외공문"/>
      <sheetName val="CON'C"/>
      <sheetName val="개별직종노임단가(2003.9)"/>
      <sheetName val="BID"/>
      <sheetName val="내역서(전기)"/>
      <sheetName val="총괄내역서(설계)"/>
      <sheetName val="고압수량(철거)"/>
      <sheetName val="데리네이타현황"/>
      <sheetName val="집수정(600-700)"/>
      <sheetName val="원가"/>
      <sheetName val="일위대가목차"/>
      <sheetName val="금액"/>
      <sheetName val="법면단"/>
      <sheetName val="건축내역"/>
      <sheetName val="P-산#1-1(WOWA1)"/>
      <sheetName val="잡비계산"/>
      <sheetName val="BD"/>
      <sheetName val="개산공사비"/>
      <sheetName val="일위대가표"/>
      <sheetName val="공사개요"/>
      <sheetName val="대로근거"/>
      <sheetName val="중로근거"/>
      <sheetName val="삭제및변경불가"/>
      <sheetName val="기초입력 DATA"/>
      <sheetName val="증감대비표(전체변경)"/>
      <sheetName val="원가계산서(공동+분담)"/>
      <sheetName val="원가계산서(공동)"/>
      <sheetName val="원가계산서(분담-지열)"/>
      <sheetName val="공종별증감대비표"/>
      <sheetName val="건축"/>
      <sheetName val="토목"/>
      <sheetName val="조경"/>
      <sheetName val="기계"/>
      <sheetName val="지열"/>
      <sheetName val="전차선로 물량표"/>
      <sheetName val="한강운반비"/>
      <sheetName val="자재"/>
      <sheetName val="공통(20-91)"/>
      <sheetName val="부대내역"/>
      <sheetName val="JUCK"/>
      <sheetName val="설 계"/>
      <sheetName val="보차도경계석"/>
      <sheetName val="기초계산(Pmax)"/>
      <sheetName val="신당동집계표"/>
      <sheetName val="정공공사"/>
      <sheetName val="노임단가"/>
      <sheetName val="2003상반기노임기준"/>
      <sheetName val="가점"/>
      <sheetName val="index"/>
      <sheetName val="etc"/>
      <sheetName val="data"/>
      <sheetName val="슬래브(유곡)"/>
      <sheetName val="2000,9월 일위"/>
      <sheetName val="공통단가"/>
      <sheetName val="단가조사"/>
      <sheetName val="코드표"/>
      <sheetName val="재료비"/>
      <sheetName val="운반비"/>
      <sheetName val="단가표"/>
      <sheetName val="지급자재"/>
      <sheetName val="-치수표(곡선부)"/>
      <sheetName val="용역비내역-진짜"/>
      <sheetName val="실행예산"/>
      <sheetName val="CODE"/>
      <sheetName val="L형 옹벽"/>
      <sheetName val="집수정단위수량600 "/>
      <sheetName val="S.중기사용료"/>
      <sheetName val="입력란"/>
      <sheetName val="HVAC"/>
      <sheetName val="물가자료"/>
      <sheetName val="석축설면"/>
      <sheetName val="법면설면"/>
      <sheetName val="석축단"/>
      <sheetName val="법면수집"/>
      <sheetName val="우각부보강"/>
      <sheetName val="토공연장"/>
      <sheetName val="노임단가(2009.상)"/>
      <sheetName val="10.1 중기기초단가"/>
      <sheetName val="ilch"/>
      <sheetName val="FOB발"/>
      <sheetName val="날개벽(시점좌측)"/>
      <sheetName val="세금자료"/>
      <sheetName val="노임"/>
      <sheetName val="수로BOX"/>
      <sheetName val="정부노임단가"/>
      <sheetName val="맨홀수량산출"/>
      <sheetName val="전기일위대가"/>
      <sheetName val="5.모델링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총괄집계_"/>
      <sheetName val="날개벽철근집계_"/>
      <sheetName val="PVC접합개소_산출서"/>
      <sheetName val="1_토공집계"/>
      <sheetName val="2_관대집계표"/>
      <sheetName val="3_구조물공"/>
      <sheetName val="4_포장공"/>
      <sheetName val="5_부대공"/>
      <sheetName val="6_주요자재대"/>
      <sheetName val="7_폐기물집계"/>
      <sheetName val="1_토총"/>
      <sheetName val="2_관로집"/>
      <sheetName val="3_구조물집계"/>
      <sheetName val="7_폐기물"/>
      <sheetName val="을"/>
      <sheetName val="영동(D)"/>
      <sheetName val="L_RPTB02_01"/>
      <sheetName val="일위대가(가설)"/>
      <sheetName val="설계예시"/>
      <sheetName val="일위산출"/>
      <sheetName val="건축내역서"/>
      <sheetName val="설비내역서"/>
      <sheetName val="전기내역서"/>
      <sheetName val="중기조종사 단위단가"/>
      <sheetName val="아파트 내역"/>
      <sheetName val="일위대가 "/>
      <sheetName val="토사(PE)"/>
      <sheetName val="70%"/>
      <sheetName val="산출"/>
      <sheetName val="파일의이용"/>
      <sheetName val="기본단가표"/>
      <sheetName val="공사요율"/>
      <sheetName val="실행내역"/>
      <sheetName val="8.석축단위(H=1.5M)"/>
      <sheetName val="★도급내역(2공구)"/>
      <sheetName val="부시수량"/>
      <sheetName val="전기"/>
      <sheetName val="설계예산서"/>
      <sheetName val="예산내역서"/>
      <sheetName val="비탈면보호공수량산출"/>
      <sheetName val="공사비"/>
      <sheetName val="설비"/>
      <sheetName val="교사기준면적(초등)"/>
      <sheetName val="매입세율"/>
      <sheetName val="유입부"/>
      <sheetName val="참고사항"/>
      <sheetName val="근로자자료입력"/>
      <sheetName val="고유코드_설계"/>
      <sheetName val="자압"/>
      <sheetName val="안전시설(수집)"/>
      <sheetName val="안전시설"/>
      <sheetName val="INPUT"/>
      <sheetName val="기본일위"/>
      <sheetName val="중기사용료"/>
      <sheetName val="Cost bd-&quot;A&quot;"/>
      <sheetName val="ABUT수량-A1"/>
      <sheetName val="조명율표"/>
      <sheetName val="기계경비(시간당)"/>
      <sheetName val="램머"/>
      <sheetName val="단가조사서"/>
      <sheetName val="1,2공구원가계산서"/>
      <sheetName val="2공구산출내역"/>
      <sheetName val="1공구산출내역서"/>
      <sheetName val="원가계산서"/>
      <sheetName val="기초코드"/>
      <sheetName val="총괄 내역서"/>
      <sheetName val="상호참고자료"/>
      <sheetName val="공사기본내용입력"/>
      <sheetName val="발주처자료입력"/>
      <sheetName val="회사기본자료"/>
      <sheetName val="하자보증자료"/>
      <sheetName val="기술자관련자료"/>
      <sheetName val="데크수량집계표 (3)"/>
      <sheetName val="수량(숲생태관람데크)"/>
      <sheetName val="수량(암석원관람데크)"/>
      <sheetName val="수량(개비자관람데크)"/>
      <sheetName val="만병초관람데크"/>
      <sheetName val="난간A"/>
      <sheetName val="난간B"/>
      <sheetName val="습지원관람데크"/>
      <sheetName val="전망대"/>
      <sheetName val="전망데크"/>
      <sheetName val="데크산책로A"/>
      <sheetName val="데크산책로B"/>
      <sheetName val="데크산책로C"/>
      <sheetName val="관람데크A"/>
      <sheetName val="관람데크B"/>
      <sheetName val="관람데크C"/>
      <sheetName val="입구계단A"/>
      <sheetName val="입구계단B"/>
      <sheetName val="입구계단C"/>
      <sheetName val="입구계단D"/>
      <sheetName val="입구계단E"/>
      <sheetName val="암석원관람데크"/>
      <sheetName val="숲생태관람데크"/>
      <sheetName val="개비자관람데크"/>
      <sheetName val="지장물보호공"/>
      <sheetName val="사다리-C"/>
      <sheetName val="상수가스보호"/>
      <sheetName val="통신보호"/>
      <sheetName val="전주지지대"/>
      <sheetName val="L형측구(화강석)"/>
      <sheetName val="L형측구(콘크리트)"/>
      <sheetName val="관보호공단위수량표"/>
      <sheetName val="오수받이뚜껑단위수량"/>
      <sheetName val="석축"/>
      <sheetName val="차액보증"/>
      <sheetName val="슬래브"/>
      <sheetName val="원가계산"/>
      <sheetName val="물가대비표"/>
      <sheetName val="Sheet2"/>
      <sheetName val="단면가정"/>
      <sheetName val="이토변실(A3-LINE)"/>
      <sheetName val="말뚝지지력산정"/>
      <sheetName val="1호맨홀토공"/>
      <sheetName val="자재단가"/>
      <sheetName val="경비단가"/>
      <sheetName val="Macro(차단기)"/>
      <sheetName val="전선 및 전선관"/>
      <sheetName val="BOX"/>
      <sheetName val="COPING"/>
      <sheetName val="b_balju"/>
      <sheetName val="품목"/>
      <sheetName val="3.하중산정4.지지력"/>
      <sheetName val="설계내역"/>
      <sheetName val="인건비 "/>
      <sheetName val="자재단가_사급"/>
      <sheetName val="중기적산목록"/>
      <sheetName val="T13(P68~72,78)"/>
      <sheetName val="기본"/>
      <sheetName val="골막이(야매)"/>
      <sheetName val="경  비 "/>
      <sheetName val="노무비"/>
      <sheetName val="설계"/>
      <sheetName val="일위대가(건축)"/>
      <sheetName val="가시설단위수량"/>
      <sheetName val="SORCE1"/>
      <sheetName val="공사명입력"/>
      <sheetName val="배수장토목공사비"/>
      <sheetName val="6PILE  (돌출)"/>
      <sheetName val="8.PILE  (돌출)"/>
      <sheetName val="D"/>
      <sheetName val="용수량(생활용수)"/>
      <sheetName val="Sheet17"/>
      <sheetName val="원형1호맨홀토공수량"/>
      <sheetName val="산출근거(마산,_만천,_가례)"/>
      <sheetName val="산출근거(가설도로_조성)"/>
      <sheetName val="산출근거(가설도로_성토다짐)"/>
      <sheetName val="산출근거(가설도로_살수)"/>
      <sheetName val="산출근거(가설도로_유지보수)"/>
      <sheetName val="일위대가(노임수정(완),_자재_및_물린단산수정필요)"/>
      <sheetName val="시험비_단가"/>
      <sheetName val="1-4-2_관(약)"/>
      <sheetName val="배수공총괄_집계표(횡)"/>
      <sheetName val="보차도경계석_조서"/>
      <sheetName val="맨홀집계표_"/>
      <sheetName val="Sheet1_(2)"/>
      <sheetName val="전차선로_물량표"/>
      <sheetName val="pe이중벽관_(우수)"/>
      <sheetName val="토목검측서"/>
      <sheetName val="BQ(실행)"/>
      <sheetName val="b_balju_cho"/>
      <sheetName val="평가데이터"/>
      <sheetName val="공구"/>
      <sheetName val="마산방향철근집계"/>
      <sheetName val="마산방향"/>
      <sheetName val="인건비"/>
      <sheetName val="단면A-A(TR)"/>
      <sheetName val="1.설계조건"/>
      <sheetName val="관경별내역서"/>
      <sheetName val="역T형"/>
      <sheetName val="깨기"/>
      <sheetName val="물가시세"/>
      <sheetName val="경상비"/>
      <sheetName val="갑지"/>
      <sheetName val="송장"/>
      <sheetName val="철근정산"/>
      <sheetName val="조건"/>
      <sheetName val="용소리교"/>
      <sheetName val="총계"/>
      <sheetName val="단위단가"/>
      <sheetName val="소비자가"/>
      <sheetName val="MOTOR"/>
      <sheetName val="내역서갑지"/>
      <sheetName val="내역서을지"/>
      <sheetName val="백호우계수"/>
      <sheetName val="산근터빈"/>
      <sheetName val="가감수량"/>
      <sheetName val="wall"/>
      <sheetName val="견적"/>
      <sheetName val="원가계산 (2)"/>
      <sheetName val="깨기 총괄"/>
      <sheetName val="APT"/>
      <sheetName val="상부공"/>
      <sheetName val="H-PILE수량집계"/>
      <sheetName val="단가및재료비"/>
      <sheetName val="산출근거1"/>
      <sheetName val="3BL공동구 수량"/>
      <sheetName val="기초단가"/>
      <sheetName val="s"/>
      <sheetName val="일반수량"/>
      <sheetName val="actual"/>
      <sheetName val="경산"/>
      <sheetName val="철콘"/>
      <sheetName val="인건-측정"/>
      <sheetName val="7월11일"/>
      <sheetName val="지수적용공사비내역서"/>
      <sheetName val="배수지집꓄표"/>
      <sheetName val="밀도포장수량집계표"/>
      <sheetName val="토공집계"/>
      <sheetName val="40단가산출서"/>
      <sheetName val="40집계"/>
      <sheetName val="입찰안"/>
      <sheetName val="위치조서"/>
      <sheetName val="pier(각형)"/>
      <sheetName val="노견단위수량"/>
      <sheetName val="산출내역서"/>
      <sheetName val="맨홀수량집계"/>
      <sheetName val="3련 BOX"/>
      <sheetName val="인천성심병원"/>
      <sheetName val="제잡비계산"/>
      <sheetName val="산출내역서집계표"/>
      <sheetName val="조작대(1연)"/>
      <sheetName val="가시설수량"/>
      <sheetName val="외천교"/>
      <sheetName val="2.고용보험료산출근거"/>
      <sheetName val="기초자료입력"/>
      <sheetName val="토적표"/>
      <sheetName val="배수공수집"/>
      <sheetName val="공사비증감"/>
      <sheetName val="입찰견적보고서"/>
      <sheetName val="내역서단가산출용"/>
      <sheetName val="내역서1999.8최종"/>
      <sheetName val="영업소산출근거"/>
      <sheetName val="기술자자료입력"/>
      <sheetName val="기기리스트"/>
      <sheetName val="통관-유입(벌어짐)유출(도수)"/>
      <sheetName val="Site Expenses"/>
      <sheetName val="SRC-B3U2"/>
      <sheetName val="배수공 주요자재 집계표"/>
      <sheetName val="J01"/>
      <sheetName val="내역서01"/>
      <sheetName val="SLAB&quot;1&quot;"/>
      <sheetName val="중부"/>
      <sheetName val="북부"/>
      <sheetName val="남부"/>
      <sheetName val="이월도표"/>
      <sheetName val="추적+궁합"/>
      <sheetName val="로또정석"/>
      <sheetName val="최근21회정석"/>
      <sheetName val="당첨금"/>
      <sheetName val="로또그림"/>
      <sheetName val="로또용어"/>
      <sheetName val="로또abc"/>
      <sheetName val="로또10계명"/>
      <sheetName val="Sheet7"/>
      <sheetName val="Sheet6"/>
      <sheetName val="Sheet4"/>
      <sheetName val="Sheet3 (2)"/>
      <sheetName val="원형맨홀수량"/>
      <sheetName val="계림(함평)"/>
      <sheetName val="노무"/>
      <sheetName val="강교(Sub)"/>
      <sheetName val="DATA1"/>
      <sheetName val="쌍송교"/>
      <sheetName val="99노임단가"/>
      <sheetName val="관경결정"/>
      <sheetName val="3연box"/>
      <sheetName val="산출1"/>
      <sheetName val="[고양관재.XLSŝ보차도경계석집계표(종)"/>
      <sheetName val="조건표"/>
      <sheetName val="청천내"/>
      <sheetName val="인부노임"/>
      <sheetName val="이름정의"/>
      <sheetName val="초기화면"/>
      <sheetName val="부대tu"/>
      <sheetName val="summary"/>
      <sheetName val="chart"/>
      <sheetName val="chart update"/>
      <sheetName val="남평1"/>
      <sheetName val="남평2"/>
      <sheetName val="남평3"/>
      <sheetName val="회동1"/>
      <sheetName val="회동2"/>
      <sheetName val="회동3"/>
      <sheetName val="회동4"/>
      <sheetName val="수목표준대가"/>
      <sheetName val="단가비교표"/>
      <sheetName val="노임단가명세표"/>
      <sheetName val="단가적용기준"/>
      <sheetName val="cal"/>
      <sheetName val="기존도수로깨기"/>
      <sheetName val="교각별철근수량집계표"/>
      <sheetName val="실행(ALT1)"/>
      <sheetName val="용수량_생활용수_"/>
      <sheetName val="공비대비"/>
      <sheetName val="3.2 3차처리시설"/>
      <sheetName val="자재집계"/>
      <sheetName val="설비동집계표-전체"/>
      <sheetName val="설비동집계"/>
      <sheetName val="설비동산근"/>
      <sheetName val="불인산저장조집계"/>
      <sheetName val="설비동-불인산저장조"/>
      <sheetName val="투자비"/>
      <sheetName val="조성원가DATA"/>
      <sheetName val="사업비"/>
      <sheetName val="기계경비적용기준"/>
      <sheetName val="자재수량"/>
      <sheetName val="내역서적용수량"/>
      <sheetName val="전기실(고압)"/>
      <sheetName val="접합 및 부설 "/>
      <sheetName val="직접경비"/>
      <sheetName val="직접인건비"/>
      <sheetName val="토공_total"/>
      <sheetName val="5.지반반력계수"/>
      <sheetName val="단가대비표"/>
      <sheetName val="순공사비"/>
      <sheetName val="기준표"/>
      <sheetName val="와동25-3(변경)"/>
      <sheetName val="개비온집계"/>
      <sheetName val="개비온 단위"/>
      <sheetName val="토목(대안)"/>
      <sheetName val="감시비교(자동제어비교)"/>
      <sheetName val="비계공사"/>
      <sheetName val="진천방향"/>
      <sheetName val="손익분석"/>
      <sheetName val="직공비"/>
      <sheetName val="type-F"/>
      <sheetName val="A1-DATA"/>
      <sheetName val="단면"/>
      <sheetName val="수량BOQ"/>
      <sheetName val="수량"/>
      <sheetName val="TOTAL_BOQ"/>
      <sheetName val="A-4"/>
      <sheetName val="공종목록표"/>
      <sheetName val="CT "/>
      <sheetName val="LP-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4">
          <cell r="B24" t="str">
            <v>수평곡관</v>
          </cell>
        </row>
      </sheetData>
      <sheetData sheetId="11"/>
      <sheetData sheetId="12"/>
      <sheetData sheetId="13"/>
      <sheetData sheetId="14">
        <row r="24">
          <cell r="B24" t="str">
            <v>수평곡관</v>
          </cell>
        </row>
      </sheetData>
      <sheetData sheetId="15"/>
      <sheetData sheetId="16"/>
      <sheetData sheetId="17"/>
      <sheetData sheetId="18">
        <row r="24">
          <cell r="B24" t="str">
            <v>수평곡관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1999.8최종"/>
      <sheetName val="수량"/>
      <sheetName val="중량"/>
      <sheetName val="인건비"/>
      <sheetName val="단가대비표"/>
      <sheetName val="공내역서"/>
      <sheetName val="견적대비표"/>
      <sheetName val="타동명"/>
      <sheetName val="타진명-갑지"/>
      <sheetName val="타진명-2"/>
      <sheetName val="타영시스템"/>
      <sheetName val="철거산출근거"/>
      <sheetName val="전기"/>
      <sheetName val="수량산출"/>
      <sheetName val="건축일위"/>
      <sheetName val="그라우팅일위"/>
      <sheetName val="노임단가"/>
      <sheetName val="수목단가"/>
      <sheetName val="시설수량표"/>
      <sheetName val="식재수량표"/>
      <sheetName val="일위목록"/>
      <sheetName val="갑지"/>
      <sheetName val="수량산출(음암)"/>
      <sheetName val="N賃率-職"/>
      <sheetName val="1안"/>
      <sheetName val="Sheet14"/>
      <sheetName val="Sheet13"/>
      <sheetName val="정공공사"/>
      <sheetName val="일위대가"/>
      <sheetName val="건축내역"/>
      <sheetName val="개산공사비"/>
      <sheetName val="집계표"/>
      <sheetName val="부대내역"/>
      <sheetName val="TEL"/>
      <sheetName val="안전장치"/>
      <sheetName val="내역서"/>
      <sheetName val="간이(갑)"/>
      <sheetName val="공사개요"/>
      <sheetName val="현장관리비"/>
      <sheetName val="단가 및 재료비"/>
      <sheetName val="단가산출2"/>
      <sheetName val="00노임기준"/>
      <sheetName val="I一般比"/>
      <sheetName val="기본일위"/>
      <sheetName val="자재단가"/>
      <sheetName val="94"/>
      <sheetName val="Sheet1"/>
      <sheetName val="#REF"/>
      <sheetName val="신우"/>
      <sheetName val="소비자가"/>
      <sheetName val="건축"/>
      <sheetName val="제잡비"/>
      <sheetName val="데이타"/>
      <sheetName val="토사(PE)"/>
      <sheetName val="기계경비산출기준"/>
      <sheetName val="원가계산서"/>
      <sheetName val="총 원가계산"/>
      <sheetName val="자료"/>
      <sheetName val="간선"/>
      <sheetName val="전압"/>
      <sheetName val="조도"/>
      <sheetName val="동력"/>
      <sheetName val="단가표"/>
      <sheetName val="건축명"/>
      <sheetName val="기계명"/>
      <sheetName val="전기명"/>
      <sheetName val="토목명"/>
      <sheetName val="실행철강하도"/>
      <sheetName val="순공사원가"/>
      <sheetName val="지수"/>
      <sheetName val="설계명세서"/>
      <sheetName val="기초자료입력"/>
      <sheetName val="48단가"/>
      <sheetName val="단가산출"/>
      <sheetName val="예산내역서(총괄)"/>
      <sheetName val="예산내역서"/>
      <sheetName val="공제대산출"/>
      <sheetName val="운반공사,공구손료"/>
      <sheetName val="단가"/>
      <sheetName val="예총"/>
      <sheetName val="6호기"/>
      <sheetName val="말뚝지지력산정"/>
      <sheetName val="성북내역서(종합)"/>
      <sheetName val="강교(Sub)"/>
      <sheetName val="영업2"/>
      <sheetName val="영업3"/>
      <sheetName val="GEN"/>
      <sheetName val="전체"/>
      <sheetName val="표지"/>
      <sheetName val="일위"/>
      <sheetName val="친환경주택"/>
      <sheetName val="Total"/>
      <sheetName val="품질시험비"/>
      <sheetName val="1_ 공통가설공사"/>
      <sheetName val="백암비스타내역"/>
      <sheetName val="을지"/>
      <sheetName val="토공개요"/>
      <sheetName val="토공(1)"/>
      <sheetName val="간선계산서"/>
      <sheetName val="금액내역서"/>
      <sheetName val="일(4)"/>
      <sheetName val="재료비"/>
      <sheetName val="식재인부"/>
      <sheetName val="공량서"/>
      <sheetName val="내역서1-2"/>
      <sheetName val="내역서 제출"/>
      <sheetName val="도체종-상수표"/>
      <sheetName val="data"/>
      <sheetName val="대치판정"/>
      <sheetName val="설계산출표지"/>
      <sheetName val="__MAIN"/>
      <sheetName val="T13(P68~72,78)"/>
      <sheetName val="공사비 증감 내역서"/>
      <sheetName val="건설기계"/>
      <sheetName val="노임"/>
      <sheetName val="본선및유치선"/>
      <sheetName val="경비"/>
      <sheetName val="시행후면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위대가목차"/>
      <sheetName val="건축명"/>
      <sheetName val="기계명"/>
      <sheetName val="전기명"/>
      <sheetName val="토목명"/>
      <sheetName val="2.대외공문"/>
      <sheetName val="정공공사"/>
      <sheetName val="노임단가"/>
      <sheetName val="내역서1999.8최종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계경비(시간당)"/>
      <sheetName val="램머"/>
      <sheetName val="일위대가"/>
      <sheetName val="설명"/>
      <sheetName val="기계경비_시간당_"/>
      <sheetName val="평가데이터"/>
      <sheetName val="청천내"/>
      <sheetName val="경산"/>
      <sheetName val="총괄내역서"/>
      <sheetName val="동원인원"/>
      <sheetName val="요율"/>
      <sheetName val="자재대"/>
      <sheetName val="작성"/>
      <sheetName val="데이타"/>
      <sheetName val="원가계산서"/>
      <sheetName val="구천"/>
      <sheetName val="설계예산서"/>
      <sheetName val="내역서"/>
      <sheetName val="산출물량"/>
      <sheetName val="일위대가표"/>
      <sheetName val="산출"/>
      <sheetName val="노임"/>
      <sheetName val="산출서"/>
      <sheetName val="2공구하도급내역서"/>
      <sheetName val="일위대가 "/>
      <sheetName val="남양구조시험동"/>
      <sheetName val="계정"/>
      <sheetName val="견적대비"/>
      <sheetName val="현장경상비"/>
      <sheetName val="내역"/>
      <sheetName val="현장경비"/>
      <sheetName val="전선 및 전선관"/>
      <sheetName val="DATE"/>
      <sheetName val="노무비"/>
      <sheetName val="방배동내역(리라)"/>
      <sheetName val="건축공사집계표"/>
      <sheetName val="방배동내역 (총괄)"/>
      <sheetName val="부대공사총괄"/>
      <sheetName val="예산내~1"/>
      <sheetName val="수량산출"/>
      <sheetName val="전기일위대가"/>
      <sheetName val="기초입력 DATA"/>
      <sheetName val="C1.공사개요"/>
      <sheetName val="내역서1"/>
      <sheetName val="102역사"/>
      <sheetName val="Sheet2 (2)"/>
      <sheetName val="공사착공계"/>
      <sheetName val="현장대리인위임장"/>
      <sheetName val="일위대가목차"/>
      <sheetName val="소요자재"/>
      <sheetName val="공사개요"/>
      <sheetName val="설계내역서"/>
      <sheetName val="계양가시설"/>
      <sheetName val="03전반노무비"/>
      <sheetName val="Y-WORK"/>
      <sheetName val="DATA1"/>
      <sheetName val="CABLE SIZE-1"/>
      <sheetName val="2.고용보험료산출근거"/>
      <sheetName val="물량산출"/>
      <sheetName val="전기"/>
      <sheetName val="Baby일위대가"/>
      <sheetName val="내역(토목)"/>
      <sheetName val="토목내역"/>
      <sheetName val="Sheet1"/>
      <sheetName val="예산내역서"/>
      <sheetName val="공사관리대장"/>
      <sheetName val="연결임시"/>
      <sheetName val="일반공사"/>
      <sheetName val="#REF"/>
      <sheetName val="수배전반"/>
      <sheetName val="말뚝지지력산정"/>
      <sheetName val="건축명"/>
      <sheetName val="기계명"/>
      <sheetName val="전기명"/>
      <sheetName val="토목명"/>
      <sheetName val="2.대외공문"/>
      <sheetName val="정공공사"/>
      <sheetName val="내역서1999.8최종"/>
      <sheetName val="기초자료입력"/>
      <sheetName val="준공정산"/>
      <sheetName val="산출1-수변전"/>
      <sheetName val="일위"/>
      <sheetName val="프랜트면허"/>
      <sheetName val="일위대가목록"/>
      <sheetName val="단가"/>
      <sheetName val="조경내역서"/>
      <sheetName val="공사원가계산서"/>
      <sheetName val="도급예산내역서총괄표"/>
      <sheetName val="70%"/>
      <sheetName val="04노무비"/>
      <sheetName val="1차 내역서"/>
      <sheetName val="식재인부"/>
      <sheetName val="공사비_NDE"/>
      <sheetName val="계림(함평)"/>
      <sheetName val="계림(장성)"/>
      <sheetName val="업무처리전"/>
      <sheetName val="단면가정"/>
      <sheetName val="설계조건"/>
      <sheetName val="투찰가"/>
      <sheetName val="06 일위대가목록"/>
      <sheetName val="집계표"/>
      <sheetName val="MCC제원"/>
      <sheetName val="출자한도"/>
      <sheetName val="1공구계약서"/>
      <sheetName val="양수장(기계)"/>
      <sheetName val="대상공사(조달청)"/>
      <sheetName val="자료(통합)"/>
      <sheetName val="예산M11A"/>
      <sheetName val="2003 일위대가"/>
      <sheetName val="토목공사"/>
      <sheetName val="도급예산내역서봉투"/>
      <sheetName val="설계산출표지"/>
      <sheetName val="을부담운반비"/>
      <sheetName val="운반비산출"/>
      <sheetName val="2000년1차"/>
      <sheetName val="명세서"/>
      <sheetName val="아파트 내역"/>
      <sheetName val="하수급견적대비"/>
      <sheetName val="상촌터널실행"/>
      <sheetName val="초기화면"/>
      <sheetName val="관급자재"/>
      <sheetName val="물가"/>
      <sheetName val="서대문대장"/>
      <sheetName val="직재"/>
      <sheetName val="물가대비표"/>
      <sheetName val="허용전류-IEC DATA"/>
      <sheetName val="DATA"/>
      <sheetName val="용역비내역-진짜"/>
      <sheetName val="기본자료"/>
      <sheetName val="노무비지급명세"/>
      <sheetName val="수량집계"/>
      <sheetName val="총괄집계표"/>
      <sheetName val="변수값"/>
      <sheetName val="해평견적"/>
      <sheetName val="설계산출기초"/>
      <sheetName val="전동기 특성표"/>
      <sheetName val="케이블단면적"/>
      <sheetName val="Sheet2"/>
      <sheetName val="Mc1"/>
      <sheetName val="설계명세서"/>
      <sheetName val="수주추정"/>
      <sheetName val="공종별 집계"/>
      <sheetName val="노임단가"/>
      <sheetName val="원가계산서 "/>
      <sheetName val="수로현황"/>
      <sheetName val="공구"/>
      <sheetName val="VII-2현장경비"/>
      <sheetName val="Ⅴ-2.공종별내역"/>
      <sheetName val="단가사정"/>
      <sheetName val="공사비집계"/>
      <sheetName val="부하(성남)"/>
      <sheetName val="부하계산서"/>
      <sheetName val="2회내역"/>
      <sheetName val="1회갑지"/>
      <sheetName val="보조부문비배부"/>
      <sheetName val="서울대규장각(가시설흙막이)"/>
      <sheetName val="갑지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토사(PE)"/>
      <sheetName val="토사(PE-역사이펀)"/>
      <sheetName val="토사(PE-관보호공 0.3)"/>
      <sheetName val="토사(PE-관보호공 1.0)"/>
      <sheetName val="토사(PE-토류벽)"/>
      <sheetName val="토사(PE,CON B=)"/>
      <sheetName val="토사(흄관)"/>
      <sheetName val="토사(흄관-토류벽)"/>
      <sheetName val="토사(BOX-토류벽)"/>
      <sheetName val="토사(흄관,CON B=)"/>
      <sheetName val="토사(PE-관보호공)"/>
      <sheetName val="DATE"/>
      <sheetName val="일위목록"/>
      <sheetName val="계정"/>
      <sheetName val="계수시트"/>
      <sheetName val="관로토공"/>
      <sheetName val="구조물공"/>
      <sheetName val="주차구획선수량"/>
      <sheetName val="조명시설"/>
      <sheetName val="기계경비"/>
      <sheetName val="우수관"/>
      <sheetName val="포장공"/>
      <sheetName val="조건표"/>
      <sheetName val="관급_File"/>
      <sheetName val="기별명세"/>
      <sheetName val="일위대가목차"/>
      <sheetName val="건축명"/>
      <sheetName val="기계명"/>
      <sheetName val="전기명"/>
      <sheetName val="토목명"/>
      <sheetName val="2.대외공문"/>
      <sheetName val="정공공사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요율"/>
      <sheetName val="보고자료"/>
      <sheetName val="내역(전기)"/>
      <sheetName val="원가계산"/>
      <sheetName val="사정율"/>
      <sheetName val="원가비교"/>
      <sheetName val="공사비조정내역"/>
      <sheetName val="관련기관연락처"/>
      <sheetName val="사전검토대비표"/>
      <sheetName val="사전검토보고서"/>
      <sheetName val="Sheet1"/>
      <sheetName val="DATE"/>
    </sheetNames>
    <sheetDataSet>
      <sheetData sheetId="0"/>
      <sheetData sheetId="1">
        <row r="10">
          <cell r="C10">
            <v>585321964</v>
          </cell>
        </row>
        <row r="11">
          <cell r="C11">
            <v>1200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요율"/>
      <sheetName val="보고자료"/>
      <sheetName val="내역(전기)"/>
      <sheetName val="원가계산"/>
      <sheetName val="사정율"/>
      <sheetName val="원가비교"/>
      <sheetName val="공사비조정내역"/>
      <sheetName val="관련기관연락처"/>
      <sheetName val="사전검토대비표"/>
      <sheetName val="사전검토보고서"/>
      <sheetName val="Sheet1"/>
      <sheetName val="DATE"/>
    </sheetNames>
    <sheetDataSet>
      <sheetData sheetId="0"/>
      <sheetData sheetId="1">
        <row r="10">
          <cell r="C10">
            <v>585321964</v>
          </cell>
        </row>
        <row r="11">
          <cell r="C11">
            <v>1200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상례공사명령"/>
      <sheetName val="설계산출기초"/>
      <sheetName val="공사원가계산서"/>
      <sheetName val="도급예산내역서총괄표"/>
      <sheetName val="적산전력계신설"/>
      <sheetName val="전선철거"/>
      <sheetName val="케이블신설"/>
      <sheetName val="도급예산내역서봉투"/>
      <sheetName val="설계산출표지"/>
      <sheetName val="을부담운반비"/>
      <sheetName val="운반비산출"/>
      <sheetName val="효성CB 1P기초"/>
      <sheetName val="원가계산서 "/>
      <sheetName val="별어곡,동남건널목건물철거"/>
      <sheetName val="DATE"/>
      <sheetName val="준검 내역서"/>
      <sheetName val="Sheet1"/>
      <sheetName val="계정"/>
      <sheetName val="일위대가목차"/>
      <sheetName val="건축명"/>
      <sheetName val="기계명"/>
      <sheetName val="전기명"/>
      <sheetName val="토목명"/>
      <sheetName val="2.대외공문"/>
      <sheetName val="요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철주철거8.8"/>
      <sheetName val="철주8.8M신설"/>
      <sheetName val="철주신11.3M용"/>
      <sheetName val="철주철11.3M용"/>
      <sheetName val="빔신5M하부용"/>
      <sheetName val="빔철거5M하부용"/>
      <sheetName val="빔신5M상부용"/>
      <sheetName val="빔철5M상부용"/>
      <sheetName val="DS가대철거"/>
      <sheetName val="주변압기"/>
      <sheetName val="단로기용기초"/>
      <sheetName val="O,PT,LA기초"/>
      <sheetName val="지지주용기초"/>
      <sheetName val="지지주신"/>
      <sheetName val="빔7M신"/>
      <sheetName val="OT용가대신"/>
      <sheetName val="모선신설"/>
      <sheetName val="모선철거"/>
      <sheetName val="LA용가대신"/>
      <sheetName val="PT가대신"/>
      <sheetName val="DS가대신"/>
      <sheetName val="철주기초"/>
      <sheetName val="닛신4P기초"/>
      <sheetName val="효성CB 1P기초"/>
      <sheetName val="Y-WORK"/>
      <sheetName val="분전함신설"/>
      <sheetName val="접지1종"/>
      <sheetName val="기계경비(시간당)"/>
      <sheetName val="램머"/>
      <sheetName val="조명율표"/>
      <sheetName val="설비"/>
      <sheetName val="산출금액내역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설계산출기초"/>
      <sheetName val="순공사비"/>
      <sheetName val="내역서"/>
      <sheetName val="노임"/>
      <sheetName val="DATE"/>
      <sheetName val="계정"/>
      <sheetName val="일위대가목차"/>
      <sheetName val="건축명"/>
      <sheetName val="기계명"/>
      <sheetName val="전기명"/>
      <sheetName val="토목명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  <sheetName val="일위목록"/>
      <sheetName val="호표"/>
      <sheetName val="자재단가"/>
      <sheetName val="노임단가"/>
      <sheetName val="기계경비(시간당)"/>
      <sheetName val="램머"/>
      <sheetName val="Y-WORK"/>
      <sheetName val="도급예산내역서봉투"/>
      <sheetName val="공사원가계산서"/>
      <sheetName val="설계산출표지"/>
      <sheetName val="도급예산내역서총괄표"/>
      <sheetName val="을부담운반비"/>
      <sheetName val="설계산출기초"/>
      <sheetName val="운반비산출"/>
      <sheetName val="DATE"/>
      <sheetName val="계정"/>
    </sheetNames>
    <sheetDataSet>
      <sheetData sheetId="0" refreshError="1"/>
      <sheetData sheetId="1">
        <row r="2">
          <cell r="C2" t="str">
            <v>규격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일위(PANEL)"/>
      <sheetName val="효성CB 1P기초"/>
      <sheetName val="기계경비(시간당)"/>
      <sheetName val="램머"/>
      <sheetName val="계수시트"/>
      <sheetName val="단가산출서"/>
      <sheetName val="CTEMCOST"/>
      <sheetName val="교사기준면적(초등)"/>
      <sheetName val="Y-WORK"/>
      <sheetName val="MOTOR"/>
      <sheetName val="일위대가 "/>
      <sheetName val="도급예산내역서봉투"/>
      <sheetName val="공사원가계산서"/>
      <sheetName val="설계산출표지"/>
      <sheetName val="도급예산내역서총괄표"/>
      <sheetName val="을부담운반비"/>
      <sheetName val="설계산출기초"/>
      <sheetName val="운반비산출"/>
      <sheetName val="관로공정"/>
      <sheetName val="조명율표"/>
      <sheetName val="경산"/>
      <sheetName val="KKK"/>
      <sheetName val="토사(PE)"/>
      <sheetName val="01"/>
      <sheetName val="수배전반"/>
      <sheetName val="총내역서"/>
      <sheetName val="설계예시"/>
      <sheetName val="내역서01"/>
      <sheetName val="파일의이용"/>
      <sheetName val="작업일보"/>
      <sheetName val="예산서"/>
      <sheetName val="구천"/>
      <sheetName val="산출금액내역"/>
      <sheetName val="빌딩 안내"/>
      <sheetName val="기초입력 DATA"/>
      <sheetName val="사급자재(1단계)"/>
      <sheetName val="#REF"/>
      <sheetName val="Sheet5"/>
      <sheetName val="경영상태"/>
      <sheetName val="견적업체"/>
      <sheetName val="집계표"/>
      <sheetName val="요율"/>
      <sheetName val="자재대"/>
      <sheetName val="간지"/>
      <sheetName val="견적단가"/>
      <sheetName val="전기"/>
      <sheetName val="기초작업"/>
      <sheetName val="설계서"/>
      <sheetName val="일위대가"/>
      <sheetName val="일위대가목차"/>
      <sheetName val="월래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직노"/>
      <sheetName val="공정율"/>
      <sheetName val="pldt"/>
      <sheetName val="건집"/>
      <sheetName val="건축"/>
      <sheetName val="기설집"/>
      <sheetName val="설집"/>
      <sheetName val="원가계산"/>
      <sheetName val="수정내역"/>
      <sheetName val="일위대가표"/>
      <sheetName val="실행내역"/>
      <sheetName val="XXXXXX"/>
      <sheetName val="VXXX"/>
      <sheetName val="진짜내역"/>
      <sheetName val="전시원"/>
      <sheetName val="전시내"/>
      <sheetName val="표"/>
      <sheetName val="목"/>
      <sheetName val="설 (3)"/>
      <sheetName val="설 (2)"/>
      <sheetName val="설"/>
      <sheetName val="일"/>
      <sheetName val="일집표"/>
      <sheetName val="일위표"/>
      <sheetName val="수표"/>
      <sheetName val="총집"/>
      <sheetName val="원가"/>
      <sheetName val="제작총집계표"/>
      <sheetName val="총경기장별내역서(10-11)"/>
      <sheetName val="경기장별내역서(12-107)"/>
      <sheetName val="내역서"/>
      <sheetName val="중기사용료"/>
      <sheetName val="재료단가"/>
      <sheetName val="노임단가"/>
      <sheetName val="내역"/>
      <sheetName val="기본일위"/>
      <sheetName val="J直材4"/>
      <sheetName val="I一般比"/>
      <sheetName val="재료"/>
      <sheetName val="기본단가표"/>
      <sheetName val="현장"/>
      <sheetName val="단가조사"/>
      <sheetName val="식재인부"/>
      <sheetName val="교통대책내역"/>
      <sheetName val="MAIN_TABLE"/>
      <sheetName val="백암비스타내역"/>
      <sheetName val="101동"/>
      <sheetName val="2000년1차"/>
      <sheetName val="2000전체분"/>
      <sheetName val="실행"/>
      <sheetName val="N賃率-職"/>
      <sheetName val="건축내역"/>
      <sheetName val="예산M11A"/>
      <sheetName val="출자한도"/>
      <sheetName val="일대-1"/>
      <sheetName val="단가산출"/>
      <sheetName val="Baby일위대가"/>
      <sheetName val="소비자가"/>
      <sheetName val="철거산출근거"/>
      <sheetName val="자료"/>
      <sheetName val="3BL공동구 수량"/>
      <sheetName val="공사개요(서광주)"/>
      <sheetName val="기초자료"/>
      <sheetName val="공사비총괄표"/>
      <sheetName val="asd"/>
      <sheetName val="적용토목"/>
      <sheetName val="6PILE  (돌출)"/>
      <sheetName val="지하"/>
      <sheetName val="골재산출"/>
      <sheetName val="영창26"/>
      <sheetName val="대공종"/>
      <sheetName val="AIR SHOWER(3인용)"/>
      <sheetName val="총괄표"/>
      <sheetName val="차수공개요"/>
      <sheetName val="본체"/>
      <sheetName val="5공철탑검토표"/>
      <sheetName val="4공철탑검토"/>
      <sheetName val="본공사"/>
      <sheetName val="설직재-1"/>
      <sheetName val="갑지"/>
      <sheetName val="내역서(중수)"/>
      <sheetName val="CAT_5"/>
      <sheetName val="단가비교표_공통1"/>
      <sheetName val="48전력선로일위"/>
      <sheetName val="단가표"/>
      <sheetName val="산근"/>
      <sheetName val="금액내역서"/>
      <sheetName val="철탑공사"/>
      <sheetName val="기초내역서"/>
      <sheetName val="수량산출"/>
      <sheetName val="대가목록표"/>
      <sheetName val="갑지(추정)"/>
      <sheetName val="산출근거"/>
      <sheetName val="LF자재단가"/>
      <sheetName val="지질조사"/>
      <sheetName val="교각별철근수량집계표"/>
      <sheetName val="산출내역서"/>
      <sheetName val="코드표"/>
      <sheetName val="Customer Databas"/>
      <sheetName val="스포회원매출"/>
      <sheetName val="재료비노무비"/>
      <sheetName val="당초"/>
      <sheetName val="물가자료"/>
      <sheetName val="데이타"/>
      <sheetName val="DATA"/>
      <sheetName val="토공(우물통,기타) "/>
      <sheetName val="교수설계"/>
      <sheetName val="공사직종별노임"/>
      <sheetName val="노임"/>
      <sheetName val="위생설비"/>
      <sheetName val="RE9604"/>
      <sheetName val="NYS"/>
      <sheetName val="단중표"/>
      <sheetName val="자재단가"/>
      <sheetName val="당진1,2호기전선관설치및접지4차공사내역서-을지"/>
      <sheetName val="식재수량표"/>
      <sheetName val="총괄"/>
      <sheetName val="집계"/>
      <sheetName val="공량집"/>
      <sheetName val="단가"/>
      <sheetName val="배부율"/>
      <sheetName val="완성1"/>
      <sheetName val="완성2"/>
      <sheetName val="산재비율"/>
      <sheetName val="안전비율"/>
      <sheetName val="일반비율"/>
      <sheetName val="공량"/>
      <sheetName val="VXXXXX"/>
      <sheetName val="적용대가"/>
      <sheetName val="지수내역"/>
      <sheetName val="노(97.1,97.9,98.1)"/>
      <sheetName val="입찰안"/>
      <sheetName val="내역서2안"/>
      <sheetName val=" HIT-&gt;HMC 견적(3900)"/>
      <sheetName val="예산"/>
      <sheetName val="Sheet6"/>
      <sheetName val="도급기성"/>
      <sheetName val="설비단가표"/>
      <sheetName val="연부97-1"/>
      <sheetName val="조건표"/>
      <sheetName val="자갈,시멘트,모래산출"/>
      <sheetName val="오수공수량집계표"/>
      <sheetName val="기술부대조건"/>
      <sheetName val="LEGEND"/>
      <sheetName val="원가 (2)"/>
      <sheetName val="특외대"/>
      <sheetName val="율촌법률사무소2내역"/>
      <sheetName val="식생블럭단위수량"/>
      <sheetName val="노임,재료비"/>
      <sheetName val="토공 total"/>
      <sheetName val="6호기"/>
      <sheetName val="금액집계"/>
      <sheetName val="102역사"/>
      <sheetName val="96정변2"/>
      <sheetName val="목록"/>
      <sheetName val="조명시설"/>
      <sheetName val="노무,재료"/>
      <sheetName val="견적"/>
      <sheetName val="일위대가(계측기설치)"/>
      <sheetName val="1.설계조건"/>
      <sheetName val="시설물기초"/>
      <sheetName val=" 냉각수펌프"/>
      <sheetName val="AHU집계"/>
      <sheetName val="중기"/>
      <sheetName val="ELEC"/>
      <sheetName val="9GNG운반"/>
      <sheetName val="N賃率_職"/>
      <sheetName val="내역(원안-대안)"/>
      <sheetName val="일반전기C"/>
      <sheetName val="조경일람"/>
      <sheetName val="사다리"/>
      <sheetName val="CIVIL4"/>
      <sheetName val="아파트건축"/>
      <sheetName val="공통가설공사"/>
      <sheetName val="본체철근표"/>
      <sheetName val="전기일위목록"/>
      <sheetName val="001"/>
      <sheetName val="단위내역서"/>
      <sheetName val="공사개요"/>
      <sheetName val="국내"/>
      <sheetName val="표지"/>
      <sheetName val="공통가설"/>
      <sheetName val="노무비"/>
      <sheetName val="데리네이타현황"/>
      <sheetName val="도급견적가"/>
      <sheetName val="guard(mac)"/>
      <sheetName val="부대공Ⅱ"/>
      <sheetName val="원가계산서"/>
      <sheetName val="견적서"/>
      <sheetName val="공조기휀"/>
      <sheetName val="시멘트"/>
      <sheetName val="수주추정"/>
      <sheetName val="제-노임"/>
      <sheetName val="제직재"/>
      <sheetName val="저"/>
      <sheetName val="설_(3)"/>
      <sheetName val="설_(2)"/>
      <sheetName val="3BL공동구_수량"/>
      <sheetName val="Customer_Databas"/>
      <sheetName val="토공_total"/>
      <sheetName val="_HIT-&gt;HMC_견적(3900)"/>
      <sheetName val="토공(우물통,기타)_"/>
      <sheetName val="AIR_SHOWER(3인용)"/>
      <sheetName val="노(97_1,97_9,98_1)"/>
      <sheetName val="6PILE__(돌출)"/>
      <sheetName val="원가_(2)"/>
      <sheetName val="제작비추산총괄표"/>
      <sheetName val="갑"/>
      <sheetName val="물량입력"/>
      <sheetName val="간접1"/>
      <sheetName val="장비가동"/>
      <sheetName val="원가서"/>
      <sheetName val="주beam"/>
      <sheetName val="적용단위길이"/>
      <sheetName val="피벗테이블데이터분석"/>
      <sheetName val="대치판정"/>
      <sheetName val="내역서1"/>
      <sheetName val="부하자료"/>
      <sheetName val="찍기"/>
      <sheetName val="일위목록"/>
      <sheetName val="역공종"/>
      <sheetName val="갑지1"/>
      <sheetName val="전선 및 전선관"/>
      <sheetName val="200"/>
      <sheetName val="DATE"/>
      <sheetName val="토공"/>
      <sheetName val="첨부1"/>
      <sheetName val="일위대가1"/>
      <sheetName val="청주(철골발주의뢰서)"/>
      <sheetName val="직재"/>
      <sheetName val="총수량집계표"/>
      <sheetName val="내역서 "/>
      <sheetName val="카메라"/>
      <sheetName val="일위(철거)"/>
      <sheetName val="내역(설계)"/>
      <sheetName val="물량표"/>
      <sheetName val="산출-설비"/>
      <sheetName val="토공집계표"/>
      <sheetName val="을지"/>
      <sheetName val="단"/>
      <sheetName val="기계공사비집계(원안)"/>
      <sheetName val="터파기및재료"/>
      <sheetName val="내역서 제출"/>
      <sheetName val="ITEM"/>
      <sheetName val="내역표지"/>
      <sheetName val="COST"/>
      <sheetName val="노 무 비"/>
      <sheetName val="연결관암거"/>
      <sheetName val="일위대가목록"/>
      <sheetName val="일위_파일"/>
      <sheetName val="약품공급2"/>
      <sheetName val="현장관리비"/>
      <sheetName val="원본"/>
      <sheetName val="Sheet7(ㅅ)"/>
      <sheetName val="백룡교차로"/>
      <sheetName val="산정교차로"/>
      <sheetName val="신영교차로"/>
      <sheetName val="E총15"/>
      <sheetName val="내역관리1"/>
      <sheetName val="내역서(기성청구)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3.2제조설비"/>
      <sheetName val="f산출"/>
      <sheetName val="하이테콤직원"/>
      <sheetName val="산출0"/>
      <sheetName val="금융비용"/>
      <sheetName val="콘크리트"/>
      <sheetName val="총괄집계표"/>
      <sheetName val="적용건축"/>
      <sheetName val="부대집계"/>
      <sheetName val="48단가"/>
      <sheetName val="설비"/>
      <sheetName val="관급_File"/>
      <sheetName val="세부내역"/>
      <sheetName val="점수계산1-2"/>
      <sheetName val="산출"/>
      <sheetName val="준검 내역서"/>
      <sheetName val="NO.1-NO12(설계예산서)"/>
      <sheetName val="인건비"/>
      <sheetName val="투찰금액"/>
      <sheetName val="프랜트면허"/>
      <sheetName val="손익분석"/>
      <sheetName val="관급단가"/>
      <sheetName val="전계가"/>
      <sheetName val="2.고용보험료산출근거"/>
      <sheetName val="ÀÏÀ§(PANEL)"/>
      <sheetName val="용역비내역-진짜"/>
      <sheetName val="2공구하도급내역서"/>
      <sheetName val="1공구 건정토건 철콘"/>
      <sheetName val="적용공정"/>
      <sheetName val="소방"/>
      <sheetName val="단위단가"/>
      <sheetName val="이형관"/>
      <sheetName val="동원인원"/>
      <sheetName val="1차 내역서"/>
      <sheetName val="공종"/>
      <sheetName val="22관계"/>
      <sheetName val="22기타(L,R)"/>
      <sheetName val="22전선계"/>
      <sheetName val="단가대비표"/>
      <sheetName val="대로근거"/>
      <sheetName val="설계내역2"/>
      <sheetName val="기초"/>
      <sheetName val="D"/>
      <sheetName val="설계예산서"/>
      <sheetName val="자재단가리스트"/>
      <sheetName val="하도급원가계산총괄표(식재)"/>
      <sheetName val="공사착공계"/>
      <sheetName val="sub"/>
      <sheetName val="반포2차"/>
      <sheetName val="J-EQ"/>
      <sheetName val="배수내역"/>
      <sheetName val="기흥하도용"/>
      <sheetName val="별표 "/>
      <sheetName val="차액보증"/>
      <sheetName val="구리토평1전기"/>
      <sheetName val="C.전기공사"/>
      <sheetName val="계약서"/>
      <sheetName val="노무비단가"/>
      <sheetName val="입력변수"/>
      <sheetName val="일위"/>
      <sheetName val="전기2005"/>
      <sheetName val="통신2005"/>
      <sheetName val="Inst."/>
      <sheetName val="01상노임"/>
      <sheetName val="2공구산출내역"/>
      <sheetName val="특별땅고르기"/>
      <sheetName val="노무비 근거"/>
      <sheetName val="상가분양"/>
      <sheetName val="INPUT"/>
      <sheetName val="직접공사비"/>
      <sheetName val="JUCKEYK"/>
      <sheetName val="건축원가"/>
      <sheetName val="#3_일위대가목록"/>
      <sheetName val="2000년 공정표"/>
      <sheetName val="기초일위"/>
      <sheetName val="설계조건"/>
      <sheetName val="별표"/>
      <sheetName val="1공구산출내역서"/>
      <sheetName val="지점장"/>
      <sheetName val="유기공정"/>
      <sheetName val="유림콘도"/>
      <sheetName val="암거단위"/>
      <sheetName val="단가대비표 (3)"/>
      <sheetName val="을"/>
      <sheetName val="접지수량"/>
      <sheetName val="내역서(삼호)"/>
      <sheetName val="출력은 금물"/>
      <sheetName val="일위대가(건축)"/>
      <sheetName val="간접비"/>
      <sheetName val="내역서적용수량"/>
      <sheetName val="가도공"/>
      <sheetName val="부대"/>
      <sheetName val="일위CODE"/>
      <sheetName val="gyun"/>
      <sheetName val="날개벽수량표"/>
      <sheetName val="자재표"/>
      <sheetName val="간접비계산"/>
      <sheetName val="전기내역"/>
      <sheetName val="신우"/>
      <sheetName val="유림총괄"/>
      <sheetName val="현장관리비참조"/>
      <sheetName val="민감도"/>
      <sheetName val="총괄내역"/>
      <sheetName val="예가표"/>
      <sheetName val="터널조도"/>
      <sheetName val="3본사"/>
      <sheetName val="봉방동근생"/>
      <sheetName val="기타 정보통신공사"/>
      <sheetName val="개요"/>
      <sheetName val="노임단가(08.01)"/>
      <sheetName val="청도공장"/>
      <sheetName val="세부내역서(전기)"/>
      <sheetName val="수량산출(생반)"/>
      <sheetName val="제경비율"/>
      <sheetName val="기본가정"/>
      <sheetName val="(1)본선수량집계"/>
      <sheetName val="청곡지선입력"/>
      <sheetName val="보증수수료산출"/>
      <sheetName val="화재 탐지 설비"/>
      <sheetName val="부대내역"/>
      <sheetName val="세골재  T2 변경 현황"/>
      <sheetName val="통합집계표"/>
      <sheetName val="단가일람"/>
      <sheetName val="갑지.을지"/>
      <sheetName val="실행철강하도"/>
      <sheetName val="BID"/>
      <sheetName val="일위대가(1)"/>
      <sheetName val="작성"/>
      <sheetName val="그림"/>
      <sheetName val="그림2"/>
      <sheetName val="포승중환경개선공사(변경)"/>
      <sheetName val="철근중량"/>
      <sheetName val="ABUT수량-A1"/>
      <sheetName val="처리단락"/>
      <sheetName val="건축부하"/>
      <sheetName val="약전닥트"/>
      <sheetName val="일지-H"/>
      <sheetName val="김포IO"/>
      <sheetName val="LD"/>
      <sheetName val="FA설치명세"/>
      <sheetName val="단가 "/>
      <sheetName val="COVER"/>
      <sheetName val="ESCO개보수공사"/>
      <sheetName val="Uint보온"/>
      <sheetName val="재집"/>
      <sheetName val="교각1"/>
      <sheetName val="설계"/>
      <sheetName val="품셈"/>
      <sheetName val="Macro1"/>
      <sheetName val="전체"/>
      <sheetName val="0Title"/>
      <sheetName val="추가예산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하계산서"/>
      <sheetName val="가로등조도계산"/>
      <sheetName val="조도계산서"/>
      <sheetName val="전압강하"/>
      <sheetName val="등가거리"/>
      <sheetName val="TR계산서"/>
      <sheetName val="동력부하"/>
      <sheetName val="발전기계산서"/>
      <sheetName val="허용전류치"/>
      <sheetName val="A4산출서(1)"/>
      <sheetName val="A4산출서(2)"/>
      <sheetName val="표지"/>
      <sheetName val="기계경비(시간당)"/>
      <sheetName val="램머"/>
      <sheetName val="효성CB 1P기초"/>
      <sheetName val="일위목록"/>
      <sheetName val="토사(PE)"/>
      <sheetName val="Y-WORK"/>
      <sheetName val="도급예산내역서봉투"/>
      <sheetName val="공사원가계산서"/>
      <sheetName val="설계산출표지"/>
      <sheetName val="도급예산내역서총괄표"/>
      <sheetName val="을부담운반비"/>
      <sheetName val="설계산출기초"/>
      <sheetName val="운반비산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토사(PE)"/>
      <sheetName val="토사(PE-토류벽)"/>
      <sheetName val="토사(흄관)"/>
      <sheetName val="토사(흄관-토류벽)"/>
      <sheetName val="토사(BOX-토류벽)"/>
      <sheetName val="토사(PE-관보호공)"/>
      <sheetName val="토사(PE,CON B=)"/>
      <sheetName val="토사(흄관,CON B=)"/>
      <sheetName val="토사(PE-역사이펀)"/>
      <sheetName val="토사(PE-관보호공 0.3)"/>
      <sheetName val="토사(PE-관보호공 1.0)"/>
      <sheetName val="일위목록"/>
      <sheetName val="효성CB 1P기초"/>
      <sheetName val="기계경비(시간당)"/>
      <sheetName val="램머"/>
      <sheetName val="Y-WORK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안전보호책"/>
      <sheetName val="토사(PE)"/>
      <sheetName val="#REF"/>
      <sheetName val="일위목록"/>
      <sheetName val="효성CB 1P기초"/>
      <sheetName val="기계경비(시간당)"/>
      <sheetName val="램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"/>
      <sheetName val="INPUTBOX"/>
      <sheetName val="요율금액"/>
      <sheetName val="갑지"/>
      <sheetName val="집계표"/>
      <sheetName val="전자정보관"/>
      <sheetName val="일반행정업무 서비스"/>
      <sheetName val="대민업무 서비스"/>
      <sheetName val="멀티미디어 서비스"/>
      <sheetName val="검색서비스"/>
      <sheetName val="전화교환서비스"/>
      <sheetName val="LAN"/>
      <sheetName val="CATV"/>
      <sheetName val="AV서비스"/>
      <sheetName val="Security"/>
      <sheetName val="통합배선"/>
      <sheetName val="CCTV서비스"/>
      <sheetName val="change"/>
      <sheetName val="소일위대가코드표"/>
      <sheetName val="직노"/>
      <sheetName val="C1ㅇ"/>
      <sheetName val="예산내역서(LG)"/>
      <sheetName val="기존단가 (2)"/>
      <sheetName val="9509"/>
      <sheetName val="금액결정"/>
      <sheetName val="부표총괄"/>
      <sheetName val="설직재-1"/>
      <sheetName val="Sheet2"/>
      <sheetName val="일위대가"/>
      <sheetName val="SORCE1"/>
      <sheetName val="토사(PE)"/>
      <sheetName val="일위목록"/>
      <sheetName val="효성CB 1P기초"/>
      <sheetName val="기계경비(시간당)"/>
      <sheetName val="램머"/>
      <sheetName val="견적을지"/>
      <sheetName val="견적"/>
      <sheetName val="단가표"/>
      <sheetName val="기초일위"/>
      <sheetName val="시설일위"/>
      <sheetName val="조명일위"/>
      <sheetName val="내역서"/>
      <sheetName val="2.대외공문"/>
      <sheetName val="계정"/>
      <sheetName val="원가계산서(남측)"/>
      <sheetName val="3"/>
      <sheetName val="database"/>
      <sheetName val="교량하부공"/>
      <sheetName val="부대토목"/>
      <sheetName val="수량산출"/>
      <sheetName val="기계"/>
      <sheetName val="정화조"/>
      <sheetName val="조경"/>
      <sheetName val="토목"/>
      <sheetName val="기본일위"/>
      <sheetName val="내역서(교량)전체"/>
      <sheetName val="기계경비단가"/>
      <sheetName val="복구경비"/>
      <sheetName val="국내조달(통합-1)"/>
      <sheetName val="G.R300경비"/>
      <sheetName val="(실사조정)총괄"/>
      <sheetName val="APT"/>
      <sheetName val="정공공사"/>
      <sheetName val="일반행정업무_서비스"/>
      <sheetName val="대민업무_서비스"/>
      <sheetName val="멀티미디어_서비스"/>
      <sheetName val="노임단가표"/>
      <sheetName val="금광1터널"/>
      <sheetName val="노임"/>
      <sheetName val="내역"/>
      <sheetName val="구조물공"/>
      <sheetName val="부대공"/>
      <sheetName val="배수공"/>
      <sheetName val="토공"/>
      <sheetName val="포장공"/>
      <sheetName val="2000년1차"/>
      <sheetName val="FACTOR"/>
      <sheetName val="대로근거"/>
      <sheetName val="중로근거"/>
      <sheetName val="말뚝지지력산정"/>
      <sheetName val=""/>
    </sheetNames>
    <definedNames>
      <definedName name="굵기"/>
      <definedName name="돌아가_교통"/>
      <definedName name="돌아가기"/>
      <definedName name="등가도움"/>
      <definedName name="연접도움말"/>
      <definedName name="전선_관"/>
      <definedName name="전압강하가기"/>
      <definedName name="터파기계산"/>
    </defined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도급예산"/>
      <sheetName val="가공전선조정 "/>
      <sheetName val="가공전선철거"/>
      <sheetName val="가공전선신설"/>
      <sheetName val="케이블신설38"/>
      <sheetName val="전주신설10m"/>
      <sheetName val="전주철거9m"/>
      <sheetName val="전주철거12m "/>
      <sheetName val="전주철거14m "/>
      <sheetName val="지주철거10m "/>
      <sheetName val="지선신설1방"/>
      <sheetName val="지선철거1방"/>
      <sheetName val="AS신설7.2 "/>
      <sheetName val="AS이설7.2 "/>
      <sheetName val="접속함 신설"/>
      <sheetName val="피뢰기이설7.2"/>
      <sheetName val="접지장치제1종"/>
      <sheetName val="접지장치제1종 (2)"/>
      <sheetName val="예비"/>
      <sheetName val="지선철거2방 인유"/>
      <sheetName val="AS재사용철거"/>
      <sheetName val="피뢰기철거9"/>
      <sheetName val="가공지선조정 (2)"/>
      <sheetName val="가공지선철거"/>
      <sheetName val="인건비 "/>
      <sheetName val="국내조달(통합-1)"/>
      <sheetName val="3"/>
      <sheetName val="사본 - 인공"/>
      <sheetName val="남대문빌딩"/>
      <sheetName val="원가계산서(남측)"/>
      <sheetName val="관급"/>
      <sheetName val="직노"/>
      <sheetName val="단가"/>
      <sheetName val="Sheet4"/>
      <sheetName val="Baby일위대가"/>
      <sheetName val="내역서"/>
      <sheetName val=" 내역"/>
      <sheetName val="노무비"/>
      <sheetName val="대비"/>
      <sheetName val="토사(PE)"/>
      <sheetName val="일위목록"/>
      <sheetName val="효성CB 1P기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안전시설(수집)"/>
      <sheetName val="안전시설"/>
      <sheetName val="표지"/>
      <sheetName val="1.토총"/>
      <sheetName val="토적"/>
      <sheetName val="가정오수"/>
      <sheetName val="2.관로집"/>
      <sheetName val="관부설"/>
      <sheetName val="가정연결"/>
      <sheetName val="3.구조물집계"/>
      <sheetName val="맨홀높이"/>
      <sheetName val="맨홀2"/>
      <sheetName val="4.포장공"/>
      <sheetName val="관로"/>
      <sheetName val="가정연결관"/>
      <sheetName val="5.부대공"/>
      <sheetName val="(1)가시설공"/>
      <sheetName val="(2)경고"/>
      <sheetName val="(3)기타"/>
      <sheetName val="6.주요자재대"/>
      <sheetName val="7.폐기물"/>
      <sheetName val="토실"/>
      <sheetName val="일위목록"/>
      <sheetName val="인건비 "/>
      <sheetName val="터파기및재료"/>
      <sheetName val="조건표"/>
      <sheetName val="신당동집계표"/>
      <sheetName val="토사(PE)"/>
      <sheetName val="고양관재"/>
      <sheetName val="설계명세서"/>
      <sheetName val="설비"/>
      <sheetName val="요율"/>
      <sheetName val="자재대"/>
      <sheetName val="경산"/>
      <sheetName val="부대tu"/>
      <sheetName val="Sheet1"/>
      <sheetName val="중기손료"/>
      <sheetName val="내역"/>
      <sheetName val="토공"/>
      <sheetName val="수로BOX"/>
      <sheetName val="관로토공"/>
      <sheetName val="데이타"/>
      <sheetName val="교량하부공"/>
      <sheetName val="1호인버트수량"/>
      <sheetName val="코드표"/>
      <sheetName val="자재코드"/>
      <sheetName val="WORK"/>
      <sheetName val="남평내역"/>
      <sheetName val="기계경비(시간당)"/>
      <sheetName val="램머"/>
      <sheetName val="토목"/>
      <sheetName val="일위대가표"/>
      <sheetName val="조명시설"/>
      <sheetName val="내역서01"/>
      <sheetName val="배수공"/>
      <sheetName val="측구공"/>
      <sheetName val="일위대가 1"/>
      <sheetName val="설계내역서"/>
      <sheetName val="산거 1(인력투입)"/>
      <sheetName val="일위대가 2"/>
      <sheetName val="일위대가 3"/>
      <sheetName val="토공(우물통,기타) "/>
      <sheetName val="데이터"/>
      <sheetName val="초기화면"/>
      <sheetName val="구분표"/>
      <sheetName val="2호맨홀공제수량"/>
      <sheetName val="공종"/>
      <sheetName val="G.R300경비"/>
      <sheetName val="맨홀수량산출(A-LINE)"/>
      <sheetName val="투입집계표"/>
      <sheetName val="이형관재료표(A-L)"/>
      <sheetName val="맨홀수량산출"/>
    </sheetNames>
    <sheetDataSet>
      <sheetData sheetId="0" refreshError="1">
        <row r="61">
          <cell r="I61" t="str">
            <v>×</v>
          </cell>
        </row>
        <row r="62">
          <cell r="I62" t="str">
            <v>×</v>
          </cell>
        </row>
        <row r="63">
          <cell r="I63" t="str">
            <v>×</v>
          </cell>
        </row>
        <row r="64">
          <cell r="I64" t="str">
            <v>×</v>
          </cell>
        </row>
        <row r="65">
          <cell r="I65" t="str">
            <v>×</v>
          </cell>
        </row>
        <row r="66">
          <cell r="I66" t="str">
            <v>×</v>
          </cell>
        </row>
        <row r="67">
          <cell r="I67" t="str">
            <v>×</v>
          </cell>
        </row>
        <row r="68">
          <cell r="I68" t="str">
            <v>×</v>
          </cell>
        </row>
        <row r="69">
          <cell r="I69" t="str">
            <v>×</v>
          </cell>
        </row>
        <row r="70">
          <cell r="I70" t="str">
            <v>×</v>
          </cell>
        </row>
        <row r="71">
          <cell r="I71" t="str">
            <v>×</v>
          </cell>
        </row>
        <row r="72">
          <cell r="I72" t="str">
            <v>×</v>
          </cell>
        </row>
        <row r="73">
          <cell r="I73" t="str">
            <v>×</v>
          </cell>
        </row>
        <row r="74">
          <cell r="I74" t="str">
            <v>×</v>
          </cell>
        </row>
        <row r="75">
          <cell r="I75" t="str">
            <v>×</v>
          </cell>
        </row>
        <row r="76">
          <cell r="I76" t="str">
            <v>×</v>
          </cell>
        </row>
        <row r="77">
          <cell r="I77" t="str">
            <v>×</v>
          </cell>
        </row>
        <row r="78">
          <cell r="I78" t="str">
            <v>×</v>
          </cell>
        </row>
        <row r="79">
          <cell r="I79" t="str">
            <v>×</v>
          </cell>
        </row>
        <row r="80">
          <cell r="I80" t="str">
            <v>×</v>
          </cell>
        </row>
        <row r="81">
          <cell r="I81" t="str">
            <v>×</v>
          </cell>
        </row>
        <row r="82">
          <cell r="I82" t="str">
            <v>×</v>
          </cell>
        </row>
        <row r="83">
          <cell r="I83" t="str">
            <v>×</v>
          </cell>
        </row>
        <row r="84">
          <cell r="I84" t="str">
            <v>×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물량집계표"/>
      <sheetName val="도로총"/>
      <sheetName val="건설기계단가"/>
      <sheetName val="조건적용"/>
      <sheetName val="도자거리"/>
      <sheetName val="운반자료"/>
      <sheetName val="시간당사용료"/>
      <sheetName val="중기시간당목록표"/>
      <sheetName val="노임단가"/>
      <sheetName val="운반단가산출"/>
      <sheetName val="운반단가집계표 "/>
      <sheetName val="중기대수"/>
      <sheetName val="시험비"/>
      <sheetName val="인원산출"/>
      <sheetName val="단가산출"/>
      <sheetName val="단가집계표"/>
      <sheetName val="자재단가"/>
      <sheetName val="Sheet3"/>
      <sheetName val="DATE"/>
      <sheetName val="인건비 "/>
      <sheetName val="음촌보완(잡)"/>
      <sheetName val="토사(PE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RCE1"/>
      <sheetName val="단위수량"/>
      <sheetName val="가시설단위수량"/>
      <sheetName val="노임단가"/>
      <sheetName val="DATE"/>
      <sheetName val="인건비 "/>
      <sheetName val="sorce"/>
      <sheetName val="토사(PE)"/>
      <sheetName val="2.대외공문"/>
      <sheetName val="남양구조시험동"/>
    </sheetNames>
    <sheetDataSet>
      <sheetData sheetId="0">
        <row r="2">
          <cell r="AQ2">
            <v>1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자재집계표"/>
      <sheetName val="배수공총괄수량집계표"/>
      <sheetName val="BOX총괄집계"/>
      <sheetName val="도수로총괄집계"/>
      <sheetName val="GABION옹벽 총괄집계"/>
      <sheetName val="부대공총괄"/>
      <sheetName val="토공총괄집계"/>
      <sheetName val="SORCE1"/>
      <sheetName val="갑지"/>
      <sheetName val="집계표"/>
      <sheetName val="노임단가"/>
      <sheetName val="9509"/>
      <sheetName val="여과지동"/>
      <sheetName val="기초자료"/>
      <sheetName val="제목"/>
      <sheetName val="자재"/>
      <sheetName val="관로토공"/>
      <sheetName val="제수변실토공"/>
      <sheetName val="공기변실토공"/>
      <sheetName val="펌프실토공"/>
      <sheetName val="제수변실"/>
      <sheetName val="공기변실"/>
      <sheetName val="제수변보호통"/>
      <sheetName val="지상식소화전"/>
      <sheetName val="펌프실"/>
      <sheetName val="수량양식"/>
      <sheetName val="DATE"/>
      <sheetName val="인건비 "/>
      <sheetName val="총괄수량집계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-WORK"/>
      <sheetName val="갑지"/>
      <sheetName val="집계표"/>
      <sheetName val="부안일위"/>
      <sheetName val="SORCE1"/>
      <sheetName val="9509"/>
      <sheetName val="여과지동"/>
      <sheetName val="기초자료"/>
      <sheetName val="노임단가"/>
      <sheetName val="D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9811"/>
      <sheetName val="갑지"/>
      <sheetName val="집계표"/>
      <sheetName val="SORCE1"/>
      <sheetName val="9509"/>
      <sheetName val="여과지동"/>
      <sheetName val="기초자료"/>
      <sheetName val="노임단가"/>
      <sheetName val="DAT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우수공총괄수량집계표"/>
      <sheetName val="우수관로수량집계표"/>
      <sheetName val="우수관로토공수량집계표"/>
      <sheetName val="맨홀총집계"/>
      <sheetName val="원형1집계"/>
      <sheetName val="원형2집계"/>
      <sheetName val="집수정집계"/>
      <sheetName val="날개집계"/>
      <sheetName val="U형측구집계"/>
      <sheetName val="부안일위"/>
      <sheetName val="9811"/>
      <sheetName val="갑지"/>
      <sheetName val="집계표"/>
      <sheetName val="SORCE1"/>
      <sheetName val="9509"/>
      <sheetName val="여과지동"/>
      <sheetName val="기초자료"/>
      <sheetName val="노임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옥외보안등"/>
      <sheetName val="전기실"/>
      <sheetName val="전력간선"/>
      <sheetName val="동력설비"/>
      <sheetName val="전등설비"/>
      <sheetName val="전열공사"/>
      <sheetName val="피뢰침설비"/>
      <sheetName val="SNOW"/>
      <sheetName val="주차관제"/>
      <sheetName val="자탐.유도등"/>
      <sheetName val="전화설비"/>
      <sheetName val="TV설비"/>
      <sheetName val="방송설비"/>
      <sheetName val="강당음향"/>
      <sheetName val="CCTV"/>
      <sheetName val="무선통신"/>
      <sheetName val="전기내역서"/>
      <sheetName val="통신내역서"/>
      <sheetName val="전기지급자재"/>
      <sheetName val="통신지급자재"/>
      <sheetName val="감독차량비"/>
      <sheetName val="원가계산"/>
      <sheetName val="총괄표"/>
      <sheetName val="노무비"/>
      <sheetName val="일위목록"/>
      <sheetName val="요율"/>
      <sheetName val="20관리비율"/>
      <sheetName val="9811"/>
      <sheetName val="98수문일위"/>
      <sheetName val="제직재"/>
      <sheetName val="부안일위"/>
      <sheetName val="경북"/>
      <sheetName val="갑지"/>
      <sheetName val="집계표"/>
      <sheetName val="SORCE1"/>
      <sheetName val="노임단가"/>
      <sheetName val="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2">
          <cell r="B2">
            <v>53181</v>
          </cell>
        </row>
        <row r="8">
          <cell r="B8">
            <v>70804</v>
          </cell>
        </row>
        <row r="10">
          <cell r="B10">
            <v>73709</v>
          </cell>
        </row>
        <row r="12">
          <cell r="B12">
            <v>103707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내역서(1)"/>
      <sheetName val="설계내역서(1)"/>
      <sheetName val="관리.처리시설동간략내역서"/>
      <sheetName val="#REF"/>
      <sheetName val="노무비"/>
      <sheetName val="부안일위"/>
      <sheetName val="9811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"/>
      <sheetName val="#REF"/>
      <sheetName val="노무비"/>
      <sheetName val="IL-3"/>
      <sheetName val="부안일위"/>
      <sheetName val="단가대비"/>
      <sheetName val="일위대가(가설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원가 (2)"/>
      <sheetName val="원가"/>
      <sheetName val="재집"/>
      <sheetName val="직재"/>
      <sheetName val="소요량"/>
      <sheetName val="간재"/>
      <sheetName val="용접재료"/>
      <sheetName val="간재비율"/>
      <sheetName val="작업설"/>
      <sheetName val="단가"/>
      <sheetName val="노집"/>
      <sheetName val="노무"/>
      <sheetName val="공수"/>
      <sheetName val="간노"/>
      <sheetName val="임금"/>
      <sheetName val="임율"/>
      <sheetName val="경비"/>
      <sheetName val="배부"/>
      <sheetName val="조정액"/>
      <sheetName val="일반"/>
      <sheetName val="일반관리비"/>
      <sheetName val="이윤"/>
      <sheetName val="이윤율"/>
      <sheetName val="손익"/>
      <sheetName val="제조"/>
      <sheetName val="기업"/>
      <sheetName val="운반비"/>
      <sheetName val="삭제소요량"/>
      <sheetName val="총괄"/>
      <sheetName val="가설대가"/>
      <sheetName val="토공대가"/>
      <sheetName val="구조대가"/>
      <sheetName val="포설대가1"/>
      <sheetName val="부대대가"/>
      <sheetName val="제직재"/>
      <sheetName val="일위대가목록"/>
      <sheetName val="일위대가"/>
      <sheetName val="C-직노1"/>
      <sheetName val="D-경비1"/>
      <sheetName val="일위대가 집계표"/>
      <sheetName val="실행내역"/>
      <sheetName val="직노"/>
      <sheetName val="6PILE  (돌출)"/>
      <sheetName val="N賃率_職"/>
      <sheetName val="70%"/>
      <sheetName val="건축내역"/>
      <sheetName val="J直材4"/>
      <sheetName val="ilch"/>
      <sheetName val="중기사용료"/>
      <sheetName val="대,유,램"/>
      <sheetName val="국별인원"/>
      <sheetName val="전선 및 전선관"/>
      <sheetName val="2공구산출내역"/>
      <sheetName val="인건비(VOICE)"/>
      <sheetName val="명세서"/>
      <sheetName val="1000 DB구축 부표"/>
      <sheetName val="용산1(해보)"/>
      <sheetName val="설계내역서"/>
      <sheetName val="DATE"/>
      <sheetName val="단가산출목록표"/>
      <sheetName val="동원인원"/>
      <sheetName val="1안"/>
      <sheetName val="터파기및재료"/>
      <sheetName val="정산"/>
      <sheetName val="Sheet1"/>
      <sheetName val="I一般比"/>
      <sheetName val="일위대가(4층원격)"/>
      <sheetName val="쌍송교"/>
      <sheetName val="표지1"/>
      <sheetName val="별첨-기계경비 산출목록"/>
      <sheetName val="입찰안"/>
      <sheetName val="패널"/>
      <sheetName val="일위목록"/>
      <sheetName val="노임"/>
      <sheetName val="10.공통-노임단가"/>
      <sheetName val="중기사용료산출근거"/>
      <sheetName val="단가 및 재료비"/>
      <sheetName val="노임단가표"/>
      <sheetName val="자재단가표"/>
      <sheetName val="단가산출"/>
      <sheetName val="기자재비"/>
      <sheetName val="일위대가표(유단가)"/>
      <sheetName val="내역서1999.8최종"/>
      <sheetName val="CAUDIT"/>
      <sheetName val="1차 내역서"/>
      <sheetName val="수지예산"/>
      <sheetName val="제-노임"/>
      <sheetName val="설직재-1"/>
      <sheetName val="조명시설"/>
      <sheetName val="대목"/>
      <sheetName val="단가산출목록"/>
      <sheetName val="실적공사비단가"/>
      <sheetName val="대가"/>
      <sheetName val="내역서"/>
      <sheetName val="Sheet3"/>
      <sheetName val="시설물기초"/>
      <sheetName val="옥외 전력간선공사"/>
      <sheetName val="추가대화"/>
      <sheetName val="제경집계"/>
      <sheetName val="위치조서"/>
      <sheetName val="수량산출"/>
      <sheetName val="산출목록표"/>
      <sheetName val="20관리비율"/>
      <sheetName val="참조자료"/>
      <sheetName val="#REF"/>
      <sheetName val="AV시스템"/>
      <sheetName val="갑지"/>
      <sheetName val="집계표"/>
      <sheetName val="공정량산출내역서 "/>
      <sheetName val="SAMPLE"/>
      <sheetName val="시설장비부하계산서"/>
      <sheetName val="전기외주내역"/>
      <sheetName val="단가조사"/>
      <sheetName val="단가 "/>
      <sheetName val="일위대가 (PM)"/>
      <sheetName val="설계명세서"/>
      <sheetName val="유림골조"/>
      <sheetName val="건물"/>
      <sheetName val="GISDB_단가산출목록"/>
      <sheetName val="GISDB_단가산출표"/>
      <sheetName val="금액내역서"/>
      <sheetName val="DATA"/>
      <sheetName val="데이타"/>
      <sheetName val="내역서2안"/>
      <sheetName val="CT "/>
      <sheetName val="원가_(2)"/>
      <sheetName val="6PILE__(돌출)"/>
      <sheetName val="일위대가_집계표"/>
      <sheetName val="전선_및_전선관"/>
      <sheetName val="1000_DB구축_부표"/>
      <sheetName val="원가계산서"/>
      <sheetName val="내역"/>
      <sheetName val="9509"/>
      <sheetName val="전국현황"/>
      <sheetName val="일위(PN)"/>
      <sheetName val="일위대가(출입)"/>
      <sheetName val="전기"/>
      <sheetName val="가로등내역서"/>
      <sheetName val="기본일위"/>
      <sheetName val="인건비"/>
      <sheetName val="5흙막이"/>
      <sheetName val="견적서"/>
      <sheetName val="노임이"/>
      <sheetName val="8.PILE  (돌출)"/>
      <sheetName val="2-1. 경관조명 내역총괄표"/>
      <sheetName val="경율산정.XLS"/>
      <sheetName val="일위대가표(교체)"/>
      <sheetName val="2000시행총괄"/>
      <sheetName val="산출"/>
      <sheetName val="노임단가"/>
      <sheetName val="자재단가"/>
      <sheetName val="공종단가"/>
      <sheetName val="재료"/>
      <sheetName val="설치자재"/>
      <sheetName val="기준FACTOR"/>
      <sheetName val="동원(3)"/>
      <sheetName val="노무비단가"/>
      <sheetName val="내역1"/>
      <sheetName val="화해(함평)"/>
      <sheetName val="화해(장성)"/>
      <sheetName val="시설물일위"/>
      <sheetName val="수량산출1"/>
      <sheetName val="Baby일위대가"/>
      <sheetName val="불법주정차"/>
      <sheetName val="구리토평1전기"/>
      <sheetName val="대"/>
      <sheetName val="자료"/>
      <sheetName val="을"/>
      <sheetName val="물량산출(지점)"/>
      <sheetName val="단"/>
      <sheetName val="일용노임단가2001상"/>
      <sheetName val="WORK"/>
      <sheetName val="3련 BOX"/>
      <sheetName val="이토변실(A3-LINE)"/>
      <sheetName val="CATV"/>
      <sheetName val="Sheet13"/>
      <sheetName val="Sheet14"/>
      <sheetName val="기초자료입력"/>
      <sheetName val="예정공정표 (2)"/>
      <sheetName val="수량산출2"/>
      <sheetName val="소방"/>
      <sheetName val="단가대비"/>
      <sheetName val="96작생능"/>
      <sheetName val="INPUT"/>
      <sheetName val="중기일위대가"/>
      <sheetName val="일위_파일"/>
      <sheetName val="9811"/>
      <sheetName val="단가산출서"/>
      <sheetName val="증감대비"/>
      <sheetName val="정부노임단가"/>
      <sheetName val="골조시행"/>
      <sheetName val="Sheet4"/>
      <sheetName val="단가기준"/>
      <sheetName val="현장경비"/>
      <sheetName val="노무비"/>
      <sheetName val="환율"/>
      <sheetName val="ABUT수량-A1"/>
      <sheetName val="날개벽"/>
      <sheetName val="공문"/>
      <sheetName val="부하계산서"/>
      <sheetName val="BEND LOSS"/>
      <sheetName val="설계서식"/>
      <sheetName val="2-3.공사비내역서"/>
      <sheetName val="4-2. 기계경비산출"/>
      <sheetName val="7.노무비 근거"/>
      <sheetName val="3-2.일위대가"/>
      <sheetName val="전력"/>
      <sheetName val="특수선일위대가"/>
      <sheetName val="2분기평가"/>
      <sheetName val="DWG-CAB-I"/>
      <sheetName val="도로정위치부표"/>
      <sheetName val="도로조사부표"/>
      <sheetName val="2000년1차"/>
      <sheetName val="램머"/>
      <sheetName val="기계경비(시간당)"/>
      <sheetName val="공사비"/>
      <sheetName val="식재일위대가"/>
      <sheetName val="단가조사서"/>
      <sheetName val="현장관리비"/>
      <sheetName val="도급FORM"/>
      <sheetName val="덤프"/>
      <sheetName val="석재다짐"/>
      <sheetName val="소운반"/>
      <sheetName val="아스콘"/>
      <sheetName val="장비"/>
      <sheetName val="일위"/>
      <sheetName val="횡 연장"/>
      <sheetName val="암거단위"/>
      <sheetName val="일위대가(가설)"/>
      <sheetName val="ELECTRIC"/>
      <sheetName val="차액보증"/>
      <sheetName val="Customer Databas"/>
      <sheetName val="전체"/>
      <sheetName val="갑지(추정)"/>
      <sheetName val="프랜트면허"/>
      <sheetName val="2.냉난방설비공사"/>
      <sheetName val="7.자동제어공사"/>
      <sheetName val="동수"/>
      <sheetName val="TOTAL"/>
      <sheetName val="식재인부"/>
      <sheetName val="실행철강하도"/>
      <sheetName val="급수 (LPM)"/>
      <sheetName val="CTEMCOST"/>
      <sheetName val="PANEL가격"/>
      <sheetName val="전차선로 물량표"/>
      <sheetName val="한강운반비"/>
      <sheetName val="자재"/>
      <sheetName val="파일의이용"/>
      <sheetName val="실행내역서"/>
      <sheetName val="COST"/>
      <sheetName val="시중노임(공사)"/>
      <sheetName val="설비(제출)"/>
      <sheetName val="AL공사(원)"/>
      <sheetName val="6호기"/>
      <sheetName val="10월"/>
      <sheetName val="대비"/>
      <sheetName val="기초목"/>
      <sheetName val="2.대외공문"/>
      <sheetName val="일위대가(건축)"/>
      <sheetName val="단중표"/>
      <sheetName val="기본설계기준"/>
      <sheetName val="품셈총괄표"/>
      <sheetName val="공사비예산서_토목분_"/>
      <sheetName val="토목주소"/>
      <sheetName val="TRE TABLE"/>
      <sheetName val="생산량"/>
      <sheetName val="판매가격(정리)"/>
      <sheetName val="주문"/>
      <sheetName val="Mc1"/>
      <sheetName val="인원계획-미화"/>
      <sheetName val="익산"/>
      <sheetName val="COVER"/>
      <sheetName val="총 원가계산"/>
      <sheetName val="물량표"/>
      <sheetName val="길어깨(현황)"/>
      <sheetName val="공사내역"/>
      <sheetName val="일용직내역"/>
      <sheetName val="BOX전기내역"/>
      <sheetName val="적현로"/>
      <sheetName val="기본사항"/>
      <sheetName val="동력기별"/>
      <sheetName val="OPGW기별"/>
      <sheetName val="Sheet5"/>
      <sheetName val="기본입력"/>
      <sheetName val="내역5"/>
      <sheetName val="대가단최종"/>
      <sheetName val="전기일위목록"/>
      <sheetName val="단가표"/>
      <sheetName val="wall"/>
      <sheetName val="출력은 금물"/>
      <sheetName val="6. 직접경비"/>
      <sheetName val="설계서"/>
      <sheetName val="물량"/>
      <sheetName val="건축일위"/>
      <sheetName val="그라우팅일위"/>
      <sheetName val="깨기"/>
      <sheetName val="데리네이타현황"/>
      <sheetName val="산출기초"/>
      <sheetName val="예산내역"/>
      <sheetName val="총괄수지표"/>
      <sheetName val="설계내역2"/>
      <sheetName val="내역전기"/>
      <sheetName val="단가산출서_토목"/>
      <sheetName val="중기목록표"/>
      <sheetName val="A1"/>
      <sheetName val="회사정보"/>
      <sheetName val="철거산출근거"/>
      <sheetName val="직종별노임단가표"/>
      <sheetName val="총체보활공정표"/>
      <sheetName val="도급예산내역서총괄표"/>
      <sheetName val="설계산출기초"/>
      <sheetName val="단가(1)"/>
      <sheetName val="정산내역서"/>
      <sheetName val="기계경비총괄표"/>
      <sheetName val="일위대가_현장"/>
      <sheetName val="HW"/>
      <sheetName val="범용도입(1차)"/>
      <sheetName val="SW"/>
      <sheetName val="기성2"/>
      <sheetName val="적용기준표(98년상반기)"/>
      <sheetName val="노임단가(전기·통신)"/>
      <sheetName val="설계"/>
      <sheetName val="공사개요"/>
      <sheetName val="EXPENSE"/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95"/>
      <sheetName val="간노비"/>
      <sheetName val="간노비95"/>
      <sheetName val="Y-WORK"/>
      <sheetName val="물량내역"/>
      <sheetName val=" 갑  지 "/>
      <sheetName val="돈암사업"/>
      <sheetName val="수목표준대가"/>
      <sheetName val="표지"/>
      <sheetName val="설비원가"/>
      <sheetName val="단위단가"/>
      <sheetName val="BS"/>
      <sheetName val="5-1.설계명세서"/>
      <sheetName val="공사계획서"/>
      <sheetName val="산근"/>
      <sheetName val="제2호단위수량"/>
      <sheetName val="식재가격"/>
      <sheetName val="식재총괄"/>
      <sheetName val="코드표"/>
      <sheetName val="AC포장수량"/>
      <sheetName val="설계내역"/>
      <sheetName val="원가계산서(공사)"/>
      <sheetName val="실행내역 "/>
      <sheetName val="회관내역"/>
      <sheetName val="회관내역 (2)"/>
      <sheetName val="공동내역"/>
      <sheetName val="공동내역 (2)"/>
      <sheetName val="쉼터내역"/>
      <sheetName val="쉼터내역 (2)"/>
      <sheetName val="원가계산서 "/>
      <sheetName val="토목"/>
      <sheetName val="DHEQSUPT"/>
      <sheetName val="※참고자료※"/>
      <sheetName val="일위대가_집계표1"/>
      <sheetName val="원가_(2)1"/>
      <sheetName val="6PILE__(돌출)1"/>
      <sheetName val="전선_및_전선관1"/>
      <sheetName val="1000_DB구축_부표1"/>
      <sheetName val="별첨-기계경비_산출목록"/>
      <sheetName val="10_공통-노임단가"/>
      <sheetName val="단가_및_재료비"/>
      <sheetName val="내역서1999_8최종"/>
      <sheetName val="1차_내역서"/>
      <sheetName val="옥외_전력간선공사"/>
      <sheetName val="공정량산출내역서_"/>
      <sheetName val="CT_"/>
      <sheetName val="단가_"/>
      <sheetName val="일위대가_(PM)"/>
      <sheetName val="예정공정표_(2)"/>
      <sheetName val="8_PILE__(돌출)"/>
      <sheetName val="Sheet2"/>
      <sheetName val="횡배수관"/>
      <sheetName val="부분별수량산출(조합기초)"/>
      <sheetName val="내역서적용수량"/>
      <sheetName val="배수공 시멘트 및 골재량 산출"/>
      <sheetName val="품셈표"/>
      <sheetName val="배관내역"/>
      <sheetName val="값"/>
      <sheetName val="가시설"/>
      <sheetName val="비탈면보호공수량산출"/>
      <sheetName val="부대내역"/>
      <sheetName val="DATA 입력란"/>
      <sheetName val="1. 설계조건 2.단면가정 3. 하중계산"/>
      <sheetName val="sw1"/>
      <sheetName val="자재단가비교표"/>
      <sheetName val="일위목차"/>
      <sheetName val="SORCE1"/>
      <sheetName val="3"/>
      <sheetName val="관급총괄"/>
      <sheetName val="S&amp;R"/>
      <sheetName val="5사남"/>
      <sheetName val="맨홀수량산출(1.0×1.0×1.0)"/>
      <sheetName val="요율"/>
      <sheetName val="물가대비표"/>
      <sheetName val="data spec"/>
      <sheetName val="투찰추정"/>
      <sheetName val="3집"/>
      <sheetName val="부대공"/>
      <sheetName val="토공"/>
      <sheetName val="포장공"/>
      <sheetName val="3.건축(현장안)"/>
      <sheetName val="도근좌표"/>
      <sheetName val="노임변동률"/>
      <sheetName val="ITEM"/>
      <sheetName val="7.수지"/>
      <sheetName val="납부서"/>
      <sheetName val="포장절단"/>
      <sheetName val="예가표"/>
      <sheetName val="단가및재료비"/>
      <sheetName val="여과지동"/>
      <sheetName val="기초자료"/>
      <sheetName val="기초일위"/>
      <sheetName val="시설일위"/>
      <sheetName val="조명일위"/>
      <sheetName val="관급"/>
      <sheetName val="물량master"/>
      <sheetName val="하수급견적대비"/>
      <sheetName val="b_balju_cho"/>
      <sheetName val="도로단위당"/>
      <sheetName val="환경기계공정표 (3)"/>
      <sheetName val="변경내역"/>
      <sheetName val="당사"/>
      <sheetName val="품셈총괄"/>
      <sheetName val="기본DATA Sheet"/>
      <sheetName val="수량총괄"/>
      <sheetName val="1"/>
      <sheetName val="을지"/>
      <sheetName val="대가목록"/>
      <sheetName val="cp-e1"/>
      <sheetName val="공예율"/>
      <sheetName val="기준표"/>
      <sheetName val="현황"/>
      <sheetName val="프린터현황"/>
      <sheetName val="품셈적용 자료"/>
      <sheetName val="#3E1_GCR"/>
      <sheetName val="설계예산서"/>
      <sheetName val="시중노임"/>
      <sheetName val="가도공"/>
      <sheetName val="산출내역서"/>
      <sheetName val="시설물"/>
      <sheetName val="유지관리"/>
      <sheetName val="산출내역서 (2)"/>
      <sheetName val="b_balju-단가단가단가"/>
      <sheetName val="공량산출서"/>
      <sheetName val="표  지"/>
      <sheetName val="단위중량"/>
      <sheetName val="목차"/>
      <sheetName val="간지"/>
      <sheetName val="일위목록표"/>
      <sheetName val="일위대가표"/>
      <sheetName val="    "/>
      <sheetName val="-동력(한전)"/>
      <sheetName val="-전등전열(한전)"/>
      <sheetName val="IEC60364-52(허용전류)"/>
      <sheetName val="설계조건"/>
      <sheetName val="대내"/>
      <sheetName val="시장성초안camera"/>
      <sheetName val="3.하중계산"/>
      <sheetName val="자재표"/>
      <sheetName val="A"/>
      <sheetName val="적격점수&lt;300억미만&gt;"/>
      <sheetName val="전기변내역"/>
      <sheetName val="6공구(당초)"/>
      <sheetName val="내역서(시설)"/>
      <sheetName val="건축집계"/>
      <sheetName val="갑지1"/>
      <sheetName val="연부97-1"/>
      <sheetName val="금융비용"/>
      <sheetName val="경비2내역"/>
      <sheetName val="EQT-ESTN"/>
      <sheetName val="실행"/>
      <sheetName val="기초단가"/>
      <sheetName val=" 견적서"/>
      <sheetName val="실행갑지"/>
      <sheetName val="단위수량"/>
      <sheetName val="금액"/>
      <sheetName val="판매시설"/>
      <sheetName val="3지구단위"/>
      <sheetName val="관급자재대"/>
      <sheetName val="Macro1"/>
      <sheetName val="단가산출2"/>
      <sheetName val="단가산출1"/>
      <sheetName val="전기BOX내역서"/>
      <sheetName val="000000"/>
      <sheetName val="문학간접"/>
      <sheetName val="설계예시"/>
      <sheetName val="식음료"/>
      <sheetName val="단가조정표"/>
      <sheetName val="B"/>
      <sheetName val="bm"/>
      <sheetName val="친환경주택"/>
      <sheetName val="anaysis_sheet"/>
      <sheetName val="Customer_Databas"/>
      <sheetName val="2_냉난방설비공사"/>
      <sheetName val="7_자동제어공사"/>
      <sheetName val="횡_연장"/>
      <sheetName val="급수_(LPM)"/>
      <sheetName val="2-1__경관조명_내역총괄표"/>
      <sheetName val="경율산정_XLS"/>
      <sheetName val="3련_BOX"/>
      <sheetName val="2_대외공문"/>
      <sheetName val="TRE_TABLE"/>
      <sheetName val="총_원가계산"/>
      <sheetName val="1000_ɄB구축_부표"/>
      <sheetName val="도급양식"/>
      <sheetName val="단위량"/>
      <sheetName val="재료집계표2"/>
      <sheetName val="토적집계표"/>
      <sheetName val="XL4Poppy"/>
      <sheetName val="물가자료"/>
      <sheetName val="건축원가"/>
      <sheetName val="공통가설"/>
      <sheetName val="98지급계획"/>
      <sheetName val="산출집계표"/>
      <sheetName val="원재료출고수량"/>
      <sheetName val="2호맨홀공제수량"/>
      <sheetName val="냉천부속동"/>
      <sheetName val="가계부"/>
      <sheetName val="제품목록"/>
      <sheetName val="매입매출관리"/>
      <sheetName val="총투입계"/>
      <sheetName val="3.설계예산내역서(예산서)"/>
      <sheetName val="2.예정공정표"/>
      <sheetName val="화전내"/>
      <sheetName val="일용노임단가"/>
      <sheetName val="현장조사"/>
      <sheetName val="을부담운반비"/>
      <sheetName val="운반비산출"/>
      <sheetName val="설계산출표지"/>
      <sheetName val="단가산출표"/>
      <sheetName val="교각1"/>
      <sheetName val="지수적용공사비내역서"/>
      <sheetName val="예산총괄표"/>
      <sheetName val="단면가정"/>
      <sheetName val="QandAJunior"/>
      <sheetName val="SG"/>
      <sheetName val="1062-x방향 "/>
      <sheetName val="개산공사비"/>
      <sheetName val="원가계산"/>
      <sheetName val="공사비_NDE"/>
      <sheetName val="일위7"/>
      <sheetName val="일위6"/>
      <sheetName val="일위5"/>
      <sheetName val="노무단가비교표"/>
      <sheetName val="일위1"/>
      <sheetName val="일위2"/>
      <sheetName val="일위3"/>
      <sheetName val="일위4"/>
      <sheetName val="단가대비표"/>
      <sheetName val="일위8"/>
      <sheetName val="일위9"/>
      <sheetName val="일위대가목차"/>
      <sheetName val="가시설단위수량"/>
      <sheetName val="자재단가표_관로"/>
      <sheetName val="대운산출"/>
      <sheetName val="설계표지"/>
      <sheetName val="단가리스트(영상감시시스템)"/>
      <sheetName val="대공종"/>
      <sheetName val="공정집계_국별"/>
      <sheetName val="맨홀_공사비"/>
      <sheetName val="역간(덕_동)"/>
      <sheetName val="역간(의-덕)"/>
      <sheetName val="Sheet1 (2)"/>
      <sheetName val="가격조사서"/>
      <sheetName val="소포내역 (2)"/>
      <sheetName val="02"/>
      <sheetName val="토사(PE)"/>
      <sheetName val="측구터파기공수량집계"/>
      <sheetName val="구조물터파기수량집계"/>
      <sheetName val="점검총괄"/>
      <sheetName val="수량집계"/>
      <sheetName val="기계경비단가총괄표"/>
      <sheetName val="기계경비단가산출표"/>
      <sheetName val="기계경비손료 및 운전경비 산출"/>
      <sheetName val="기계경비 손료 및 운전경비 산출기준"/>
      <sheetName val="단가조사표"/>
      <sheetName val="   "/>
      <sheetName val="계수"/>
      <sheetName val="용어"/>
      <sheetName val="1.2 예정공정표"/>
      <sheetName val="1. 공사비총괄"/>
      <sheetName val="예산내역서 총괄"/>
      <sheetName val="물품구매내역서"/>
      <sheetName val="2. 공사원가계산서"/>
      <sheetName val="3. 설치공사내역서"/>
      <sheetName val="4. 공종별내역서"/>
      <sheetName val="도로경계블럭연장조서"/>
      <sheetName val="통장출금액"/>
      <sheetName val="기계경비 손료 및 운전경비 산_x0005__x0000_Ԁ"/>
      <sheetName val="기계경비 손료 및 운전경비 산者ㅗ찀"/>
      <sheetName val="웅진교-S2"/>
      <sheetName val="단관데이터"/>
      <sheetName val="이형관데이터"/>
      <sheetName val="공구"/>
      <sheetName val="1.설계기준"/>
      <sheetName val="96노임기준"/>
      <sheetName val="단위목록"/>
      <sheetName val="시험비"/>
      <sheetName val="구역화물"/>
      <sheetName val="BOX복구단위수량"/>
      <sheetName val="기본단가표"/>
      <sheetName val="도체종-상수표"/>
      <sheetName val="동원인원산출"/>
      <sheetName val="재료집계표3"/>
      <sheetName val="8.설치품셈"/>
      <sheetName val="기별명세"/>
      <sheetName val="기계단가"/>
      <sheetName val="7.5.3 BOX-A"/>
      <sheetName val="수량집계표"/>
      <sheetName val="공종별수량집계"/>
      <sheetName val="★도급내역"/>
      <sheetName val="설명서 "/>
      <sheetName val="CON'C"/>
      <sheetName val="협조전"/>
      <sheetName val="단가비교표"/>
      <sheetName val="소형맨홀"/>
      <sheetName val="토목검측서"/>
      <sheetName val="S1"/>
      <sheetName val="배수통관(좌)"/>
      <sheetName val="토공수량산출"/>
      <sheetName val="토적계산서"/>
      <sheetName val="D-3109"/>
      <sheetName val="수량산출서_천안"/>
      <sheetName val="수량산출서_아산"/>
      <sheetName val="관로수량산출집계"/>
      <sheetName val="한전수탁공사비내역서"/>
      <sheetName val="pldt"/>
      <sheetName val="설계서표지"/>
      <sheetName val="총괄내역서"/>
      <sheetName val="3. SW 총괄"/>
      <sheetName val="SW신규표지"/>
      <sheetName val="기반정보연계 FP산정"/>
      <sheetName val="기반정보 연계 소프트웨어개발비산출-간이법"/>
      <sheetName val="기반정보 연계 (참조)보정계수"/>
      <sheetName val="정보연계 FP산정"/>
      <sheetName val="정보연계 소프트웨어개발비산출-간이법"/>
      <sheetName val="정보연계 (참조)보정계수"/>
      <sheetName val="설비2차"/>
      <sheetName val="토량1-1"/>
      <sheetName val="사업성분석"/>
      <sheetName val="단계대비표"/>
      <sheetName val="9GNG운반"/>
      <sheetName val="Macro상수"/>
      <sheetName val="ABOVEISO(IBL)"/>
      <sheetName val="부하(성남)"/>
      <sheetName val="토적"/>
      <sheetName val="5.1단가표"/>
      <sheetName val="5.2노임단가표"/>
      <sheetName val="b_balju"/>
      <sheetName val="공종별내역서"/>
      <sheetName val="추진배경(LEZ)"/>
      <sheetName val="전국_노후경유차"/>
      <sheetName val="날개벽수량표"/>
      <sheetName val="맨홀조서"/>
      <sheetName val="합천내역"/>
      <sheetName val="메서,변+증"/>
      <sheetName val="1.설계조건"/>
      <sheetName val="3.내역서"/>
      <sheetName val="공사예산하조서(O.K)"/>
      <sheetName val="내   역"/>
      <sheetName val="경일건물산출근거"/>
      <sheetName val="하부철근수량"/>
      <sheetName val="입력"/>
      <sheetName val="도급내역서"/>
      <sheetName val="수목데이타 "/>
      <sheetName val="File_관급"/>
      <sheetName val="공정집계"/>
      <sheetName val="0226"/>
      <sheetName val="ELEC"/>
      <sheetName val="부진점(10.09)"/>
      <sheetName val="설비"/>
      <sheetName val="자  재"/>
      <sheetName val="건축외주"/>
      <sheetName val="원가_(2)2"/>
      <sheetName val="일위대가_집계표2"/>
      <sheetName val="6PILE__(돌출)2"/>
      <sheetName val="전선_및_전선관2"/>
      <sheetName val="1차_내역서1"/>
      <sheetName val="옥외_전력간선공사1"/>
      <sheetName val="내역서1999_8최종1"/>
      <sheetName val="별첨-기계경비_산출목록1"/>
      <sheetName val="1000_DB구축_부표2"/>
      <sheetName val="10_공통-노임단가1"/>
      <sheetName val="단가_및_재료비1"/>
      <sheetName val="CT_1"/>
      <sheetName val="8_PILE__(돌출)1"/>
      <sheetName val="단가_1"/>
      <sheetName val="일위대가_(PM)1"/>
      <sheetName val="공정량산출내역서_1"/>
      <sheetName val="예정공정표_(2)1"/>
      <sheetName val="2-3_공사비내역서"/>
      <sheetName val="4-2__기계경비산출"/>
      <sheetName val="7_노무비_근거"/>
      <sheetName val="3-2_일위대가"/>
      <sheetName val="맨홀수량산출(1_0×1_0×1_0)"/>
      <sheetName val="_견적서"/>
      <sheetName val="전차선로_물량표"/>
      <sheetName val="6__직접경비"/>
      <sheetName val="BEND_LOSS"/>
      <sheetName val="1062-x방향_"/>
      <sheetName val="견적서을"/>
      <sheetName val="3.실투입(운반)"/>
      <sheetName val="통로box전기"/>
      <sheetName val="맨홀-오수"/>
      <sheetName val="설계기준"/>
      <sheetName val="대로근거"/>
      <sheetName val="부총"/>
      <sheetName val="인사자료총집계"/>
      <sheetName val="간접"/>
      <sheetName val="안전시설내역서"/>
      <sheetName val="단가산출내역(노임부분수정)"/>
      <sheetName val="교통대책내역"/>
      <sheetName val="남대문빌딩"/>
      <sheetName val="정렬"/>
      <sheetName val="물량산출근거"/>
      <sheetName val="제잡비 산출내역(실적공사비)"/>
      <sheetName val="BOQ"/>
      <sheetName val="전체내역 (2)"/>
      <sheetName val="영창26"/>
      <sheetName val="품셈TABLE"/>
      <sheetName val="총괄집계표"/>
      <sheetName val="구분자"/>
      <sheetName val="3.공통공사대비"/>
      <sheetName val="단면 (2)"/>
      <sheetName val="제출내역 (3)"/>
      <sheetName val="할증 "/>
      <sheetName val="공개"/>
      <sheetName val="품의"/>
      <sheetName val="현경"/>
      <sheetName val="☜사⊥발☞"/>
      <sheetName val="하총"/>
      <sheetName val="하사"/>
      <sheetName val="하내"/>
      <sheetName val="토견"/>
      <sheetName val="구조물"/>
      <sheetName val="구자"/>
      <sheetName val="구견"/>
      <sheetName val="☜발⊥검☞"/>
      <sheetName val="입찰"/>
      <sheetName val="4차원가계산서"/>
      <sheetName val="Sheet6"/>
      <sheetName val="투찰"/>
      <sheetName val="공사비산출내역"/>
      <sheetName val="백호우계수"/>
      <sheetName val="관리,공감"/>
      <sheetName val="저"/>
      <sheetName val="BID"/>
      <sheetName val="자재(원원+원대)"/>
      <sheetName val="장비가동"/>
      <sheetName val="지급자재"/>
      <sheetName val="MYUN(MAC)"/>
      <sheetName val="장비당단가 (1)"/>
      <sheetName val="실행분석표"/>
      <sheetName val="업체견적(거푸집)"/>
      <sheetName val="기준_국가명"/>
      <sheetName val="동부건설.강릉,테헤란로,강남빌딩"/>
      <sheetName val="사업부배부A"/>
      <sheetName val="건축공사 집계표"/>
      <sheetName val="골조"/>
      <sheetName val="현장"/>
      <sheetName val="DB"/>
      <sheetName val="FAB별"/>
      <sheetName val="도장비"/>
      <sheetName val="잡철물"/>
      <sheetName val="견적대비표"/>
      <sheetName val="분석DATA(년도별)"/>
      <sheetName val="회로내역(승인)"/>
      <sheetName val="6동"/>
      <sheetName val="평가데이터"/>
    </sheetNames>
    <sheetDataSet>
      <sheetData sheetId="0" refreshError="1"/>
      <sheetData sheetId="1">
        <row r="5">
          <cell r="I5">
            <v>1</v>
          </cell>
        </row>
      </sheetData>
      <sheetData sheetId="2">
        <row r="5">
          <cell r="I5">
            <v>1</v>
          </cell>
        </row>
      </sheetData>
      <sheetData sheetId="3">
        <row r="5">
          <cell r="I5">
            <v>1</v>
          </cell>
        </row>
      </sheetData>
      <sheetData sheetId="4">
        <row r="5">
          <cell r="I5">
            <v>1</v>
          </cell>
        </row>
      </sheetData>
      <sheetData sheetId="5">
        <row r="5">
          <cell r="I5">
            <v>1</v>
          </cell>
        </row>
      </sheetData>
      <sheetData sheetId="6">
        <row r="5">
          <cell r="I5">
            <v>1</v>
          </cell>
        </row>
      </sheetData>
      <sheetData sheetId="7">
        <row r="5">
          <cell r="I5">
            <v>1</v>
          </cell>
        </row>
      </sheetData>
      <sheetData sheetId="8">
        <row r="5">
          <cell r="I5">
            <v>1</v>
          </cell>
        </row>
      </sheetData>
      <sheetData sheetId="9">
        <row r="5">
          <cell r="I5">
            <v>1</v>
          </cell>
        </row>
      </sheetData>
      <sheetData sheetId="10">
        <row r="5">
          <cell r="I5">
            <v>1</v>
          </cell>
        </row>
      </sheetData>
      <sheetData sheetId="11">
        <row r="5">
          <cell r="I5">
            <v>1</v>
          </cell>
        </row>
      </sheetData>
      <sheetData sheetId="12">
        <row r="5">
          <cell r="I5">
            <v>1</v>
          </cell>
        </row>
      </sheetData>
      <sheetData sheetId="13">
        <row r="5">
          <cell r="I5">
            <v>1</v>
          </cell>
        </row>
      </sheetData>
      <sheetData sheetId="14">
        <row r="5">
          <cell r="I5">
            <v>1</v>
          </cell>
        </row>
      </sheetData>
      <sheetData sheetId="15">
        <row r="5">
          <cell r="I5">
            <v>1</v>
          </cell>
        </row>
      </sheetData>
      <sheetData sheetId="16">
        <row r="5">
          <cell r="I5">
            <v>1</v>
          </cell>
        </row>
      </sheetData>
      <sheetData sheetId="17">
        <row r="5">
          <cell r="I5">
            <v>1</v>
          </cell>
        </row>
      </sheetData>
      <sheetData sheetId="18">
        <row r="5">
          <cell r="I5">
            <v>1</v>
          </cell>
        </row>
      </sheetData>
      <sheetData sheetId="19">
        <row r="5">
          <cell r="I5">
            <v>1</v>
          </cell>
        </row>
      </sheetData>
      <sheetData sheetId="20">
        <row r="5">
          <cell r="I5">
            <v>1</v>
          </cell>
        </row>
      </sheetData>
      <sheetData sheetId="21">
        <row r="5">
          <cell r="I5">
            <v>1</v>
          </cell>
        </row>
      </sheetData>
      <sheetData sheetId="22">
        <row r="5">
          <cell r="I5">
            <v>1</v>
          </cell>
        </row>
      </sheetData>
      <sheetData sheetId="23">
        <row r="5">
          <cell r="I5">
            <v>1</v>
          </cell>
        </row>
      </sheetData>
      <sheetData sheetId="24">
        <row r="5">
          <cell r="I5">
            <v>1</v>
          </cell>
        </row>
      </sheetData>
      <sheetData sheetId="25">
        <row r="5">
          <cell r="I5">
            <v>1</v>
          </cell>
        </row>
      </sheetData>
      <sheetData sheetId="26">
        <row r="5">
          <cell r="I5">
            <v>1</v>
          </cell>
        </row>
      </sheetData>
      <sheetData sheetId="27">
        <row r="5">
          <cell r="I5">
            <v>1</v>
          </cell>
        </row>
      </sheetData>
      <sheetData sheetId="28">
        <row r="5">
          <cell r="I5">
            <v>1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/>
      <sheetData sheetId="294"/>
      <sheetData sheetId="295"/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/>
      <sheetData sheetId="636">
        <row r="5">
          <cell r="I5" t="str">
            <v>서버</v>
          </cell>
        </row>
      </sheetData>
      <sheetData sheetId="637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조사"/>
      <sheetName val="1차 내역서"/>
      <sheetName val="단가"/>
      <sheetName val="전선 및 전선관"/>
      <sheetName val="단가산출"/>
      <sheetName val="N賃率-職"/>
      <sheetName val="램머"/>
      <sheetName val="기계경비(시간당)"/>
      <sheetName val="98지급계획"/>
      <sheetName val="옥외 전력간선공사"/>
      <sheetName val="49일위"/>
      <sheetName val="48일위"/>
      <sheetName val="J直材4"/>
      <sheetName val="분당전기"/>
      <sheetName val="부대공"/>
      <sheetName val="포장공"/>
      <sheetName val="토공"/>
      <sheetName val="입찰안"/>
      <sheetName val="MOTOR"/>
      <sheetName val="가로등내역서"/>
      <sheetName val="Sheet1"/>
      <sheetName val="전기변내역"/>
      <sheetName val="DATE"/>
      <sheetName val="건물"/>
      <sheetName val="ELECTRIC"/>
      <sheetName val="CTEMCOST"/>
      <sheetName val="쌍송교"/>
      <sheetName val="전차선로 물량표"/>
      <sheetName val="DATA"/>
      <sheetName val="데이타"/>
      <sheetName val="부대내역"/>
      <sheetName val="수목표준대가"/>
      <sheetName val="수로단위수량"/>
      <sheetName val="산출"/>
      <sheetName val="내역"/>
      <sheetName val="설비2차"/>
      <sheetName val="원가계산서 "/>
      <sheetName val="예비"/>
      <sheetName val="수량산출(강변)"/>
      <sheetName val="수량산출(검수고)"/>
      <sheetName val="수량산출(공항)"/>
      <sheetName val="수량산출(구봉)"/>
      <sheetName val="수량산출(기지내)"/>
      <sheetName val="수량산출(대사)"/>
      <sheetName val="수량산출(도서관앞)"/>
      <sheetName val="수량산출(모타카고)"/>
      <sheetName val="수량산출(변전소)"/>
      <sheetName val="수량산출(본선설비)"/>
      <sheetName val="수량산출(봉황)"/>
      <sheetName val="수량산출(부원)"/>
      <sheetName val="수량산출(사상)"/>
      <sheetName val="수량산출(서연정)"/>
      <sheetName val="수량산출(수위실)"/>
      <sheetName val="수량산출(신명)"/>
      <sheetName val="수량산출(안동)"/>
      <sheetName val="수량산출(연지)"/>
      <sheetName val="수량산출(자재창고1)"/>
      <sheetName val="수량산출(자재창고2)"/>
      <sheetName val="수량산출(종합관리동)"/>
      <sheetName val="공량산출서"/>
      <sheetName val="일위산출"/>
      <sheetName val="교각1"/>
      <sheetName val="용수개거 내역수량집계표"/>
      <sheetName val="LIST"/>
      <sheetName val="guard(mac)"/>
      <sheetName val="손익분석"/>
      <sheetName val="말뚝물량"/>
      <sheetName val="덤프트럭계수"/>
      <sheetName val="이식운반"/>
      <sheetName val="간선계산"/>
      <sheetName val="단가대비표"/>
      <sheetName val="전기일위대가"/>
      <sheetName val="패널"/>
      <sheetName val="Baby일위대가"/>
      <sheetName val="SAMPLE"/>
      <sheetName val="직노"/>
      <sheetName val="갑지"/>
      <sheetName val="집계표"/>
      <sheetName val="DATA 입력란"/>
      <sheetName val="1. 설계조건 2.단면가정 3. 하중계산"/>
      <sheetName val="자재표"/>
      <sheetName val="갑지(추정)"/>
      <sheetName val="BID"/>
      <sheetName val="일위대가(출입)"/>
      <sheetName val="#REF"/>
      <sheetName val="S1,3"/>
      <sheetName val="토사(PE)"/>
      <sheetName val="공사비증감"/>
      <sheetName val="값"/>
      <sheetName val="수량집계"/>
      <sheetName val="잡비계산"/>
      <sheetName val="수량산출"/>
      <sheetName val="금액내역서"/>
      <sheetName val="내역서"/>
      <sheetName val="단가표"/>
      <sheetName val="첨부1-1"/>
      <sheetName val="정산"/>
      <sheetName val="캔개발배경"/>
      <sheetName val="시장"/>
      <sheetName val="일정표"/>
      <sheetName val="노임단가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BEND LOSS"/>
      <sheetName val="건축공사 집계표"/>
      <sheetName val="골조"/>
      <sheetName val="2000시행총괄"/>
      <sheetName val="설계조건"/>
      <sheetName val="프랜트면허"/>
      <sheetName val="토목주소"/>
      <sheetName val="INPUT"/>
      <sheetName val="전국현황"/>
      <sheetName val="BOX전기내역"/>
      <sheetName val="자재단가"/>
      <sheetName val="배관배선 단가조사"/>
      <sheetName val="터파기및재료"/>
      <sheetName val="1.설계기준"/>
      <sheetName val="工관리비율"/>
      <sheetName val="工완성공사율"/>
      <sheetName val="중기사용료산출근거"/>
      <sheetName val="단가 및 재료비"/>
      <sheetName val="명일작업계획 (3)"/>
      <sheetName val="용산1(해보)"/>
      <sheetName val="2공구산출내역"/>
      <sheetName val="일위대가"/>
      <sheetName val="wall"/>
      <sheetName val="설비"/>
      <sheetName val="자재목록"/>
      <sheetName val="고압큐비클"/>
      <sheetName val="단가조사서"/>
      <sheetName val="200"/>
      <sheetName val="3.내역서"/>
      <sheetName val="1안"/>
      <sheetName val="수정"/>
      <sheetName val="노무비"/>
      <sheetName val="부안일위"/>
      <sheetName val="설계명세서"/>
      <sheetName val="공리공제"/>
      <sheetName val="공문"/>
      <sheetName val="Macro1"/>
      <sheetName val="요율"/>
      <sheetName val="8설7발"/>
      <sheetName val="시설물기초"/>
      <sheetName val="노임9월"/>
      <sheetName val="공내역"/>
      <sheetName val="토목"/>
      <sheetName val="단가및재료비"/>
      <sheetName val="견적서"/>
      <sheetName val="Total"/>
      <sheetName val="9811"/>
      <sheetName val="공종구간"/>
      <sheetName val="일위목록"/>
      <sheetName val="자료"/>
      <sheetName val="부하계산서"/>
      <sheetName val="DATA1"/>
      <sheetName val="목록"/>
      <sheetName val="총괄내역서"/>
      <sheetName val="철거산출근거"/>
      <sheetName val="조명시설"/>
      <sheetName val="주소"/>
      <sheetName val="재집"/>
      <sheetName val="직재"/>
      <sheetName val="빌딩 안내"/>
      <sheetName val="연부97-1"/>
      <sheetName val="갑지1"/>
      <sheetName val="당사"/>
      <sheetName val="문학간접"/>
      <sheetName val="물가대비표"/>
      <sheetName val="98수문일위"/>
      <sheetName val="중기사용료"/>
      <sheetName val="설비내역서"/>
      <sheetName val="건축내역서"/>
      <sheetName val="전기내역서"/>
      <sheetName val="정산내역서"/>
      <sheetName val="조견표"/>
      <sheetName val="ABUT수량-A1"/>
      <sheetName val="일위대가 집계표"/>
      <sheetName val="조도계산(가로등NEW)"/>
      <sheetName val="조명율데이타"/>
      <sheetName val="표지"/>
      <sheetName val="내역5"/>
      <sheetName val="사업수지"/>
      <sheetName val="물가자료"/>
      <sheetName val="대목"/>
      <sheetName val="제경비"/>
      <sheetName val="일위대가목록"/>
      <sheetName val="단가산출-기,교"/>
      <sheetName val="일위목록-기"/>
      <sheetName val="등타입"/>
      <sheetName val="실행내역서"/>
      <sheetName val="기자재비"/>
      <sheetName val="Macro"/>
      <sheetName val="70%"/>
      <sheetName val="I一般比"/>
      <sheetName val="중기손료"/>
      <sheetName val="기초단가"/>
      <sheetName val="도로단위당"/>
      <sheetName val="일위대가(가설)"/>
      <sheetName val="공통가설"/>
      <sheetName val="통장출금액"/>
      <sheetName val="4-7.중앙전기실(노임단가)"/>
      <sheetName val="터널조도"/>
      <sheetName val="CABLE SIZE-1"/>
      <sheetName val="토적표"/>
      <sheetName val="인원계획-미화"/>
      <sheetName val="견적을지"/>
      <sheetName val="건축내역"/>
      <sheetName val="변압기 및 발전기 용량"/>
      <sheetName val="copy"/>
      <sheetName val="서식"/>
      <sheetName val="일위대가표"/>
      <sheetName val="SLAB"/>
      <sheetName val="J형측구단위수량"/>
      <sheetName val="슬래브"/>
      <sheetName val="산출기초"/>
      <sheetName val="계약원가"/>
      <sheetName val="49단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보"/>
      <sheetName val="제원"/>
      <sheetName val="재집"/>
      <sheetName val="재"/>
      <sheetName val="간재"/>
      <sheetName val="노집"/>
      <sheetName val="직노"/>
      <sheetName val="노공"/>
      <sheetName val="임율"/>
      <sheetName val="간노비"/>
      <sheetName val="경산"/>
      <sheetName val="단가"/>
      <sheetName val="XXXXXX"/>
      <sheetName val="VXXX"/>
      <sheetName val="진짜내역"/>
      <sheetName val="총괄"/>
      <sheetName val="집계"/>
      <sheetName val="내역"/>
      <sheetName val="공량집"/>
      <sheetName val="배부율"/>
      <sheetName val="완성1"/>
      <sheetName val="완성2"/>
      <sheetName val="산재비율"/>
      <sheetName val="안전비율"/>
      <sheetName val="일반비율"/>
      <sheetName val="노임"/>
      <sheetName val="공량"/>
      <sheetName val="전시원"/>
      <sheetName val="전시내"/>
      <sheetName val="Sheet1"/>
      <sheetName val="Sheet2"/>
      <sheetName val="Sheet3"/>
      <sheetName val="표"/>
      <sheetName val="목"/>
      <sheetName val="설"/>
      <sheetName val="일"/>
      <sheetName val="일집표"/>
      <sheetName val="일위표"/>
      <sheetName val="수표"/>
      <sheetName val="원가"/>
      <sheetName val="집계표"/>
      <sheetName val="내역서(내부)"/>
      <sheetName val="내역서"/>
      <sheetName val="일위대가"/>
      <sheetName val="단가산출서"/>
      <sheetName val="중기사용료"/>
      <sheetName val="재료단가"/>
      <sheetName val="노임단가"/>
      <sheetName val="총경기장별내역서(10-11)"/>
      <sheetName val="경기장별내역서(12-107)"/>
      <sheetName val="일위대가목록"/>
      <sheetName val="한강운반비"/>
      <sheetName val="1차 내역서"/>
      <sheetName val="공통(20-91)"/>
      <sheetName val="사당"/>
      <sheetName val="을"/>
      <sheetName val="입찰안"/>
      <sheetName val="물가"/>
      <sheetName val="일위대가(4층원격)"/>
      <sheetName val="백암비스타내역"/>
      <sheetName val="차액보증"/>
      <sheetName val="철거산출근거"/>
      <sheetName val="부대공"/>
      <sheetName val="포장공"/>
      <sheetName val="토공"/>
      <sheetName val="토목공사일반"/>
      <sheetName val="직재"/>
      <sheetName val="6PILE  (돌출)"/>
      <sheetName val="원가 (2)"/>
      <sheetName val="N賃率-職"/>
      <sheetName val="단가조사"/>
      <sheetName val="견적서"/>
      <sheetName val="98지급계획"/>
      <sheetName val="현장"/>
      <sheetName val="2공구산출내역"/>
      <sheetName val="내역서2안"/>
      <sheetName val="품셈TABLE"/>
      <sheetName val="#REF"/>
      <sheetName val="기초내역서"/>
      <sheetName val="수량산출"/>
      <sheetName val="대가목록표"/>
      <sheetName val="공통가설"/>
      <sheetName val="JUCK"/>
      <sheetName val="금액내역서"/>
      <sheetName val="DATE"/>
      <sheetName val="산출근거"/>
      <sheetName val="교통대책내역"/>
      <sheetName val="설계서(표지)"/>
      <sheetName val="원가계산서"/>
      <sheetName val="공사예산하조서(O.K)"/>
      <sheetName val="J直材4"/>
      <sheetName val="자재단가리스트"/>
      <sheetName val="추가대화"/>
      <sheetName val="노무비"/>
      <sheetName val="기계경비(시간당)"/>
      <sheetName val="램머"/>
      <sheetName val="파일의이용"/>
      <sheetName val="공사현황"/>
      <sheetName val="설계명세서 (장비)"/>
      <sheetName val="노무"/>
      <sheetName val="공사개요"/>
      <sheetName val="실행내역"/>
      <sheetName val="소방사항"/>
      <sheetName val="패널"/>
      <sheetName val="계양가시설"/>
      <sheetName val="평가데이터"/>
      <sheetName val="TANK견적대지"/>
      <sheetName val="도급FORM"/>
      <sheetName val="아파트 내역"/>
      <sheetName val="초기화면"/>
      <sheetName val="관급자재"/>
      <sheetName val="현장경비"/>
      <sheetName val="골조시행"/>
      <sheetName val="첨부1"/>
      <sheetName val="감가상각"/>
      <sheetName val="저"/>
      <sheetName val="인건-측정"/>
      <sheetName val="부재리스트"/>
      <sheetName val="중기조종사 단위단가"/>
      <sheetName val="Sheet4"/>
      <sheetName val="요율"/>
      <sheetName val="2000.11월설계내역"/>
      <sheetName val="BID"/>
      <sheetName val="증감대비"/>
      <sheetName val="A LINE"/>
      <sheetName val="전선 및 전선관"/>
      <sheetName val="인테리어내역"/>
      <sheetName val="설계내역서"/>
      <sheetName val="2공구하도급내역서"/>
      <sheetName val="대상공사(조달청)"/>
      <sheetName val="자료(통합)"/>
      <sheetName val="일위"/>
      <sheetName val="기본일위"/>
      <sheetName val="내역서(설비+소방)"/>
      <sheetName val="전체"/>
      <sheetName val="별표"/>
      <sheetName val="KIM"/>
      <sheetName val="건축원가"/>
      <sheetName val="내역서총집계표"/>
      <sheetName val="NEGO"/>
      <sheetName val="BCK3672"/>
      <sheetName val="내역서1999.8최종"/>
      <sheetName val="시설장비부하계산서"/>
      <sheetName val="CT "/>
      <sheetName val="갑지(추정)"/>
      <sheetName val="토목"/>
      <sheetName val="재공품기초자료"/>
      <sheetName val="구천"/>
      <sheetName val="데이타"/>
      <sheetName val="준검 내역서"/>
      <sheetName val="운반비"/>
      <sheetName val="수목데이타"/>
      <sheetName val="기둥(원형)"/>
      <sheetName val="기초공"/>
      <sheetName val="토사(PE)"/>
      <sheetName val="Total"/>
      <sheetName val="사급자재(1단계)"/>
      <sheetName val="6.일위목록"/>
      <sheetName val="설계명세서"/>
      <sheetName val="일위대가(출입)"/>
      <sheetName val="단가산출"/>
      <sheetName val="일위(설)"/>
      <sheetName val="원가계산서 "/>
      <sheetName val="ELECTRIC"/>
      <sheetName val="일위대가표"/>
      <sheetName val="실행"/>
      <sheetName val="설계명세서(a"/>
      <sheetName val="변수값"/>
      <sheetName val="중기상차"/>
      <sheetName val="AS복구"/>
      <sheetName val="중기터파기"/>
      <sheetName val="자  재"/>
      <sheetName val="건축외주"/>
      <sheetName val="총괄내역서"/>
      <sheetName val="1.설계기준"/>
      <sheetName val="청천내"/>
      <sheetName val="연습"/>
      <sheetName val="지하"/>
      <sheetName val="104동"/>
      <sheetName val="2006년일위대가"/>
      <sheetName val="주소"/>
      <sheetName val="간접"/>
      <sheetName val="급수 (LPM)"/>
      <sheetName val="16-1"/>
      <sheetName val="사업부배부A"/>
      <sheetName val="제품별단가"/>
      <sheetName val="제품별절단길이-0628"/>
      <sheetName val="건축내역(진해석동)"/>
      <sheetName val="동수"/>
      <sheetName val="누계12"/>
      <sheetName val="LP-S"/>
      <sheetName val="전체도급"/>
      <sheetName val="단가기준"/>
      <sheetName val="자료입력"/>
      <sheetName val="공통비(전체)"/>
      <sheetName val="공사내역"/>
      <sheetName val="일용직내역"/>
      <sheetName val="20관리비율"/>
      <sheetName val="계수시트"/>
      <sheetName val="홍보비디오"/>
      <sheetName val="Book4"/>
      <sheetName val=" HIT-&gt;HMC 견적(3900)"/>
      <sheetName val="I一般比"/>
      <sheetName val="설직재-1"/>
      <sheetName val="2F 회의실견적(5_14 일대)"/>
      <sheetName val="工완성공사율"/>
      <sheetName val="날개벽"/>
      <sheetName val="자판실행"/>
      <sheetName val="평내중"/>
      <sheetName val="총괄내역"/>
      <sheetName val="단가 (2)"/>
      <sheetName val="도급견적가"/>
      <sheetName val="직접수량"/>
      <sheetName val="연결관암거"/>
      <sheetName val="6호기"/>
      <sheetName val="pier(각형)"/>
      <sheetName val="총괄표"/>
      <sheetName val="말뚝물량"/>
      <sheetName val="실행철강하도"/>
      <sheetName val="COST"/>
      <sheetName val="단가 "/>
      <sheetName val="수목표준대가"/>
      <sheetName val="수목데이타 "/>
      <sheetName val="TRU"/>
      <sheetName val="FB25JN"/>
      <sheetName val="일위목록-기"/>
      <sheetName val="단"/>
      <sheetName val="국별인원"/>
      <sheetName val="현금"/>
      <sheetName val="CP-E2 (품셈표)"/>
      <sheetName val="A-4"/>
      <sheetName val="공통가설공사"/>
      <sheetName val="MIJIBI"/>
      <sheetName val="1차_내역서"/>
      <sheetName val="원가_(2)"/>
      <sheetName val="6PILE__(돌출)"/>
      <sheetName val="중기조종사_단위단가"/>
      <sheetName val="아파트_내역"/>
      <sheetName val="부대내역"/>
      <sheetName val="전력"/>
      <sheetName val="자재표"/>
      <sheetName val="합천내역"/>
      <sheetName val="PAC"/>
      <sheetName val="토적표"/>
      <sheetName val="갑지"/>
      <sheetName val="입력"/>
      <sheetName val="개요"/>
      <sheetName val="프랜트면허"/>
      <sheetName val="중강당 내역"/>
      <sheetName val="도급예산내역서봉투"/>
      <sheetName val="공사원가계산서"/>
      <sheetName val="도급예산내역서총괄표"/>
      <sheetName val="설계산출표지"/>
      <sheetName val="을부담운반비"/>
      <sheetName val="운반비산출"/>
      <sheetName val="구의동공내역서"/>
      <sheetName val="구조대가"/>
      <sheetName val="포설대가1"/>
      <sheetName val="부대대가"/>
      <sheetName val="토공사(흙막이)"/>
      <sheetName val="2003 일위대가"/>
      <sheetName val="SW개발대상목록(기능점수)"/>
      <sheetName val="설계산출기초"/>
      <sheetName val="3BL공동구 수량"/>
      <sheetName val="중기사용료산출근거"/>
      <sheetName val="단가산출2"/>
      <sheetName val="시설물기초"/>
      <sheetName val="실행내역서"/>
      <sheetName val="견적대비"/>
      <sheetName val="명세서"/>
      <sheetName val="덤프트럭계수"/>
      <sheetName val="음성방향"/>
      <sheetName val="건축공사 분괴표원본데이터(공통+건축)"/>
      <sheetName val="FOB발"/>
      <sheetName val="단가및재료비"/>
      <sheetName val="기본자료"/>
      <sheetName val="70%"/>
      <sheetName val="인사자료총집계"/>
      <sheetName val="주식"/>
      <sheetName val="99노임기준"/>
      <sheetName val="내역서적용수량"/>
      <sheetName val="실행대비"/>
      <sheetName val="일위대가표(유단가)"/>
      <sheetName val="단가(자재)"/>
      <sheetName val="단가(노임)"/>
      <sheetName val="기초목록"/>
      <sheetName val="설계예산서"/>
      <sheetName val="제직재"/>
      <sheetName val="전차선로 물량표"/>
      <sheetName val="工관리비율"/>
      <sheetName val="정부노임단가"/>
      <sheetName val="재료비"/>
      <sheetName val="공통(Ȳ_x0000__xd800_䧶_x0000__x0000_"/>
      <sheetName val="전기혼잡제경비(45)"/>
      <sheetName val="연부97-1"/>
      <sheetName val="갑지1"/>
      <sheetName val="기존단가 (2)"/>
      <sheetName val="Sheet5"/>
      <sheetName val="공구"/>
      <sheetName val="노임이"/>
      <sheetName val="유림골조"/>
      <sheetName val="비교1"/>
      <sheetName val="동원인원"/>
      <sheetName val="유기공정"/>
      <sheetName val="원가계산"/>
      <sheetName val="원가계산 (2)"/>
      <sheetName val="내   역"/>
      <sheetName val="DATA"/>
      <sheetName val="납부서"/>
      <sheetName val="예산명세서"/>
      <sheetName val="외주비"/>
      <sheetName val="소각장스케줄"/>
      <sheetName val="구리토평1전기"/>
      <sheetName val="덕전리"/>
      <sheetName val="fursys"/>
      <sheetName val="1000 DB구축 부표"/>
      <sheetName val="설계서"/>
      <sheetName val="1차설계변경내역"/>
      <sheetName val="단중표"/>
      <sheetName val="Tool"/>
      <sheetName val="신규DEP"/>
      <sheetName val="가로등내역서"/>
      <sheetName val="전기변내역"/>
      <sheetName val="공통(Ȳ"/>
      <sheetName val="공사기본내용입력"/>
      <sheetName val="기초자료입력"/>
      <sheetName val="경영"/>
      <sheetName val="98년"/>
      <sheetName val="실적"/>
      <sheetName val="직접경비"/>
      <sheetName val="직접인건비"/>
      <sheetName val="제-노임"/>
      <sheetName val="증감내역서"/>
      <sheetName val="이름정의"/>
      <sheetName val="터파기및재료"/>
      <sheetName val="1안"/>
      <sheetName val="현장관리비"/>
      <sheetName val="부대공Ⅱ"/>
      <sheetName val="시화점실행"/>
      <sheetName val="외삼초"/>
      <sheetName val="서울대규장각(가시설흙막이)"/>
      <sheetName val="CODE(2)"/>
      <sheetName val="기초입력 DATA"/>
      <sheetName val="부하계산서"/>
      <sheetName val="관접합및부설"/>
      <sheetName val="일위_파일"/>
      <sheetName val="소비자가"/>
      <sheetName val="단가 및 재료비"/>
      <sheetName val="출자한도"/>
      <sheetName val="전기"/>
      <sheetName val="Sheet1 (2)"/>
      <sheetName val="식재인부"/>
      <sheetName val="5사남"/>
      <sheetName val="RE9604"/>
      <sheetName val="현장관리"/>
      <sheetName val="대비2"/>
      <sheetName val="기초단가"/>
      <sheetName val="식재일위대가"/>
      <sheetName val="기초일위대가"/>
      <sheetName val="단가대비표"/>
      <sheetName val="소방"/>
      <sheetName val="원가+내역"/>
      <sheetName val="INPUT"/>
      <sheetName val="2)관접합"/>
      <sheetName val="03전반노무비"/>
      <sheetName val="건축내역"/>
      <sheetName val="SUMMARY"/>
      <sheetName val="PAINT"/>
      <sheetName val="분양가"/>
      <sheetName val="2.대외공문"/>
      <sheetName val="TEL"/>
      <sheetName val="부대대비"/>
      <sheetName val="냉연집계"/>
      <sheetName val="10월"/>
      <sheetName val="업체별기성내역"/>
      <sheetName val="목록"/>
      <sheetName val="¿øº¸"/>
      <sheetName val="Á¦¿ø"/>
      <sheetName val="ÀçÁý"/>
      <sheetName val="Àç"/>
      <sheetName val="°£Àç"/>
      <sheetName val="³ëÁý"/>
      <sheetName val="Á÷³ë"/>
      <sheetName val="³ë°ø"/>
      <sheetName val="ÀÓÀ²"/>
      <sheetName val="°£³ëºñ"/>
      <sheetName val="°æ»ê"/>
      <sheetName val="ÁøÂ¥³»¿ª"/>
      <sheetName val="´Ü°¡"/>
      <sheetName val="ÃÑ°ý"/>
      <sheetName val="Áý°è"/>
      <sheetName val="³»¿ª"/>
      <sheetName val="°ø·®Áý"/>
      <sheetName val="¹èºÎÀ²"/>
      <sheetName val="¿Ï¼º1"/>
      <sheetName val="¿Ï¼º2"/>
      <sheetName val="»êÀçºñÀ²"/>
      <sheetName val="¾ÈÀüºñÀ²"/>
      <sheetName val="ÀÏ¹ÝºñÀ²"/>
      <sheetName val="³ëÀÓ"/>
      <sheetName val="°ø·®"/>
      <sheetName val="Àü½Ã¿ø"/>
      <sheetName val="Àü½Ã³»"/>
      <sheetName val="Ç¥"/>
      <sheetName val="¸ñ"/>
      <sheetName val="¼³"/>
      <sheetName val="ÀÏ"/>
      <sheetName val="ÀÏÁýÇ¥"/>
      <sheetName val="ÀÏÀ§Ç¥"/>
      <sheetName val="¼öÇ¥"/>
      <sheetName val="¿ø°¡"/>
      <sheetName val="Áý°èÇ¥"/>
      <sheetName val="³»¿ª¼­(³»ºÎ)"/>
      <sheetName val="³»¿ª¼­"/>
      <sheetName val="ÀÏÀ§´ë°¡"/>
      <sheetName val="´Ü°¡»êÃâ¼­"/>
      <sheetName val="Áß±â»ç¿ë·á"/>
      <sheetName val="Àç·á´Ü°¡"/>
      <sheetName val="³ëÀÓ´Ü°¡"/>
      <sheetName val="ÃÑ°æ±âÀåº°³»¿ª¼­(10-11)"/>
      <sheetName val="°æ±âÀåº°³»¿ª¼­(12-107)"/>
      <sheetName val="1Â÷ ³»¿ª¼­"/>
      <sheetName val="ÀÏÀ§´ë°¡¸ñ·Ï"/>
      <sheetName val="ÇÑ°­¿î¹Ýºñ"/>
      <sheetName val="°øÅë(20-91)"/>
      <sheetName val="»ç´ç"/>
      <sheetName val="À»"/>
      <sheetName val="ÀÔÂû¾È"/>
      <sheetName val="¹é¾Ïºñ½ºÅ¸³»¿ª"/>
      <sheetName val="98Áö±Þ°èÈ¹"/>
      <sheetName val="¿ø°¡ (2)"/>
      <sheetName val="¹°°¡"/>
      <sheetName val="Á÷Àç"/>
      <sheetName val="6PILE  (µ¹Ãâ)"/>
      <sheetName val="ÀÏÀ§´ë°¡(4Ãþ¿ø°Ý)"/>
      <sheetName val="Â÷¾×º¸Áõ"/>
      <sheetName val="Ã¶°Å»êÃâ±Ù°Å"/>
      <sheetName val="ºÎ´ë°ø"/>
      <sheetName val="Æ÷Àå°ø"/>
      <sheetName val="Åä°ø"/>
      <sheetName val="°ßÀû¼­"/>
      <sheetName val="JòÁî§4"/>
      <sheetName val="±âÃÊ³»¿ª¼­"/>
      <sheetName val="¼ö·®»êÃâ"/>
      <sheetName val="´ë°¡¸ñ·ÏÇ¥"/>
      <sheetName val="ÇöÀå"/>
      <sheetName val="2°ø±¸»êÃâ³»¿ª"/>
      <sheetName val="³»¿ª¼­2¾È"/>
      <sheetName val="Ç°¼ÀTABLE"/>
      <sheetName val="Åä¸ñ°ø»çÀÏ¹Ý"/>
      <sheetName val="Ãß°¡´ëÈ­"/>
      <sheetName val="°øÅë°¡¼³"/>
      <sheetName val="¼³°è¼­(Ç¥Áö)"/>
      <sheetName val="¿ø°¡°è»ê¼­"/>
      <sheetName val="°ø»çÇöÈ²"/>
      <sheetName val="´Ü°¡Á¶»ç"/>
      <sheetName val="±Ý¾×³»¿ª¼­"/>
      <sheetName val="¼Ò¹æ»çÇ×"/>
      <sheetName val="±³Åë´ëÃ¥³»¿ª"/>
      <sheetName val="»êÃâ±Ù°Å"/>
      <sheetName val="ÀÚÀç´Ü°¡¸®½ºÆ®"/>
      <sheetName val="ÆÐ³Î"/>
      <sheetName val="°è¾ç°¡½Ã¼³"/>
      <sheetName val="³ë¹«"/>
      <sheetName val="°ø»ç°³¿ä"/>
      <sheetName val="½ÇÇà³»¿ª"/>
      <sheetName val="NìüëÒ-òÅ"/>
      <sheetName val="Æò°¡µ¥ÀÌÅÍ"/>
      <sheetName val="µµ±ÞFORM"/>
      <sheetName val="¾ÆÆÄÆ® ³»¿ª"/>
      <sheetName val="ÃÊ±âÈ­¸é"/>
      <sheetName val="°ü±ÞÀÚÀç"/>
      <sheetName val="TANK°ßÀû´ëÁö"/>
      <sheetName val="ÀÎ°Ç-ÃøÁ¤"/>
      <sheetName val="´ë»ó°ø»ç(Á¶´ÞÃ»)"/>
      <sheetName val="ÀÚ·á(ÅëÇÕ)"/>
      <sheetName val="ÀÏÀ§"/>
      <sheetName val="°ø»ç¿¹»êÇÏÁ¶¼­(O.K)"/>
      <sheetName val="³ë¹«ºñ"/>
      <sheetName val="±â°è°æºñ(½Ã°£´ç)"/>
      <sheetName val="·¥¸Ó"/>
      <sheetName val="ÆÄÀÏÀÇÀÌ¿ë"/>
      <sheetName val="¼³°è¸í¼¼¼­ (Àåºñ)"/>
      <sheetName val="±âº»ÀÏÀ§"/>
      <sheetName val="³»¿ª¼­(¼³ºñ+¼Ò¹æ)"/>
      <sheetName val="ÀüÃ¼"/>
      <sheetName val="°ñÁ¶½ÃÇà"/>
      <sheetName val="Ã·ºÎ1"/>
      <sheetName val="ºÎÀç¸®½ºÆ®"/>
      <sheetName val="º°Ç¥"/>
      <sheetName val="¼³°è³»¿ª¼­"/>
      <sheetName val="2°ø±¸ÇÏµµ±Þ³»¿ª¼­"/>
      <sheetName val="°ÇÃà¿ø°¡"/>
      <sheetName val="³»¿ª¼­ÃÑÁý°èÇ¥"/>
      <sheetName val="ÀÎÅ×¸®¾î³»¿ª"/>
      <sheetName val="°©Áö(ÃßÁ¤)"/>
      <sheetName val="Åä¸ñ"/>
      <sheetName val="ÇöÀå°æºñ"/>
      <sheetName val="Áß±âÁ¶Á¾»ç ´ÜÀ§´Ü°¡"/>
      <sheetName val="¿äÀ²"/>
      <sheetName val="2000.11¿ù¼³°è³»¿ª"/>
      <sheetName val="ÀÚ  Àç"/>
      <sheetName val="°ÇÃà¿ÜÁÖ"/>
      <sheetName val="½Ã¼³ÀåºñºÎÇÏ°è»ê¼­"/>
      <sheetName val="°¨°¡»ó°¢"/>
      <sheetName val="Åä»ç(PE)"/>
      <sheetName val="³¯°³º®"/>
      <sheetName val="약품공급2"/>
      <sheetName val="스텐문틀설치"/>
      <sheetName val="샌딩 에폭시 도장"/>
      <sheetName val="물가자료"/>
      <sheetName val="세금자료"/>
      <sheetName val="60명당사(총괄)"/>
      <sheetName val="손익분석"/>
      <sheetName val="자재대"/>
      <sheetName val="구간별현황"/>
      <sheetName val="기성청구서"/>
      <sheetName val="001"/>
      <sheetName val="견적내역"/>
      <sheetName val="ABUT수량-A1"/>
      <sheetName val="AIR SHOWER(3인용)"/>
      <sheetName val="Y-WORK"/>
      <sheetName val="공수"/>
      <sheetName val="산근"/>
      <sheetName val="PSCbeam설계"/>
      <sheetName val="업무"/>
      <sheetName val="명세"/>
      <sheetName val="외주"/>
      <sheetName val="호표"/>
      <sheetName val="도로정위치부표"/>
      <sheetName val="도로조사부표"/>
      <sheetName val="대표자"/>
      <sheetName val="1456"/>
      <sheetName val="단가_(2)"/>
      <sheetName val="자__재"/>
      <sheetName val="2000_11월설계내역"/>
      <sheetName val="CT_"/>
      <sheetName val="공사예산하조서(O_K)"/>
      <sheetName val="설계명세서_(장비)"/>
      <sheetName val="_HIT-&gt;HMC_견적(3900)"/>
      <sheetName val="2F_회의실견적(5_14_일대)"/>
      <sheetName val="원가계산서_"/>
      <sheetName val="단가_"/>
      <sheetName val="수목데이타_"/>
      <sheetName val="1_설계기준"/>
      <sheetName val="급수_(LPM)"/>
      <sheetName val="감리원배치기준"/>
      <sheetName val="책임감리공제요율"/>
      <sheetName val="등급별 배치기준"/>
      <sheetName val="건축설계 대가요율"/>
      <sheetName val="경율산정"/>
      <sheetName val="시멘트"/>
      <sheetName val="우수받이"/>
      <sheetName val="부안일위"/>
      <sheetName val="값"/>
      <sheetName val="노무비단가"/>
      <sheetName val="총차분(토목)"/>
      <sheetName val="간접비계산"/>
      <sheetName val="입력데이타"/>
      <sheetName val="대가단최종"/>
      <sheetName val="산출내역서"/>
      <sheetName val="한일양산"/>
      <sheetName val="단가산출목록표"/>
      <sheetName val="토목공사"/>
      <sheetName val="정산서 "/>
      <sheetName val="지질조사분석"/>
      <sheetName val="심사물량"/>
      <sheetName val="setup"/>
      <sheetName val="기타 정보통신공사"/>
      <sheetName val="산출내역서집계표"/>
      <sheetName val="1"/>
      <sheetName val="2"/>
      <sheetName val="3"/>
      <sheetName val="4"/>
      <sheetName val="5"/>
      <sheetName val="6"/>
      <sheetName val="설계내역"/>
      <sheetName val="설계"/>
      <sheetName val="운동장 (2)"/>
      <sheetName val="98NS-N"/>
      <sheetName val="유림콘도"/>
      <sheetName val="Base"/>
      <sheetName val="Baby일위대가"/>
      <sheetName val="단가산출서 (2)"/>
      <sheetName val="단청공사"/>
      <sheetName val="2000년1차"/>
      <sheetName val="원가서"/>
      <sheetName val="유수전환공사"/>
      <sheetName val="기본단가표"/>
      <sheetName val="1회 기성내역서"/>
      <sheetName val="참조"/>
      <sheetName val="PI"/>
      <sheetName val="2003상반기노임기준"/>
      <sheetName val="노임단가 (2)"/>
      <sheetName val="코드표"/>
      <sheetName val="99총공사내역서"/>
      <sheetName val="공량산출서"/>
      <sheetName val="data table"/>
      <sheetName val="빙축열"/>
      <sheetName val="간지"/>
      <sheetName val="열린교실"/>
      <sheetName val="집수정단위수량 "/>
      <sheetName val="자료"/>
      <sheetName val="Macro1"/>
      <sheetName val="도봉2지구"/>
      <sheetName val="조명시설"/>
      <sheetName val="사통"/>
      <sheetName val="전체지점"/>
      <sheetName val="수공기"/>
      <sheetName val="경율산정.XLS"/>
      <sheetName val="가격"/>
      <sheetName val="1.1서버도입"/>
      <sheetName val="대치판정"/>
      <sheetName val="고지전심사청구서"/>
      <sheetName val="DATA1"/>
      <sheetName val="실행예산"/>
      <sheetName val="관급자재대"/>
      <sheetName val="연구동"/>
      <sheetName val="danga"/>
      <sheetName val="ilch"/>
      <sheetName val="국영"/>
      <sheetName val="CTEMCOST"/>
      <sheetName val="SCHEDULE"/>
      <sheetName val="개산공사비"/>
      <sheetName val="200"/>
      <sheetName val="BOX전기내역"/>
      <sheetName val="공통(Ȳ?_xd800_䧶??"/>
      <sheetName val="6-1. 관개량조서"/>
      <sheetName val="3.공통공사대비"/>
      <sheetName val="b_balju"/>
      <sheetName val="기초목"/>
      <sheetName val="예산총괄"/>
      <sheetName val="용수량(생활용수)"/>
      <sheetName val="분전함신설"/>
      <sheetName val="접지1종"/>
      <sheetName val="작성"/>
      <sheetName val="공사명입력"/>
      <sheetName val="근로자자료입력"/>
      <sheetName val="참고자료"/>
      <sheetName val="시설물일위"/>
      <sheetName val="단가일람"/>
      <sheetName val="특수선일위대가"/>
      <sheetName val="JUCKEYK"/>
      <sheetName val="1TYPE"/>
      <sheetName val="본체"/>
      <sheetName val="A 견적"/>
      <sheetName val="시트"/>
      <sheetName val="시설일위"/>
      <sheetName val="기초일위"/>
      <sheetName val="조명일위"/>
      <sheetName val="L_RPTB02_01"/>
      <sheetName val="교각계산"/>
      <sheetName val="일반공사"/>
      <sheetName val="입찰"/>
      <sheetName val="현경"/>
      <sheetName val="설계변경총괄표(계산식)"/>
      <sheetName val="대비표(토공1안)"/>
      <sheetName val="Sheet6"/>
      <sheetName val="시중노임단가"/>
      <sheetName val="총물량"/>
      <sheetName val="용수간선"/>
      <sheetName val="표지"/>
      <sheetName val="설명서 "/>
      <sheetName val="해평견적"/>
      <sheetName val="견적"/>
      <sheetName val="08-공사비총괄표"/>
      <sheetName val="17-횡단측량야장"/>
      <sheetName val="공사내역서"/>
      <sheetName val="백룡교차로"/>
      <sheetName val="산정교차로"/>
      <sheetName val="신영교차로"/>
      <sheetName val="인건비"/>
      <sheetName val="투입비"/>
      <sheetName val="퍼스트"/>
      <sheetName val="자재일람"/>
      <sheetName val="현장경상비"/>
      <sheetName val="01-적용기준"/>
      <sheetName val="조건표"/>
      <sheetName val="토목검측서"/>
      <sheetName val="Customer Databas"/>
      <sheetName val="wall"/>
      <sheetName val="구분"/>
      <sheetName val="0312실기성"/>
      <sheetName val="06 일위대가목록"/>
      <sheetName val="건설기계"/>
      <sheetName val="사급자재"/>
      <sheetName val="수량집"/>
      <sheetName val="별표집계"/>
      <sheetName val="유지관리비등"/>
      <sheetName val="Sens&amp;Anal"/>
      <sheetName val="IS&lt;양식27&gt;"/>
      <sheetName val="총투자비산정"/>
      <sheetName val="자재단가"/>
      <sheetName val="VXXXXX"/>
      <sheetName val="적용대가"/>
      <sheetName val="지수내역"/>
      <sheetName val="노(97.1,97.9,98.1)"/>
      <sheetName val="조경적용"/>
      <sheetName val="조경내역"/>
      <sheetName val="기계적용"/>
      <sheetName val="기계내역"/>
      <sheetName val="계장적용 "/>
      <sheetName val="계장내역"/>
      <sheetName val="일위목록"/>
      <sheetName val="산출기준자료"/>
      <sheetName val="7단가"/>
      <sheetName val="EQ-R1"/>
      <sheetName val="공조기"/>
      <sheetName val="02하반기노임"/>
      <sheetName val="6PILE__(돌출)1"/>
      <sheetName val="1차_내역서1"/>
      <sheetName val="원가_(2)1"/>
      <sheetName val="아파트_내역1"/>
      <sheetName val="단가_(2)1"/>
      <sheetName val="자__재1"/>
      <sheetName val="중기조종사_단위단가1"/>
      <sheetName val="2000_11월설계내역1"/>
      <sheetName val="CT_1"/>
      <sheetName val="공사예산하조서(O_K)1"/>
      <sheetName val="설계명세서_(장비)1"/>
      <sheetName val="_HIT-&gt;HMC_견적(3900)1"/>
      <sheetName val="2F_회의실견적(5_14_일대)1"/>
      <sheetName val="원가계산서_1"/>
      <sheetName val="단가_1"/>
      <sheetName val="수목데이타_1"/>
      <sheetName val="1_설계기준1"/>
      <sheetName val="급수_(LPM)1"/>
      <sheetName val="중강당_내역"/>
      <sheetName val="CP-E2_(품셈표)"/>
      <sheetName val="2003_일위대가"/>
      <sheetName val="A_LINE"/>
      <sheetName val="준검_내역서"/>
      <sheetName val="전차선로_물량표"/>
      <sheetName val="내역서1999_8최종"/>
      <sheetName val="공통(Ȳ䧶"/>
      <sheetName val="건축공사_분괴표원본데이터(공통+건축)"/>
      <sheetName val="기존단가_(2)"/>
      <sheetName val="전선_및_전선관"/>
      <sheetName val="6_일위목록"/>
      <sheetName val="원가계산_(2)"/>
      <sheetName val="내___역"/>
      <sheetName val="1000_DB구축_부표"/>
      <sheetName val="1-최종안"/>
      <sheetName val="사업분석-분양가결정"/>
      <sheetName val="산식3"/>
      <sheetName val="구조물공1"/>
      <sheetName val="배수및구조물공1"/>
      <sheetName val="말뚝지지력산정"/>
      <sheetName val="9509"/>
      <sheetName val="기본자료입력"/>
      <sheetName val="실행견적"/>
      <sheetName val="돈암사업"/>
      <sheetName val="기본사항"/>
      <sheetName val="범례표"/>
      <sheetName val="실행보고서갑지"/>
      <sheetName val="데리네이타현황"/>
      <sheetName val="자동차폐수처리장"/>
      <sheetName val="시중노임(공사)"/>
      <sheetName val="배관BM(일반)"/>
      <sheetName val="APT"/>
      <sheetName val="단가조사(기계)"/>
      <sheetName val="설계명세서(종합)"/>
      <sheetName val="소요자재"/>
      <sheetName val="노무산출서"/>
      <sheetName val="을지"/>
      <sheetName val="공통(Ȳ?�䧶??"/>
      <sheetName val="BOX전기_x0010__x0000_"/>
      <sheetName val="BOX전기_x0010_?"/>
      <sheetName val="5-2.수량산출(A4)"/>
      <sheetName val="6-1.노임단가"/>
      <sheetName val="6-1.단가비교표"/>
      <sheetName val="상세"/>
      <sheetName val="램프"/>
      <sheetName val="진주방향"/>
      <sheetName val="공종목록표"/>
      <sheetName val="교대(A1-A2)"/>
      <sheetName val="4.중기단가산출"/>
      <sheetName val="일위대가목차"/>
      <sheetName val="설비(제출)"/>
      <sheetName val="단가비교표"/>
      <sheetName val="빗물받이(910-510-410)"/>
      <sheetName val="단위단가"/>
      <sheetName val="21301동"/>
      <sheetName val="참고"/>
      <sheetName val="초"/>
      <sheetName val="database"/>
      <sheetName val="기초해지2"/>
      <sheetName val="건축"/>
      <sheetName val="건축집"/>
      <sheetName val="1.설계조건"/>
      <sheetName val="11"/>
      <sheetName val="VII-2현장경비"/>
      <sheetName val="전국현황"/>
      <sheetName val="도급내역서"/>
      <sheetName val="단가산출1"/>
      <sheetName val="폐기물"/>
      <sheetName val="NAI"/>
      <sheetName val="준공정산"/>
      <sheetName val="공사요율산출표"/>
      <sheetName val="하수급견적대비"/>
      <sheetName val="Mc1"/>
      <sheetName val="직접경비산출근거"/>
      <sheetName val="수금예정"/>
      <sheetName val="Total 단위경유량집계"/>
      <sheetName val="산출금액내역"/>
      <sheetName val="용역비내역-진짜"/>
      <sheetName val="회계코드"/>
      <sheetName val="총무부"/>
      <sheetName val="정산"/>
      <sheetName val="청구분"/>
      <sheetName val="경리부"/>
      <sheetName val="견적내역서"/>
      <sheetName val="데이터 액세스"/>
      <sheetName val="A갑지"/>
      <sheetName val="COBS"/>
      <sheetName val="단위량"/>
      <sheetName val="재료집계표2"/>
      <sheetName val="토적집계표"/>
      <sheetName val="공비대비"/>
      <sheetName val="공사내역(총괄)"/>
      <sheetName val="대보~세기"/>
      <sheetName val="전기일위대가"/>
      <sheetName val="모체"/>
      <sheetName val="물가대비표"/>
      <sheetName val="변수"/>
      <sheetName val="조경"/>
      <sheetName val="공사비"/>
      <sheetName val="품셈"/>
      <sheetName val="중기집계"/>
      <sheetName val="총공사비"/>
      <sheetName val="인건비(VOICE)"/>
      <sheetName val="3본사"/>
      <sheetName val="전등설비"/>
      <sheetName val="ABUT수량-A_x0000_"/>
      <sheetName val="산출내역(K2)"/>
      <sheetName val="터널조도"/>
      <sheetName val="P-1"/>
      <sheetName val="기자재비"/>
      <sheetName val="ABUT수량-A桐"/>
      <sheetName val="물량산출서"/>
      <sheetName val="빌딩 안내"/>
      <sheetName val="토건"/>
      <sheetName val="토목내역"/>
      <sheetName val="ABUT수량-A堰"/>
      <sheetName val="Eng'g단가표(050204)"/>
      <sheetName val="CHECK LIST"/>
      <sheetName val="지급어음(일별)"/>
      <sheetName val="인원계획-미화"/>
      <sheetName val="일위대가 "/>
      <sheetName val="1차증가원가계산"/>
      <sheetName val="단위중량"/>
      <sheetName val="잡비근거"/>
      <sheetName val="협력업체"/>
      <sheetName val="견적단가"/>
      <sheetName val="SANBAISU"/>
      <sheetName val="실행(ALT1)"/>
      <sheetName val="토목내역서 (도급단가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/>
      <sheetData sheetId="852" refreshError="1"/>
      <sheetData sheetId="853" refreshError="1"/>
      <sheetData sheetId="854" refreshError="1"/>
      <sheetData sheetId="855" refreshError="1"/>
      <sheetData sheetId="856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명"/>
      <sheetName val="일명95"/>
      <sheetName val="일비"/>
      <sheetName val="일비95"/>
      <sheetName val="경명"/>
      <sheetName val="경명95"/>
      <sheetName val="경배"/>
      <sheetName val="경배95"/>
      <sheetName val="임율"/>
      <sheetName val="임율95"/>
      <sheetName val="간노비"/>
      <sheetName val="간노비95"/>
      <sheetName val="직노"/>
      <sheetName val="공정율"/>
      <sheetName val="pldt"/>
      <sheetName val="건집"/>
      <sheetName val="건축"/>
      <sheetName val="기설집"/>
      <sheetName val="설집"/>
      <sheetName val="XXXXXX"/>
      <sheetName val="VXXX"/>
      <sheetName val="진짜내역"/>
      <sheetName val="총괄"/>
      <sheetName val="집계"/>
      <sheetName val="내역"/>
      <sheetName val="공량집"/>
      <sheetName val="단가"/>
      <sheetName val="배부율"/>
      <sheetName val="완성1"/>
      <sheetName val="완성2"/>
      <sheetName val="산재비율"/>
      <sheetName val="안전비율"/>
      <sheetName val="일반비율"/>
      <sheetName val="노임"/>
      <sheetName val="공량"/>
      <sheetName val="VXXXXX"/>
      <sheetName val="적용대가"/>
      <sheetName val="지수내역"/>
      <sheetName val="노(97.1,97.9,98.1)"/>
      <sheetName val="노임단가"/>
      <sheetName val="저"/>
      <sheetName val="소비자가"/>
      <sheetName val="일위대가"/>
      <sheetName val="철거산출근거"/>
      <sheetName val="Baby일위대가"/>
      <sheetName val="경산"/>
      <sheetName val="일위대가목록"/>
      <sheetName val="내역서2안"/>
      <sheetName val="Sheet1"/>
      <sheetName val="일위_파일"/>
      <sheetName val="견적서"/>
      <sheetName val="표지"/>
      <sheetName val="간접비"/>
      <sheetName val="부분별수량산출(조합기초)"/>
      <sheetName val="KKK"/>
      <sheetName val="2공구산출내역"/>
      <sheetName val="내역서(삼호)"/>
      <sheetName val="단가조사"/>
      <sheetName val="출력은 금물"/>
      <sheetName val="일위대가(건축)"/>
      <sheetName val=" 냉각수펌프"/>
      <sheetName val="단가 "/>
      <sheetName val="Sheet3"/>
      <sheetName val="도급내역서"/>
      <sheetName val="아파트건축"/>
      <sheetName val="ilch"/>
      <sheetName val="일위대가표"/>
      <sheetName val="직재"/>
      <sheetName val="#REF"/>
      <sheetName val="COVER"/>
      <sheetName val="수량산출"/>
      <sheetName val="일위대가(출입)"/>
      <sheetName val="EJ"/>
      <sheetName val="손익분석"/>
      <sheetName val="일위목록"/>
      <sheetName val="J直材4"/>
      <sheetName val="일위대가(4층원격)"/>
      <sheetName val="을지"/>
      <sheetName val="적용건축"/>
      <sheetName val="식재일위대가"/>
      <sheetName val="대,유,램"/>
      <sheetName val="국별인원"/>
      <sheetName val="연결관암거"/>
      <sheetName val="기초일위대가"/>
      <sheetName val="단가대비표"/>
      <sheetName val="산출기초"/>
      <sheetName val="기계내역"/>
      <sheetName val="9GNG운반"/>
      <sheetName val="기계경비(시간당)"/>
      <sheetName val="램머"/>
      <sheetName val="차액보증"/>
      <sheetName val="Sheet1 (2)"/>
      <sheetName val="소방"/>
      <sheetName val="2F 회의실견적(5_14 일대)"/>
      <sheetName val="기자재비"/>
      <sheetName val="금액내역서"/>
      <sheetName val="물가자료"/>
      <sheetName val="데리네이타현황"/>
      <sheetName val="사급자재(1단계)"/>
      <sheetName val="N賃率-職"/>
      <sheetName val="1구간BOQ"/>
      <sheetName val="중기사용료"/>
      <sheetName val="단위중량"/>
      <sheetName val="내역서"/>
      <sheetName val="Sheet2"/>
      <sheetName val="sst,stl창호"/>
      <sheetName val="현장관리비 산출내역"/>
      <sheetName val="시설물기초"/>
      <sheetName val="쌍송교"/>
      <sheetName val="도급내역"/>
      <sheetName val="단가조사서"/>
      <sheetName val="Sheet5"/>
      <sheetName val="사업부배부A"/>
      <sheetName val="3BL공동구 수량"/>
      <sheetName val="부대내역"/>
      <sheetName val="주소"/>
      <sheetName val="노(97_1,97_9,98_1)"/>
      <sheetName val="출력은_금물"/>
      <sheetName val="_냉각수펌프"/>
      <sheetName val="단가_"/>
      <sheetName val="전담운영PM"/>
      <sheetName val="정부노임단가"/>
      <sheetName val="설계예시"/>
      <sheetName val="일반전기C"/>
      <sheetName val="공량(1월22일)"/>
      <sheetName val="1안"/>
      <sheetName val="을"/>
      <sheetName val="건축부하"/>
      <sheetName val="약전닥트"/>
      <sheetName val="일지-H"/>
      <sheetName val="김포IO"/>
      <sheetName val="LD"/>
      <sheetName val="FA설치명세"/>
      <sheetName val="처리단락"/>
      <sheetName val="조건표"/>
      <sheetName val="Sheet38"/>
      <sheetName val="COL"/>
      <sheetName val="터파기및재료"/>
      <sheetName val="단"/>
      <sheetName val="외주비"/>
      <sheetName val="수지예산"/>
      <sheetName val="1차 내역서"/>
      <sheetName val="Macro1"/>
      <sheetName val="수공기"/>
      <sheetName val="적용단위길이"/>
      <sheetName val="피벗테이블데이터분석"/>
      <sheetName val="특수기호강도거푸집"/>
      <sheetName val="종배수관면벽신"/>
      <sheetName val="종배수관(신)"/>
      <sheetName val="자료입력"/>
      <sheetName val="품셈"/>
      <sheetName val="단가산출"/>
      <sheetName val="부대공"/>
      <sheetName val="포장공"/>
      <sheetName val="토공"/>
      <sheetName val="Base"/>
      <sheetName val="원내역"/>
      <sheetName val="기계설비표선정수장"/>
      <sheetName val="중기손료"/>
      <sheetName val="기초단가"/>
      <sheetName val="건축원가"/>
      <sheetName val="INPUT"/>
      <sheetName val="소운반"/>
      <sheetName val="집수정단면도 (2)"/>
      <sheetName val="9509"/>
      <sheetName val="부속동"/>
      <sheetName val="설직재-1"/>
      <sheetName val="대운반(철재)"/>
      <sheetName val="DATA"/>
      <sheetName val="데이타"/>
      <sheetName val="표지1"/>
      <sheetName val="골조시행"/>
      <sheetName val="샘플표지"/>
      <sheetName val="대보~세기"/>
      <sheetName val="AHU집계"/>
      <sheetName val="일위"/>
      <sheetName val="산출-설비"/>
      <sheetName val="흥양2교토공집계표"/>
      <sheetName val="I一般比"/>
      <sheetName val="C3"/>
      <sheetName val="납부서"/>
      <sheetName val="대목"/>
      <sheetName val="일위대가내역"/>
      <sheetName val="목록"/>
      <sheetName val="ESCO개보수공사"/>
      <sheetName val="BOQ(전체)"/>
      <sheetName val="산출내역서"/>
      <sheetName val="공사예산하조서(O.K)"/>
      <sheetName val="토목내역서 (도급단가)"/>
      <sheetName val="전기일위대가"/>
      <sheetName val="기둥(원형)"/>
      <sheetName val="기초공"/>
      <sheetName val="공통(20-91)"/>
      <sheetName val="원가계산"/>
      <sheetName val="수정내역"/>
      <sheetName val="실행내역"/>
      <sheetName val="전시원"/>
      <sheetName val="전시내"/>
      <sheetName val="표"/>
      <sheetName val="목"/>
      <sheetName val="설 (3)"/>
      <sheetName val="설 (2)"/>
      <sheetName val="설"/>
      <sheetName val="일"/>
      <sheetName val="일집표"/>
      <sheetName val="일위표"/>
      <sheetName val="수표"/>
      <sheetName val="총집"/>
      <sheetName val="원가"/>
      <sheetName val="집계표"/>
      <sheetName val="제작총집계표"/>
      <sheetName val="총경기장별내역서(10-11)"/>
      <sheetName val="경기장별내역서(12-107)"/>
      <sheetName val="단가산출서"/>
      <sheetName val="재료단가"/>
      <sheetName val="현장"/>
      <sheetName val="예산M11A"/>
      <sheetName val="건축내역"/>
      <sheetName val="101동"/>
      <sheetName val="2000년1차"/>
      <sheetName val="2000전체분"/>
      <sheetName val="출자한도"/>
      <sheetName val="교통대책내역"/>
      <sheetName val="일대-1"/>
      <sheetName val="공사개요(서광주)"/>
      <sheetName val="백암비스타내역"/>
      <sheetName val="MAIN_TABLE"/>
      <sheetName val="기본일위"/>
      <sheetName val="기초자료"/>
      <sheetName val="도시가스현황"/>
      <sheetName val="설계내역서"/>
      <sheetName val="TANK견적대지"/>
      <sheetName val="공조기휀"/>
      <sheetName val="단1"/>
      <sheetName val="Y-WORK"/>
      <sheetName val="골재산출"/>
      <sheetName val="5공철탑검토표"/>
      <sheetName val="4공철탑검토"/>
      <sheetName val="조명율표"/>
      <sheetName val="CTEMCOST"/>
      <sheetName val="공사비총괄표"/>
      <sheetName val="재료"/>
      <sheetName val="식재수량표"/>
      <sheetName val="ABUT수량-A1"/>
      <sheetName val="용산1(해보)"/>
      <sheetName val="연결관단위"/>
      <sheetName val="일반공사"/>
      <sheetName val="내역(100%)"/>
      <sheetName val="총괄표"/>
      <sheetName val="ELECTRIC"/>
      <sheetName val="공내역"/>
      <sheetName val="danga"/>
      <sheetName val="예산총괄표"/>
      <sheetName val="인건비"/>
      <sheetName val="가로등내역서"/>
      <sheetName val="공사미수"/>
      <sheetName val="대공종"/>
      <sheetName val="말뚝지지력산정"/>
      <sheetName val="Mc1"/>
      <sheetName val="WORK"/>
      <sheetName val="산출근거(단청공사)"/>
      <sheetName val="갑지(추정)"/>
      <sheetName val="사업수지"/>
      <sheetName val="WEIGHT LIST"/>
      <sheetName val="POL6차-PIPING"/>
      <sheetName val="물량"/>
      <sheetName val="산#2-1 (2)"/>
      <sheetName val="산#3-1"/>
      <sheetName val="재집"/>
      <sheetName val="기본단가표"/>
      <sheetName val="식재인부"/>
      <sheetName val="영창26"/>
      <sheetName val="요율"/>
      <sheetName val="본공사"/>
      <sheetName val="적용토목"/>
      <sheetName val="갑지"/>
      <sheetName val="기초내역서"/>
      <sheetName val="대가목록표"/>
      <sheetName val="내역서중"/>
      <sheetName val="일위(PANEL)"/>
      <sheetName val="대로근거"/>
      <sheetName val="관로토공"/>
      <sheetName val="우수관"/>
      <sheetName val="토사(PE)"/>
      <sheetName val="실행"/>
      <sheetName val="설계서"/>
      <sheetName val="산근"/>
      <sheetName val="AIR SHOWER(3인용)"/>
      <sheetName val="연부97-1"/>
      <sheetName val="자갈,시멘트,모래산출"/>
      <sheetName val="자료"/>
      <sheetName val="차수공개요"/>
      <sheetName val="본체"/>
      <sheetName val="철탑공사"/>
      <sheetName val="예산"/>
      <sheetName val="Customer Databas"/>
      <sheetName val="위생설비"/>
      <sheetName val="스포회원매출"/>
      <sheetName val="원가 (2)"/>
      <sheetName val="#2_일위대가목록"/>
      <sheetName val="패널"/>
      <sheetName val="DAN"/>
      <sheetName val="백호우계수"/>
      <sheetName val="설계서을"/>
      <sheetName val="Pier 3"/>
      <sheetName val="공주-교대(A1)"/>
      <sheetName val="ITEM"/>
      <sheetName val="tggwan(mac)"/>
      <sheetName val="단가 및 재료비"/>
      <sheetName val="중기사용료산출근거"/>
      <sheetName val="도로정위치부표"/>
      <sheetName val="도로조사부표"/>
      <sheetName val="설계기준"/>
      <sheetName val="내역1"/>
      <sheetName val="70%"/>
      <sheetName val="길어깨(현황)"/>
      <sheetName val="MOTOR"/>
      <sheetName val="CP-E2 (품셈표)"/>
      <sheetName val="실행철강하도"/>
      <sheetName val="덤프트럭계수"/>
      <sheetName val="(4-2)열관류값-2"/>
      <sheetName val="부하계산서"/>
      <sheetName val="내역1공구"/>
      <sheetName val="노무비"/>
      <sheetName val="인사자료총집계"/>
      <sheetName val="일위목록-기"/>
      <sheetName val="미드수량"/>
      <sheetName val="터널대가"/>
      <sheetName val="품셈TABLE"/>
      <sheetName val="자재단가"/>
      <sheetName val="6PILE  (돌출)"/>
      <sheetName val="asd"/>
      <sheetName val="지질조사"/>
      <sheetName val="단중표"/>
      <sheetName val="Inst."/>
      <sheetName val="1"/>
      <sheetName val="교수설계"/>
      <sheetName val="산출근거"/>
      <sheetName val="당초"/>
      <sheetName val="교각별철근수량집계표"/>
      <sheetName val="LF자재단가"/>
      <sheetName val="코드표"/>
      <sheetName val="재료비노무비"/>
      <sheetName val="지하"/>
      <sheetName val="도급기성"/>
      <sheetName val="설비단가표"/>
      <sheetName val="NYS"/>
      <sheetName val="일위대가목차"/>
      <sheetName val="토공(우물통,기타) "/>
      <sheetName val="6호기"/>
      <sheetName val="식생블럭단위수량"/>
      <sheetName val="노임,재료비"/>
      <sheetName val="토공 total"/>
      <sheetName val="기술부대조건"/>
      <sheetName val="RE9604"/>
      <sheetName val="LEGEND"/>
      <sheetName val="102역사"/>
      <sheetName val="Sheet6"/>
      <sheetName val="오수공수량집계표"/>
      <sheetName val="입찰안"/>
      <sheetName val="공사직종별노임"/>
      <sheetName val="율촌법률사무소2내역"/>
      <sheetName val="노무,재료"/>
      <sheetName val="내역서(중수)"/>
      <sheetName val="CAT_5"/>
      <sheetName val="단가비교표_공통1"/>
      <sheetName val="48전력선로일위"/>
      <sheetName val="단가표"/>
      <sheetName val="CIVIL4"/>
      <sheetName val="원가계산서"/>
      <sheetName val="특외대"/>
      <sheetName val="첨부1"/>
      <sheetName val="국내"/>
      <sheetName val="중기"/>
      <sheetName val=" HIT-&gt;HMC 견적(3900)"/>
      <sheetName val="96정변2"/>
      <sheetName val="공통가설공사"/>
      <sheetName val="조명시설"/>
      <sheetName val="대치판정"/>
      <sheetName val="원가서"/>
      <sheetName val="전기일위목록"/>
      <sheetName val="001"/>
      <sheetName val="견적"/>
      <sheetName val="단위내역서"/>
      <sheetName val="당진1,2호기전선관설치및접지4차공사내역서-을지"/>
      <sheetName val="본체철근표"/>
      <sheetName val="노 무 비"/>
      <sheetName val="카메라"/>
      <sheetName val="계약서"/>
      <sheetName val="제작비추산총괄표"/>
      <sheetName val="갑"/>
      <sheetName val="설_(3)"/>
      <sheetName val="설_(2)"/>
      <sheetName val="3BL공동구_수량"/>
      <sheetName val="Customer_Databas"/>
      <sheetName val="토공_total"/>
      <sheetName val="_HIT-&gt;HMC_견적(3900)"/>
      <sheetName val="토공(우물통,기타)_"/>
      <sheetName val="AIR_SHOWER(3인용)"/>
      <sheetName val="6PILE__(돌출)"/>
      <sheetName val="원가_(2)"/>
      <sheetName val="1.설계조건"/>
      <sheetName val="사다리"/>
      <sheetName val="내역(원안-대안)"/>
      <sheetName val="부대공Ⅱ"/>
      <sheetName val="조경일람"/>
      <sheetName val="guard(mac)"/>
      <sheetName val="도급견적가"/>
      <sheetName val="주beam"/>
      <sheetName val="기계공사비집계(원안)"/>
      <sheetName val="sub"/>
      <sheetName val="기타 정보통신공사"/>
      <sheetName val="상가분양"/>
      <sheetName val="배수내역"/>
      <sheetName val="기흥하도용"/>
      <sheetName val="연습"/>
      <sheetName val="내역서1"/>
      <sheetName val="일위(철거)"/>
      <sheetName val="공량산출서"/>
      <sheetName val="합천내역"/>
      <sheetName val="아파트"/>
      <sheetName val="공통비(전체)"/>
      <sheetName val="내역5"/>
      <sheetName val="성곽내역서"/>
      <sheetName val="인건-측정"/>
      <sheetName val="단가산출(T)"/>
      <sheetName val="기타자료"/>
      <sheetName val="파일의이용"/>
      <sheetName val="급수"/>
      <sheetName val="DATA 입력란"/>
      <sheetName val="1. 설계조건 2.단면가정 3. 하중계산"/>
      <sheetName val="1공구내역"/>
      <sheetName val="별표"/>
      <sheetName val="건축공사실행"/>
      <sheetName val="중기일위대가"/>
      <sheetName val="리스(CIF)산출"/>
      <sheetName val="설계조건"/>
      <sheetName val="원가계산 (2)"/>
      <sheetName val="배수공"/>
      <sheetName val="건축기성"/>
      <sheetName val="예가표"/>
      <sheetName val="노(97_1,97_9,98_1)1"/>
      <sheetName val="출력은_금물1"/>
      <sheetName val="_냉각수펌프1"/>
      <sheetName val="단가_1"/>
      <sheetName val="현장관리비_산출내역"/>
      <sheetName val="토목내역서_(도급단가)"/>
      <sheetName val="Sheet1_(2)"/>
      <sheetName val="2F_회의실견적(5_14_일대)"/>
      <sheetName val="DATA_입력란"/>
      <sheetName val="1__설계조건_2_단면가정_3__하중계산"/>
      <sheetName val="1차_내역서"/>
      <sheetName val="공사예산하조서(O_K)"/>
      <sheetName val="원가계산_(2)"/>
      <sheetName val="Inst_"/>
      <sheetName val="익산"/>
      <sheetName val="BOX전기내역"/>
      <sheetName val="폐토수익화 "/>
      <sheetName val="골막이(야매)"/>
      <sheetName val="공종별내역서"/>
      <sheetName val="공사비"/>
      <sheetName val="60명당사(총괄)"/>
      <sheetName val="★도급내역"/>
      <sheetName val="BID"/>
      <sheetName val="담장산출"/>
      <sheetName val="소각장스케줄"/>
      <sheetName val="공통단가"/>
      <sheetName val="운반비"/>
      <sheetName val="기준FACTOR"/>
      <sheetName val="산출목록표"/>
      <sheetName val="工관리비율"/>
      <sheetName val="工완성공사율"/>
      <sheetName val="간접재료비산출표-27-30"/>
      <sheetName val="열린교실"/>
      <sheetName val="정산서 "/>
      <sheetName val="심사계산"/>
      <sheetName val="심사물량"/>
      <sheetName val="원가계산서 "/>
      <sheetName val="교각토공"/>
      <sheetName val="공사비집계"/>
      <sheetName val="1공구산출내역서"/>
      <sheetName val="우각부보강"/>
      <sheetName val="견적업체"/>
      <sheetName val="계수시트"/>
      <sheetName val="효성CB 1P기초"/>
      <sheetName val="교사기준면적(초등)"/>
      <sheetName val="일위대가 "/>
      <sheetName val="도급예산내역서봉투"/>
      <sheetName val="공사원가계산서"/>
      <sheetName val="설계산출표지"/>
      <sheetName val="도급예산내역서총괄표"/>
      <sheetName val="을부담운반비"/>
      <sheetName val="설계산출기초"/>
      <sheetName val="운반비산출"/>
      <sheetName val="공통가설"/>
      <sheetName val="약품공급2"/>
      <sheetName val="물량입력"/>
      <sheetName val="E총15"/>
      <sheetName val="수주추정"/>
      <sheetName val="내역(설계)"/>
      <sheetName val="ELEC"/>
      <sheetName val="역공종"/>
      <sheetName val="시멘트"/>
      <sheetName val="공사개요"/>
      <sheetName val="금액집계"/>
      <sheetName val="갑지1"/>
      <sheetName val="전선 및 전선관"/>
      <sheetName val="N賃率_職"/>
      <sheetName val="간접1"/>
      <sheetName val="장비가동"/>
      <sheetName val="내역표지"/>
      <sheetName val="제-노임"/>
      <sheetName val="제직재"/>
      <sheetName val="내역서 "/>
      <sheetName val="물량표"/>
      <sheetName val="200"/>
      <sheetName val="민감도"/>
      <sheetName val="DATE"/>
      <sheetName val="공사착공계"/>
      <sheetName val="예산변경사항"/>
      <sheetName val="총체보활공정표"/>
      <sheetName val="전기공사일위대가"/>
      <sheetName val="수량집계"/>
      <sheetName val="잡비계산"/>
      <sheetName val="날개벽"/>
      <sheetName val="설치자재"/>
      <sheetName val="변경내역"/>
      <sheetName val="교각1"/>
      <sheetName val="파형강관및곡선부보강및날개벽"/>
      <sheetName val="코드"/>
      <sheetName val="단위수량산출"/>
      <sheetName val="식재가격"/>
      <sheetName val="식재총괄"/>
      <sheetName val="Tool"/>
      <sheetName val="구간산출"/>
      <sheetName val="견적서1"/>
      <sheetName val="가시설단위수량"/>
      <sheetName val="단위수량"/>
      <sheetName val="SORCE1"/>
      <sheetName val="3F"/>
      <sheetName val="수리결과"/>
      <sheetName val="노무비단가"/>
      <sheetName val="SG"/>
      <sheetName val="단위단가"/>
      <sheetName val="요약&amp;결과"/>
      <sheetName val="금융"/>
      <sheetName val="일위목록데이타"/>
      <sheetName val="전기"/>
      <sheetName val="전기단가조사서"/>
      <sheetName val="화전내"/>
      <sheetName val="TEMP"/>
      <sheetName val="JA"/>
      <sheetName val="지주토목내역서"/>
      <sheetName val="원가계산서(남측)"/>
      <sheetName val="비교표"/>
      <sheetName val="배관BM(일반)"/>
      <sheetName val="일위대가(가설)"/>
      <sheetName val="상하차비용(기계상차)"/>
      <sheetName val="수간보호"/>
      <sheetName val="한전일위"/>
      <sheetName val="단가및재료비"/>
      <sheetName val="이토변실(A3-LINE)"/>
      <sheetName val="수목표준대가"/>
      <sheetName val="실행내역 "/>
      <sheetName val="노무비 근거"/>
      <sheetName val="총수량집계표"/>
      <sheetName val="일위대가1"/>
      <sheetName val="JUCKEYK"/>
      <sheetName val="경영상태"/>
      <sheetName val="하도급원가계산총괄표(식재)"/>
      <sheetName val="토공집계표"/>
      <sheetName val="내역서 제출"/>
      <sheetName val="부하자료"/>
      <sheetName val="COST"/>
      <sheetName val="청주(철골발주의뢰서)"/>
      <sheetName val="반포2차"/>
      <sheetName val="2000.05"/>
      <sheetName val="98지급계획"/>
      <sheetName val="찍기"/>
      <sheetName val="날개벽수량표"/>
      <sheetName val="#3_일위대가목록"/>
      <sheetName val="세골재  T2 변경 현황"/>
      <sheetName val="2000년 공정표"/>
      <sheetName val="통합집계표"/>
      <sheetName val="3본사"/>
      <sheetName val="단가일람"/>
      <sheetName val="유기공정"/>
      <sheetName val="갑지.을지"/>
      <sheetName val="일위대가(1)"/>
      <sheetName val="직접공사비"/>
      <sheetName val="Sheet7(ㅅ)"/>
      <sheetName val="일위(시설)"/>
      <sheetName val="총괄내역"/>
      <sheetName val="유림콘도"/>
      <sheetName val="봉방동근생"/>
      <sheetName val="화의-현금흐름"/>
      <sheetName val="BSD (2)"/>
      <sheetName val="구성1"/>
      <sheetName val="구성2"/>
      <sheetName val="구성3"/>
      <sheetName val="구성4"/>
      <sheetName val="물가시세"/>
      <sheetName val="국도접속 차도부수량"/>
      <sheetName val="내역관리1"/>
      <sheetName val="백룡교차로"/>
      <sheetName val="산정교차로"/>
      <sheetName val="신영교차로"/>
      <sheetName val="내역서(기성청구)"/>
      <sheetName val="정거장 설계조건"/>
      <sheetName val="부대"/>
      <sheetName val="일위CODE"/>
      <sheetName val="gyun"/>
      <sheetName val="그림2"/>
      <sheetName val="단재적표"/>
      <sheetName val="특별땅고르기"/>
      <sheetName val="세부내역서(전기)"/>
      <sheetName val="구의33고"/>
      <sheetName val="인적사항"/>
      <sheetName val="설계"/>
      <sheetName val="투찰가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도급내역서(재노경)"/>
      <sheetName val="터널조도"/>
      <sheetName val="별표 "/>
      <sheetName val="청도공장"/>
      <sheetName val="자재표"/>
      <sheetName val="신우"/>
      <sheetName val="하이테콤직원"/>
      <sheetName val="전기내역"/>
      <sheetName val="3.2제조설비"/>
      <sheetName val="참고"/>
      <sheetName val="보증수수료산출"/>
      <sheetName val="01상노임"/>
      <sheetName val="입력변수"/>
      <sheetName val="기초일위"/>
      <sheetName val="지점장"/>
      <sheetName val="원본"/>
      <sheetName val="암거단위"/>
      <sheetName val="단가대비표 (3)"/>
      <sheetName val="원가총괄"/>
      <sheetName val="수량산출(생반)"/>
      <sheetName val="청곡지선입력"/>
      <sheetName val="조명율"/>
      <sheetName val="개요"/>
      <sheetName val="노임단가(08.01)"/>
      <sheetName val="현장관리비"/>
      <sheetName val="유림골조"/>
      <sheetName val="(1)본선수량집계"/>
      <sheetName val="20관리비율"/>
      <sheetName val="그림"/>
      <sheetName val="현장관리비참조"/>
      <sheetName val="산출0"/>
      <sheetName val="집수정토공"/>
      <sheetName val="설계명세서"/>
      <sheetName val="남양시작동자105노65기1.3화1.2"/>
      <sheetName val="구리토평1전기"/>
      <sheetName val="C.전기공사"/>
      <sheetName val="인테리어내역"/>
      <sheetName val="토적표(광혁측량)"/>
      <sheetName val="간접(90)"/>
      <sheetName val="현장경비"/>
      <sheetName val="화재 탐지 설비"/>
      <sheetName val="포승중환경개선공사(변경)"/>
      <sheetName val="내역전기"/>
      <sheetName val="현장관리비데이타"/>
      <sheetName val="인원계획-미화"/>
      <sheetName val="일용노임단가"/>
      <sheetName val="냉천부속동"/>
      <sheetName val="TABLE"/>
      <sheetName val="RAHMEN"/>
      <sheetName val="AV시스템"/>
      <sheetName val="민속촌메뉴"/>
      <sheetName val="2F 회의실견적_5_14 일대_"/>
      <sheetName val="97"/>
      <sheetName val="일위대가목록 "/>
      <sheetName val="공사입찰정보입력"/>
      <sheetName val="b_balju"/>
      <sheetName val="내역서적용수량"/>
      <sheetName val="가도공"/>
      <sheetName val="직공비"/>
      <sheetName val="A 견적"/>
      <sheetName val="FAX"/>
      <sheetName val="간접비계산"/>
      <sheetName val="J-EQ"/>
      <sheetName val="유림총괄"/>
      <sheetName val="예산서"/>
      <sheetName val="구천"/>
      <sheetName val="전계가"/>
      <sheetName val="작업일보"/>
      <sheetName val="산출금액내역"/>
      <sheetName val="내역서01"/>
      <sheetName val="수배전반"/>
      <sheetName val="용역비내역-진짜"/>
      <sheetName val="01"/>
      <sheetName val="부대집계"/>
      <sheetName val="관급단가"/>
      <sheetName val="기초입력 DATA"/>
      <sheetName val="공사비산출서"/>
      <sheetName val="한강운반비"/>
      <sheetName val="접지수량"/>
      <sheetName val="제경비율"/>
      <sheetName val="기본가정"/>
      <sheetName val="작성"/>
      <sheetName val="WING3"/>
      <sheetName val="PIPING"/>
      <sheetName val="수량총괄"/>
      <sheetName val="견적(100%)"/>
      <sheetName val="입상내역"/>
      <sheetName val="기초자료입력"/>
      <sheetName val="철근중량"/>
      <sheetName val="실행(1)"/>
      <sheetName val="가락화장을지"/>
      <sheetName val="변경내역(전체)"/>
      <sheetName val="기초입력"/>
      <sheetName val="빌딩 안내"/>
      <sheetName val="설_(3)1"/>
      <sheetName val="설_(2)1"/>
      <sheetName val="3BL공동구_수량1"/>
      <sheetName val="1_설계조건"/>
      <sheetName val="2000년_공정표"/>
      <sheetName val="노무비_근거"/>
      <sheetName val="전선_및_전선관"/>
      <sheetName val="효성CB_1P기초"/>
      <sheetName val="내역서_제출"/>
      <sheetName val="입력"/>
      <sheetName val="&lt;--"/>
      <sheetName val="16-1"/>
      <sheetName val="단가비교"/>
      <sheetName val="1000 DB구축 부표"/>
      <sheetName val="CT "/>
      <sheetName val="발신정보"/>
      <sheetName val="기초대가"/>
      <sheetName val="조도계산서 (도서)"/>
      <sheetName val="명세서"/>
      <sheetName val="맨홀수량산출"/>
      <sheetName val="Total"/>
      <sheetName val="예산총괄"/>
      <sheetName val="옥외계측"/>
      <sheetName val="CODE"/>
      <sheetName val="전체"/>
      <sheetName val="인공"/>
      <sheetName val="도급자재"/>
      <sheetName val="참조자료"/>
      <sheetName val="교각계산"/>
      <sheetName val="직접노무"/>
      <sheetName val="직접재료"/>
      <sheetName val="계측기"/>
      <sheetName val="전기2005"/>
      <sheetName val="통신2005"/>
      <sheetName val="총괄집계표"/>
      <sheetName val="철콘"/>
      <sheetName val="표  지"/>
      <sheetName val="분전반"/>
      <sheetName val="품셈총괄"/>
      <sheetName val="표층포설및다짐"/>
      <sheetName val="공문"/>
      <sheetName val="0Title"/>
      <sheetName val="추가예산"/>
      <sheetName val="오동"/>
      <sheetName val="대조"/>
      <sheetName val="나한"/>
      <sheetName val="부하"/>
      <sheetName val="DATA테이블1 (2)"/>
      <sheetName val="건축기계설비표선정수장"/>
      <sheetName val="DB"/>
      <sheetName val="공연,전시"/>
      <sheetName val="s.v"/>
      <sheetName val="국내조달(통합-1)"/>
      <sheetName val="도담구내 개소별 명세"/>
      <sheetName val="지급자재"/>
      <sheetName val="금융비용"/>
      <sheetName val="콘크리트"/>
      <sheetName val="노무단가산정"/>
      <sheetName val="인공산출"/>
      <sheetName val="주요기준"/>
      <sheetName val="자재단가비교표"/>
      <sheetName val="건설기계사용료목록"/>
      <sheetName val="집"/>
      <sheetName val="간선계산"/>
      <sheetName val="계화배수"/>
      <sheetName val="99년하반기"/>
      <sheetName val="철근집계"/>
      <sheetName val="COPING"/>
      <sheetName val="예비용"/>
      <sheetName val="기초목록"/>
      <sheetName val="단가(자재)"/>
      <sheetName val="공사추진현황"/>
      <sheetName val="와동수량"/>
      <sheetName val="직원현황"/>
      <sheetName val="공정코드"/>
      <sheetName val="상행-교대(A1-A2)"/>
      <sheetName val="전기설계변경"/>
      <sheetName val="전체제잡비"/>
      <sheetName val="바닥판"/>
      <sheetName val="입력DATA"/>
      <sheetName val="부자재 적용비율"/>
      <sheetName val="인부노임"/>
      <sheetName val="원가계산서(변경)"/>
      <sheetName val="조정율"/>
      <sheetName val="노임200103"/>
      <sheetName val="자재테이블"/>
      <sheetName val="양식_자재단가조사표"/>
      <sheetName val="하중계산"/>
      <sheetName val="안정성검토"/>
      <sheetName val="포장복구집계"/>
      <sheetName val="공기압축기실"/>
      <sheetName val="집수A"/>
      <sheetName val="SHEET PILE단가"/>
      <sheetName val="사유서제출현황-2"/>
      <sheetName val="수량산출서"/>
      <sheetName val="조명일위"/>
      <sheetName val="준공정산"/>
      <sheetName val="실행대비"/>
      <sheetName val="일위총괄표"/>
      <sheetName val="기초분물량표"/>
      <sheetName val="세부내역"/>
      <sheetName val="실행-집행"/>
      <sheetName val="특별교실"/>
      <sheetName val="5.동별횡주관경"/>
      <sheetName val="Uint보온"/>
      <sheetName val="가설공사"/>
      <sheetName val="조건표 (2)"/>
      <sheetName val="퍼스트"/>
      <sheetName val="시운전연료비"/>
      <sheetName val="예산명세서"/>
      <sheetName val="합의경상"/>
      <sheetName val="B-data"/>
      <sheetName val="천방교접속"/>
      <sheetName val="대포2교접속"/>
      <sheetName val="진흥지역조서(구역밖)"/>
      <sheetName val="건축공사"/>
      <sheetName val="신규 수주분(사용자 정의)"/>
      <sheetName val="동해title"/>
      <sheetName val="설-원가"/>
      <sheetName val="단중"/>
      <sheetName val="문학간접"/>
      <sheetName val="자재일람"/>
      <sheetName val="제출내역 (3)"/>
      <sheetName val="기성내역서표지"/>
      <sheetName val="도로일위대가표"/>
      <sheetName val="지하시설물작성"/>
      <sheetName val="hvac내역서(제어동)"/>
      <sheetName val="비교1"/>
      <sheetName val="5흙막이"/>
      <sheetName val="내부예산(5101~3)"/>
      <sheetName val="토목공사"/>
      <sheetName val="A LINE"/>
      <sheetName val="창원- 전기공사"/>
      <sheetName val="sw1"/>
      <sheetName val="NOMUBI"/>
      <sheetName val="06 일위대가목록"/>
      <sheetName val="투입내역"/>
      <sheetName val="자금신청서"/>
      <sheetName val="매입-계약"/>
      <sheetName val="5사남"/>
      <sheetName val="시험물량산출"/>
      <sheetName val="모델링"/>
      <sheetName val="견적내역서"/>
      <sheetName val="계산표지"/>
      <sheetName val="노(97_1,97_9,98_1)2"/>
      <sheetName val="출력은_금물2"/>
      <sheetName val="_냉각수펌프2"/>
      <sheetName val="단가_2"/>
      <sheetName val="현장관리비_산출내역1"/>
      <sheetName val="토목내역서_(도급단가)1"/>
      <sheetName val="Sheet1_(2)1"/>
      <sheetName val="2F_회의실견적(5_14_일대)1"/>
      <sheetName val="DATA_입력란1"/>
      <sheetName val="1__설계조건_2_단면가정_3__하중계산1"/>
      <sheetName val="1차_내역서1"/>
      <sheetName val="공사예산하조서(O_K)1"/>
      <sheetName val="원가계산_(2)1"/>
      <sheetName val="Inst_1"/>
      <sheetName val="배관단가조사서"/>
      <sheetName val="노무비 "/>
      <sheetName val="기본설계기준"/>
      <sheetName val="옥외 전력간선공사"/>
      <sheetName val="소총괄표1"/>
      <sheetName val="C-직노1"/>
      <sheetName val="관급자재"/>
      <sheetName val="99총공사내역서"/>
      <sheetName val="6공구(당초)"/>
      <sheetName val="제출내역 (2)"/>
      <sheetName val="상반기손익차2총괄"/>
      <sheetName val="진주방향"/>
      <sheetName val="마산방향"/>
      <sheetName val="마산방향철근집계"/>
      <sheetName val="9811"/>
      <sheetName val="횡배수관"/>
      <sheetName val="직접수량"/>
      <sheetName val="PAC"/>
      <sheetName val="ÀÏ¸í"/>
      <sheetName val="ÀÏ¸í95"/>
      <sheetName val="ÀÏºñ"/>
      <sheetName val="ÀÏºñ95"/>
      <sheetName val="°æ¸í"/>
      <sheetName val="°æ¸í95"/>
      <sheetName val="°æ¹è"/>
      <sheetName val="°æ¹è95"/>
      <sheetName val="ÀÓÀ²"/>
      <sheetName val="ÀÓÀ²95"/>
      <sheetName val="°£³ëºñ"/>
      <sheetName val="°£³ëºñ95"/>
      <sheetName val="Á÷³ë"/>
      <sheetName val="°øÁ¤À²"/>
      <sheetName val="°ÇÁý"/>
      <sheetName val="°ÇÃà"/>
      <sheetName val="±â¼³Áý"/>
      <sheetName val="¼³Áý"/>
      <sheetName val="ÁøÂ¥³»¿ª"/>
      <sheetName val="ÃÑ°ý"/>
      <sheetName val="Áý°è"/>
      <sheetName val="³»¿ª"/>
      <sheetName val="°ø·®Áý"/>
      <sheetName val="´Ü°¡"/>
      <sheetName val="¹èºÎÀ²"/>
      <sheetName val="¿Ï¼º1"/>
      <sheetName val="¿Ï¼º2"/>
      <sheetName val="»êÀçºñÀ²"/>
      <sheetName val="¾ÈÀüºñÀ²"/>
      <sheetName val="ÀÏ¹ÝºñÀ²"/>
      <sheetName val="³ëÀÓ"/>
      <sheetName val="°ø·®"/>
      <sheetName val="Àû¿ë´ë°¡"/>
      <sheetName val="Áö¼ö³»¿ª"/>
      <sheetName val="³ë(97.1,97.9,98.1)"/>
      <sheetName val="³ëÀÓ´Ü°¡"/>
      <sheetName val="ÀÏÀ§´ë°¡¸ñ·Ï"/>
      <sheetName val="³»¿ª¼­2¾È"/>
      <sheetName val="ÀÏÀ§_ÆÄÀÏ"/>
      <sheetName val="°ßÀû¼­"/>
      <sheetName val="Ãâ·ÂÀº ±Ý¹°"/>
      <sheetName val="ÀÏÀ§´ë°¡"/>
      <sheetName val="Ã¶°Å»êÃâ±Ù°Å"/>
      <sheetName val="ÀÏÀ§´ë°¡(°ÇÃà)"/>
      <sheetName val="BabyÀÏÀ§´ë°¡"/>
      <sheetName val=" ³Ã°¢¼öÆßÇÁ"/>
      <sheetName val="°æ»ê"/>
      <sheetName val="´Ü°¡ "/>
      <sheetName val="Á÷Àç"/>
      <sheetName val="¼ÒºñÀÚ°¡"/>
      <sheetName val="¼ö·®»êÃâ"/>
      <sheetName val="´Ü°¡Á¶»ç"/>
      <sheetName val="Àú"/>
      <sheetName val="³»¿ª¼­(»ïÈ£)"/>
      <sheetName val="°£Á¢ºñ"/>
      <sheetName val="ÀÏÀ§´ë°¡(ÃâÀÔ)"/>
      <sheetName val="2°ø±¸»êÃâ³»¿ª"/>
      <sheetName val="½ÄÀçÀÏÀ§´ë°¡"/>
      <sheetName val="´ë,À¯,·¥"/>
      <sheetName val="±¹º°ÀÎ¿ø"/>
      <sheetName val="JòÁî§4"/>
      <sheetName val="ÀÏÀ§´ë°¡(4Ãþ¿ø°Ý)"/>
      <sheetName val="±âÃÊÀÏÀ§´ë°¡"/>
      <sheetName val="´Ü°¡´ëºñÇ¥"/>
      <sheetName val="»êÃâ±âÃÊ"/>
      <sheetName val="¿¬°á°ü¾Ï°Å"/>
      <sheetName val="Àû¿ë°ÇÃà"/>
      <sheetName val="Ç¥Áö"/>
      <sheetName val="±â°è³»¿ª"/>
      <sheetName val="µµ±Þ³»¿ª¼­"/>
      <sheetName val="9GNG¿î¹Ý"/>
      <sheetName val="±â°è°æºñ(½Ã°£´ç)"/>
      <sheetName val="·¥¸Ó"/>
      <sheetName val="Â÷¾×º¸Áõ"/>
      <sheetName val="ºÎºÐº°¼ö·®»êÃâ(Á¶ÇÕ±âÃÊ)"/>
      <sheetName val="¼Ò¹æ"/>
      <sheetName val="ÅÍÆÄ±â¹×Àç·á"/>
      <sheetName val="2F È¸ÀÇ½Ç°ßÀû(5_14 ÀÏ´ë)"/>
      <sheetName val="NìüëÒ-òÅ"/>
      <sheetName val="´Ü°¡Á¶»ç¼­"/>
      <sheetName val="1¾È"/>
      <sheetName val="¼ÕÀÍºÐ¼®"/>
      <sheetName val="°ÇÃàºÎÇÏ"/>
      <sheetName val="±èÆ÷IO"/>
      <sheetName val="단가(1)"/>
      <sheetName val="XL4Poppy"/>
      <sheetName val="노무단가"/>
      <sheetName val="적용노임"/>
      <sheetName val="토적표(1)"/>
      <sheetName val="4.1단가표"/>
      <sheetName val="4.2노임단가표"/>
      <sheetName val="일위(설)"/>
      <sheetName val="S1,3"/>
      <sheetName val="직원관리자료"/>
      <sheetName val="고양시"/>
      <sheetName val="QandAJunior"/>
      <sheetName val="3수량"/>
      <sheetName val="4.주beam"/>
      <sheetName val="원형1호맨홀토공수량"/>
      <sheetName val="GI-LIST"/>
      <sheetName val="기기리스트"/>
      <sheetName val="OPT7"/>
      <sheetName val="과천MAIN"/>
      <sheetName val="재료비"/>
      <sheetName val="노임단가 (2)"/>
      <sheetName val="원가계산서구조조정"/>
      <sheetName val="장애코드"/>
      <sheetName val="기존단가 (2)"/>
      <sheetName val="노단"/>
      <sheetName val="관리비비계상"/>
      <sheetName val="봉양~조차장간고하개명(신설)"/>
      <sheetName val="재료비집계"/>
      <sheetName val="일(4)"/>
      <sheetName val="입력정보"/>
      <sheetName val="시설물일위"/>
      <sheetName val="WEIGHT_LIST"/>
      <sheetName val="산#2-1_(2)"/>
      <sheetName val="일위대가(계측기설치)"/>
      <sheetName val="PSCbeam설계"/>
      <sheetName val="12.일위대가"/>
      <sheetName val="시중노임(공사)"/>
      <sheetName val="자재대"/>
      <sheetName val="간지"/>
      <sheetName val="견적단가"/>
      <sheetName val="일위단가"/>
      <sheetName val="RM목표&amp;실적"/>
      <sheetName val="빌딩코드"/>
      <sheetName val="발열량"/>
      <sheetName val="A조"/>
      <sheetName val="일집"/>
      <sheetName val="전기내역1"/>
      <sheetName val="기중"/>
      <sheetName val="f산출"/>
      <sheetName val="일위_FILE"/>
      <sheetName val="8.PILE  (돌출)"/>
      <sheetName val="교대(A1-A2)"/>
      <sheetName val="교대(A1)"/>
      <sheetName val="조도계산(가로등NEW)"/>
      <sheetName val="조명율데이타"/>
      <sheetName val="구조물공1"/>
      <sheetName val="배수및구조물공1"/>
      <sheetName val="(전남)시범지구 운영실적 및 결과분석(8월까지)"/>
      <sheetName val="정렬"/>
      <sheetName val="하조서"/>
      <sheetName val="P-1"/>
      <sheetName val="분석"/>
      <sheetName val="콤보박스와 리스트박스의 연결"/>
      <sheetName val="우배수"/>
      <sheetName val="000000"/>
      <sheetName val="노무"/>
      <sheetName val="2.고용보험료산출근거"/>
      <sheetName val="ÀÏÀ§(PANEL)"/>
      <sheetName val="기본자료"/>
      <sheetName val="산출"/>
      <sheetName val="기초작업"/>
      <sheetName val="상수도토공집계표"/>
      <sheetName val="점수계산1-2"/>
      <sheetName val="전기외주내역"/>
      <sheetName val="기초목"/>
      <sheetName val="토적표"/>
      <sheetName val="기계경비일람"/>
      <sheetName val="Customer__x0000__x0000_Ԁ_x0000_騞컲"/>
      <sheetName val="Macro2"/>
      <sheetName val="내역서(사업소)"/>
      <sheetName val="유역면적"/>
      <sheetName val="단가 (2)"/>
      <sheetName val="NO.1-NO12(설계예산서)"/>
      <sheetName val="관로공정"/>
      <sheetName val="총내역서"/>
      <sheetName val="직접시공계획서"/>
      <sheetName val="사전공사"/>
      <sheetName val="본사업"/>
      <sheetName val="간접"/>
      <sheetName val="전통건설"/>
      <sheetName val="설계내역2"/>
      <sheetName val="유수전환공사"/>
      <sheetName val="공종목록표"/>
      <sheetName val="프랜트면허"/>
      <sheetName val="평가데이터"/>
      <sheetName val="실행기초"/>
      <sheetName val="2.노임및손료"/>
      <sheetName val="부안변전"/>
      <sheetName val="기술조건"/>
      <sheetName val="총공사내역서"/>
      <sheetName val="물집"/>
      <sheetName val="토목"/>
      <sheetName val="휴가비,급량비"/>
      <sheetName val="ES조서출력하기"/>
      <sheetName val="일위대가Ṕ*䤸ᵳ"/>
      <sheetName val="전기변내역"/>
      <sheetName val="1단계"/>
      <sheetName val="D-3503"/>
      <sheetName val="내역 (2)"/>
      <sheetName val="단조-노임"/>
      <sheetName val="기본항목 입력"/>
      <sheetName val="조사집계표(1)_솎아베기"/>
      <sheetName val="조사집계표(2)_솎아베기"/>
      <sheetName val="필지별내역서"/>
      <sheetName val="조사집계표(3)_솎아베기"/>
      <sheetName val="1Month+Sheet2!"/>
      <sheetName val="시중노임"/>
      <sheetName val="영외수지"/>
      <sheetName val="일위-1"/>
      <sheetName val="전등,DC등 내역서"/>
      <sheetName val="로선구조"/>
      <sheetName val="자  재"/>
      <sheetName val="건축외주"/>
      <sheetName val="6.환경대가"/>
      <sheetName val="시작4"/>
      <sheetName val="자재조사표"/>
      <sheetName val="구분자"/>
      <sheetName val="도로단위당"/>
      <sheetName val="자재목록"/>
      <sheetName val="3집"/>
      <sheetName val="덕전리"/>
      <sheetName val="도로경계블럭단위토공"/>
      <sheetName val="104동"/>
      <sheetName val="업체명"/>
      <sheetName val="관리"/>
      <sheetName val="당사"/>
      <sheetName val="대비"/>
      <sheetName val="도급"/>
      <sheetName val="경비"/>
      <sheetName val="단가산출목록표"/>
      <sheetName val="일위2"/>
      <sheetName val="업체별기성내역"/>
      <sheetName val="4.고용보험"/>
      <sheetName val="실행간접비용"/>
      <sheetName val="골조"/>
      <sheetName val="앉음벽 (2)"/>
      <sheetName val="7.환경"/>
      <sheetName val="기계경비시간당손료목록"/>
      <sheetName val="모래기초"/>
      <sheetName val="항목등록"/>
      <sheetName val="개별직종노임단가(2003.9)"/>
      <sheetName val="실행내역 (2)"/>
      <sheetName val="개별직종노임단가(2002.5)"/>
      <sheetName val="이름"/>
      <sheetName val="철근량"/>
      <sheetName val="일 위 목 록 표"/>
      <sheetName val="유입맨홀산출"/>
      <sheetName val="흙쌓기도수로설치현황"/>
      <sheetName val="샌딩 에폭시 도장"/>
      <sheetName val="일반문틀 설치"/>
      <sheetName val="스텐문틀설치"/>
      <sheetName val="노임(1차)"/>
      <sheetName val="원료"/>
      <sheetName val="주요항목별"/>
      <sheetName val="관개"/>
      <sheetName val="97년 추정"/>
      <sheetName val="청곡지거입력"/>
      <sheetName val="투찰내역"/>
      <sheetName val="청곡간선입력"/>
      <sheetName val="PARAMETER"/>
      <sheetName val="database"/>
      <sheetName val="이형관"/>
      <sheetName val="공종"/>
      <sheetName val="기계경비_시간당_"/>
      <sheetName val="22관계"/>
      <sheetName val="22기타(L,R)"/>
      <sheetName val="22전선계"/>
      <sheetName val="월래"/>
      <sheetName val="견적조건"/>
      <sheetName val="수량산출근거(본선)"/>
      <sheetName val="wall"/>
      <sheetName val="수입"/>
      <sheetName val="단가비교표"/>
      <sheetName val="품셈총괄표"/>
      <sheetName val="2.대외공문"/>
      <sheetName val="주안3차A-A"/>
      <sheetName val="간접경상비"/>
      <sheetName val="Cost bd-&quot;A&quot;"/>
      <sheetName val="기안1"/>
      <sheetName val=" 토목 처리장도급내역서 "/>
      <sheetName val="BF12-R0"/>
      <sheetName val="Summary Sheets"/>
      <sheetName val="45,46"/>
      <sheetName val="부대tu"/>
      <sheetName val="공사내역"/>
      <sheetName val="Sheet4"/>
      <sheetName val="b_balju-단가단가단가"/>
      <sheetName val="값"/>
      <sheetName val="석축산출서"/>
      <sheetName val="unitpric"/>
      <sheetName val="위치조서"/>
      <sheetName val="어룡"/>
      <sheetName val="기성내역"/>
      <sheetName val="AHU-01"/>
      <sheetName val="본서하반기"/>
      <sheetName val="하반기(지구대)"/>
      <sheetName val="연결원본-절대지우지말것"/>
      <sheetName val="철집"/>
      <sheetName val="옥외"/>
      <sheetName val="토목내역"/>
      <sheetName val="I.설계조건"/>
      <sheetName val="H-pile(298x299)"/>
      <sheetName val="H-pile(250x250)"/>
      <sheetName val="소업1교"/>
      <sheetName val="기계공사"/>
      <sheetName val="48단가"/>
      <sheetName val="설비"/>
      <sheetName val="기초"/>
      <sheetName val="D"/>
      <sheetName val="설계예산서"/>
      <sheetName val="분전함신설"/>
      <sheetName val="접지1종"/>
      <sheetName val="현장경상비"/>
      <sheetName val="AS포장복구 "/>
      <sheetName val="청천내"/>
      <sheetName val="공리일"/>
      <sheetName val="2003 일위대가"/>
      <sheetName val="(A)내역서"/>
      <sheetName val="INDEX"/>
      <sheetName val="시행예산"/>
      <sheetName val="공통비총괄표"/>
      <sheetName val="공종단가"/>
      <sheetName val="증감대비"/>
      <sheetName val="6-1. 관개량조서"/>
      <sheetName val="차압계산"/>
      <sheetName val="17F MOCKUP B-1,B-2"/>
      <sheetName val="투찰(하수)"/>
      <sheetName val="직원자료입력"/>
      <sheetName val="Data&amp;Result"/>
      <sheetName val="차수"/>
      <sheetName val="자재발주서"/>
      <sheetName val="호표"/>
      <sheetName val="단가산출2"/>
      <sheetName val="환율change"/>
      <sheetName val="3.자재비(총괄)"/>
      <sheetName val="암거 제원표-1단계"/>
      <sheetName val="하수처리장"/>
      <sheetName val="관리보고"/>
      <sheetName val="ETC"/>
      <sheetName val="1-1"/>
      <sheetName val="면적표"/>
      <sheetName val="토공A1"/>
      <sheetName val="제잡비"/>
      <sheetName val="적용률"/>
      <sheetName val="1구간FRP수량산출"/>
      <sheetName val="결재갑지"/>
      <sheetName val="준검 내역서"/>
      <sheetName val="건축2"/>
      <sheetName val="1.토공집계표"/>
      <sheetName val="접속단위"/>
      <sheetName val="ATM기초철가"/>
      <sheetName val="플랜트 설치"/>
      <sheetName val="북방3터널"/>
      <sheetName val="95년12월말"/>
      <sheetName val="선급비용"/>
      <sheetName val="1,2공구원가계산서"/>
      <sheetName val="GRACE"/>
      <sheetName val="건설성적"/>
      <sheetName val="산출근거1"/>
      <sheetName val="개거재료산출"/>
      <sheetName val="전동기"/>
      <sheetName val="철콘산출"/>
      <sheetName val="공동구수량"/>
      <sheetName val="B부대공"/>
      <sheetName val="세부내역서"/>
      <sheetName val="설계명세"/>
      <sheetName val="참조 (2)"/>
      <sheetName val="CL분석결과"/>
      <sheetName val="형틀공사"/>
      <sheetName val="일위(집)"/>
      <sheetName val="노임이"/>
      <sheetName val="자재단가리스트"/>
      <sheetName val="전신환매도율"/>
      <sheetName val="포승중환경개선공사_변경_"/>
      <sheetName val="단가대비"/>
      <sheetName val="다이꾸"/>
      <sheetName val="평3"/>
      <sheetName val="직접노무비"/>
      <sheetName val="남평내역"/>
      <sheetName val="재료집계표"/>
      <sheetName val="10월"/>
      <sheetName val="부경"/>
      <sheetName val="수안보-MBR1"/>
      <sheetName val="P.M 별"/>
      <sheetName val="BOX수량"/>
      <sheetName val="A1"/>
      <sheetName val="설_(3)2"/>
      <sheetName val="설_(2)2"/>
      <sheetName val="Front"/>
      <sheetName val=" 소방공사 산출근거"/>
      <sheetName val="지입자재집계표"/>
      <sheetName val="노임변동률"/>
      <sheetName val="잡철물"/>
      <sheetName val="냉온수유니트"/>
      <sheetName val="진단세부현황"/>
      <sheetName val="산출기초(기계터파기)3열"/>
      <sheetName val="전송망집계"/>
      <sheetName val="철거수량(전송)"/>
      <sheetName val="본사"/>
      <sheetName val="공장"/>
      <sheetName val="내역서_᎛⼗"/>
      <sheetName val="수토공단위당"/>
      <sheetName val="우수공집계"/>
      <sheetName val="MAT"/>
      <sheetName val="1월"/>
      <sheetName val="B2BERP"/>
      <sheetName val="itm코드"/>
      <sheetName val="itm기준"/>
      <sheetName val="직접경비호표"/>
      <sheetName val="Sheet15"/>
      <sheetName val="전국현황"/>
      <sheetName val="중질쓰레기"/>
      <sheetName val="압축공기소요량"/>
      <sheetName val="보일러물질수지"/>
      <sheetName val="산출내력"/>
      <sheetName val="광장"/>
      <sheetName val="LIST"/>
      <sheetName val="하자접수대장"/>
      <sheetName val="정철호"/>
      <sheetName val="FUEL FILLER"/>
      <sheetName val="Customer_Databas1"/>
      <sheetName val="토공(우물통,기타)_1"/>
      <sheetName val="6PILE__(돌출)1"/>
      <sheetName val="토공_total1"/>
      <sheetName val="원가_(2)1"/>
      <sheetName val="AIR_SHOWER(3인용)1"/>
      <sheetName val="_HIT-&gt;HMC_견적(3900)1"/>
      <sheetName val="내역서_"/>
      <sheetName val="2000_05"/>
      <sheetName val="노_무_비"/>
      <sheetName val="세골재__T2_변경_현황"/>
      <sheetName val="갑지_을지"/>
      <sheetName val="기타_정보통신공사"/>
      <sheetName val="BSD_(2)"/>
      <sheetName val="국도접속_차도부수량"/>
      <sheetName val="정거장_설계조건"/>
      <sheetName val="일위대가56-1_"/>
      <sheetName val="일위대가71-1_"/>
      <sheetName val="일위대가74-1_"/>
      <sheetName val="일위대가76-1_"/>
      <sheetName val="일위대가77-1_"/>
      <sheetName val="일위대가78-1_"/>
      <sheetName val="별표_"/>
      <sheetName val="3_2제조설비"/>
      <sheetName val="단가대비표_(3)"/>
      <sheetName val="노임단가(08_01)"/>
      <sheetName val="남양시작동자105노65기1_3화1_2"/>
      <sheetName val="C_전기공사"/>
      <sheetName val="기뇣đ"/>
      <sheetName val="집 계 표"/>
      <sheetName val="기준표"/>
      <sheetName val="예정(3)"/>
      <sheetName val="동원(3)"/>
      <sheetName val="S0"/>
      <sheetName val="수목데이타 "/>
      <sheetName val="남대문빌딩"/>
      <sheetName val="경영혁신본부"/>
      <sheetName val="본부별사업계획2차"/>
      <sheetName val="감가상각"/>
      <sheetName val="지질조사분석"/>
      <sheetName val="2. 공원조도"/>
      <sheetName val="FJ단가"/>
      <sheetName val="7.지층별제원"/>
      <sheetName val="변경관급자재"/>
      <sheetName val="4.본실행통합내역서"/>
      <sheetName val="★개략견적"/>
      <sheetName val="동원인원"/>
      <sheetName val="산출내역서집계표"/>
      <sheetName val="구조물공집계"/>
      <sheetName val="갑(전기)"/>
      <sheetName val="밸브설치"/>
      <sheetName val="FD"/>
      <sheetName val="99관저"/>
      <sheetName val="FB25JN"/>
      <sheetName val="청곡지선토공총"/>
      <sheetName val="토공총"/>
      <sheetName val="슬래브(유곡)"/>
      <sheetName val="3BL공동구_수량2"/>
      <sheetName val="내역서_제출1"/>
      <sheetName val="2000년_공정표1"/>
      <sheetName val="1_설계조건1"/>
      <sheetName val="노무비_근거1"/>
      <sheetName val="효성CB_1P기초1"/>
      <sheetName val="전선_및_전선관1"/>
      <sheetName val="빌딩_안내"/>
      <sheetName val="화재_탐지_설비"/>
      <sheetName val="A_견적"/>
      <sheetName val="s_v"/>
      <sheetName val="DATA테이블1_(2)"/>
      <sheetName val="1000_DB구축_부표"/>
      <sheetName val="CT_"/>
      <sheetName val="조도계산서_(도서)"/>
      <sheetName val="일위대가_"/>
      <sheetName val="표__지"/>
      <sheetName val="97년_추정"/>
      <sheetName val="SHEET_PILE단가"/>
      <sheetName val="도담구내_개소별_명세"/>
      <sheetName val="3_자재비(총괄)"/>
      <sheetName val="준검_내역서"/>
      <sheetName val="5_동별횡주관경"/>
      <sheetName val="1_토공집계표"/>
      <sheetName val="플랜트_설치"/>
      <sheetName val="Cost_bd-&quot;A&quot;"/>
      <sheetName val="Summary_Sheets"/>
      <sheetName val="2_대외공문"/>
      <sheetName val="앉음벽_(2)"/>
      <sheetName val="_토목_처리장도급내역서_"/>
      <sheetName val="4_고용보험"/>
      <sheetName val="신규_수주분(사용자_정의)"/>
      <sheetName val="약품설비"/>
      <sheetName val="남양구조시험동"/>
      <sheetName val="신표지1"/>
      <sheetName val="P-산#1-1(WOWA1)"/>
      <sheetName val="단중표-ST"/>
      <sheetName val="팀업무"/>
      <sheetName val="전기내역서(총계)"/>
      <sheetName val="남양내역"/>
      <sheetName val="경비2내역"/>
      <sheetName val="간접비 총괄표"/>
      <sheetName val="담보"/>
      <sheetName val="220 (2)"/>
      <sheetName val="PROJECT BRIEF(EX.NEW)"/>
      <sheetName val="수량산출목록표"/>
      <sheetName val="무시"/>
      <sheetName val="관로내역원"/>
      <sheetName val="CABLE SIZE-1"/>
      <sheetName val="견적대비 견적서"/>
      <sheetName val="갑  지"/>
      <sheetName val="조달단가"/>
      <sheetName val="주차구획선수량"/>
      <sheetName val="재료할증"/>
      <sheetName val="낙찰표"/>
      <sheetName val="을-ATYPE"/>
      <sheetName val="매출채권"/>
      <sheetName val="B부대0"/>
      <sheetName val="말뚝지/_x0000__x0013_"/>
      <sheetName val="손익"/>
      <sheetName val="제노임"/>
      <sheetName val="연환"/>
      <sheetName val="품목"/>
      <sheetName val="통합"/>
      <sheetName val="정산내역서"/>
      <sheetName val="일위대가(4_x0005__x0000__x0000_"/>
      <sheetName val="일위대가(4층원격礊"/>
      <sheetName val="일위대가(4獏め_x0005__x0000_"/>
      <sheetName val="일위대가(4층원격唨"/>
      <sheetName val="일위대가(4蒨,蓬,"/>
      <sheetName val="AIR SHOWER_3인용_"/>
      <sheetName val="일위대가(4ꌱ⿪_x0005__x0000_"/>
      <sheetName val="일위대가(4층원격夸"/>
      <sheetName val="일위대가(4층원격咘"/>
      <sheetName val="[KKK.XLS][KKK.XLS]말뚝지/_x0000__x0013_"/>
      <sheetName val="각종양식"/>
      <sheetName val="관집계"/>
      <sheetName val="APT"/>
      <sheetName val="중간"/>
      <sheetName val="단면가정"/>
      <sheetName val="부재력정리"/>
      <sheetName val="분_x0000__x0000_"/>
      <sheetName val="분券%"/>
      <sheetName val="카렌스센터계량기설치공사"/>
      <sheetName val="인수공규격"/>
      <sheetName val="98수문일위"/>
      <sheetName val="공헾⾵_x0005_"/>
      <sheetName val="준공내역"/>
      <sheetName val="BH-1 (2)"/>
      <sheetName val="제안서"/>
      <sheetName val="행정표준(1)"/>
      <sheetName val="행정표준(2)"/>
      <sheetName val="공사잡비"/>
      <sheetName val="5"/>
      <sheetName val="1.검토서"/>
      <sheetName val="여과지동"/>
      <sheetName val="지급자재단가"/>
      <sheetName val="영업.일1"/>
      <sheetName val="FAB4생산"/>
      <sheetName val="부재리스트"/>
      <sheetName val="중기단가"/>
      <sheetName val="중기목록"/>
      <sheetName val="수량이동"/>
      <sheetName val="현장조사"/>
      <sheetName val="일위대가(목록)"/>
      <sheetName val="산근(목록)"/>
      <sheetName val="이형관중량"/>
      <sheetName val="일위산출"/>
      <sheetName val="순공사비"/>
      <sheetName val="도봉2지구"/>
      <sheetName val="대덕토공총"/>
      <sheetName val="적용단가표"/>
      <sheetName val="관급_File"/>
      <sheetName val="단가산출서 (2)"/>
      <sheetName val="단가비교용"/>
      <sheetName val="일계표"/>
      <sheetName val="매립"/>
      <sheetName val="기계경비산출기준"/>
      <sheetName val="경영"/>
      <sheetName val="98년"/>
      <sheetName val="실적"/>
      <sheetName val="내역서(교량)전체"/>
      <sheetName val="구역화물"/>
      <sheetName val="단위목록"/>
      <sheetName val="시험비"/>
      <sheetName val="기계경비목록"/>
      <sheetName val="견적을지"/>
      <sheetName val="예총"/>
      <sheetName val="공종별집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/>
      <sheetData sheetId="1107"/>
      <sheetData sheetId="1108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/>
      <sheetData sheetId="1187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/>
      <sheetData sheetId="1353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로젝트"/>
      <sheetName val="피벗"/>
      <sheetName val="피벗 (2)"/>
      <sheetName val="피벗 (3)"/>
      <sheetName val="연간기본예상"/>
      <sheetName val="99년원가절감"/>
      <sheetName val="연간SPG(계획비)"/>
      <sheetName val="연간기본예상 (2)"/>
      <sheetName val="99년원가절감 (2)"/>
      <sheetName val="손익개선목표"/>
      <sheetName val="연간SPG(계획비) (2)"/>
      <sheetName val="999년예상시뮬레이션"/>
      <sheetName val="999년예상시뮬레이션 (2)"/>
      <sheetName val="일위대가"/>
      <sheetName val="직노"/>
      <sheetName val="Baby일위대가"/>
      <sheetName val="사급자재(1단계)"/>
      <sheetName val="단가조사"/>
      <sheetName val="N賃率-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NK견적표지"/>
      <sheetName val="LAN자재내역"/>
      <sheetName val="LAN구성안"/>
      <sheetName val="LAN산출내역(참고)"/>
      <sheetName val="LAN자재내역(두섭)"/>
      <sheetName val="을지"/>
      <sheetName val="직노"/>
      <sheetName val="Baby일위대가"/>
      <sheetName val="사급자재(1단계)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맨홀수량산출"/>
      <sheetName val="집계표"/>
      <sheetName val="가감수량"/>
      <sheetName val="단위수량"/>
      <sheetName val="맨홀토공"/>
      <sheetName val="Sheet1"/>
      <sheetName val="1원형맨홀"/>
      <sheetName val="을지"/>
      <sheetName val="직노"/>
      <sheetName val="Baby일위대가"/>
      <sheetName val=""/>
    </sheetNames>
    <definedNames>
      <definedName name="매크로11"/>
      <definedName name="매크로4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모래90"/>
      <sheetName val="Sheet2"/>
      <sheetName val="단위수량"/>
      <sheetName val="맨홀수량산출"/>
      <sheetName val="을지"/>
      <sheetName val="직노"/>
      <sheetName val="Baby일위대가"/>
    </sheetNames>
    <sheetDataSet>
      <sheetData sheetId="0" refreshError="1"/>
      <sheetData sheetId="1" refreshError="1"/>
      <sheetData sheetId="2" refreshError="1">
        <row r="2">
          <cell r="A2">
            <v>1</v>
          </cell>
        </row>
        <row r="3">
          <cell r="A3">
            <v>2</v>
          </cell>
          <cell r="B3">
            <v>400</v>
          </cell>
          <cell r="C3">
            <v>35</v>
          </cell>
          <cell r="D3">
            <v>470</v>
          </cell>
          <cell r="E3">
            <v>1050</v>
          </cell>
          <cell r="F3">
            <v>169</v>
          </cell>
          <cell r="G3">
            <v>69</v>
          </cell>
          <cell r="H3">
            <v>100</v>
          </cell>
          <cell r="I3">
            <v>0.18</v>
          </cell>
          <cell r="J3" t="str">
            <v>CON'C</v>
          </cell>
          <cell r="K3">
            <v>200</v>
          </cell>
          <cell r="L3">
            <v>30</v>
          </cell>
        </row>
        <row r="4">
          <cell r="A4">
            <v>3</v>
          </cell>
          <cell r="B4">
            <v>450</v>
          </cell>
          <cell r="C4">
            <v>38</v>
          </cell>
          <cell r="D4">
            <v>526</v>
          </cell>
          <cell r="E4">
            <v>1100</v>
          </cell>
          <cell r="F4">
            <v>177</v>
          </cell>
          <cell r="G4">
            <v>77</v>
          </cell>
          <cell r="H4">
            <v>100</v>
          </cell>
          <cell r="I4">
            <v>0.19</v>
          </cell>
          <cell r="J4" t="str">
            <v>보도블럭</v>
          </cell>
          <cell r="K4">
            <v>60</v>
          </cell>
          <cell r="L4">
            <v>30</v>
          </cell>
        </row>
        <row r="5">
          <cell r="A5">
            <v>4</v>
          </cell>
          <cell r="B5">
            <v>500</v>
          </cell>
          <cell r="C5">
            <v>42</v>
          </cell>
          <cell r="D5">
            <v>584</v>
          </cell>
          <cell r="E5">
            <v>1150</v>
          </cell>
          <cell r="F5">
            <v>235</v>
          </cell>
          <cell r="G5">
            <v>85</v>
          </cell>
          <cell r="H5">
            <v>150</v>
          </cell>
          <cell r="I5">
            <v>0.27</v>
          </cell>
          <cell r="J5" t="str">
            <v>고압블럭</v>
          </cell>
          <cell r="K5">
            <v>60</v>
          </cell>
          <cell r="L5">
            <v>30</v>
          </cell>
        </row>
        <row r="6">
          <cell r="A6">
            <v>5</v>
          </cell>
          <cell r="B6">
            <v>600</v>
          </cell>
          <cell r="C6">
            <v>50</v>
          </cell>
          <cell r="D6">
            <v>700</v>
          </cell>
          <cell r="E6">
            <v>1350</v>
          </cell>
          <cell r="F6">
            <v>252</v>
          </cell>
          <cell r="G6">
            <v>102</v>
          </cell>
          <cell r="H6">
            <v>150</v>
          </cell>
          <cell r="I6">
            <v>0.34</v>
          </cell>
        </row>
        <row r="7">
          <cell r="A7">
            <v>6</v>
          </cell>
          <cell r="B7">
            <v>700</v>
          </cell>
          <cell r="C7">
            <v>58</v>
          </cell>
          <cell r="D7">
            <v>816</v>
          </cell>
          <cell r="E7">
            <v>1450</v>
          </cell>
          <cell r="F7">
            <v>269</v>
          </cell>
          <cell r="G7">
            <v>119</v>
          </cell>
          <cell r="H7">
            <v>150</v>
          </cell>
          <cell r="I7">
            <v>0.38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1안 기계공사원가계산서"/>
      <sheetName val="기계공사집계표"/>
      <sheetName val="배관자재비"/>
      <sheetName val="배관설치비"/>
      <sheetName val="기기설치비"/>
      <sheetName val="기기자재비"/>
      <sheetName val="일위대가목록"/>
      <sheetName val="일위대가표"/>
      <sheetName val="단가비교표"/>
      <sheetName val="견적대비표"/>
      <sheetName val="노임단가"/>
      <sheetName val="기기리스트"/>
      <sheetName val="수량산출서"/>
      <sheetName val="단위수량"/>
      <sheetName val="맨홀수량산출"/>
      <sheetName val="예산서0525-삼안"/>
      <sheetName val="을지"/>
      <sheetName val="직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8">
          <cell r="F8">
            <v>60590</v>
          </cell>
        </row>
      </sheetData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2.대외공문"/>
      <sheetName val="노임"/>
      <sheetName val="소상 &quot;1&quot;"/>
      <sheetName val="일위대가(가설)"/>
      <sheetName val="일위대가"/>
      <sheetName val="단위수량"/>
      <sheetName val="맨홀수량산출"/>
      <sheetName val="밋션별"/>
      <sheetName val="을지"/>
      <sheetName val="남양시작동010313100%"/>
      <sheetName val="내역서"/>
      <sheetName val="Baby일위대가"/>
      <sheetName val="Code"/>
      <sheetName val="카렌스센터계량기설치공사"/>
      <sheetName val="입력"/>
      <sheetName val="RD제품개발투자비(매가)"/>
      <sheetName val="95MAKER"/>
      <sheetName val="주행"/>
      <sheetName val="내역서 제출"/>
      <sheetName val="골조시행"/>
      <sheetName val="#REF!"/>
      <sheetName val="본사현황"/>
      <sheetName val="공통가설"/>
      <sheetName val="차수"/>
      <sheetName val="협조전"/>
      <sheetName val="신규DEP"/>
      <sheetName val="지급자재"/>
      <sheetName val="수리결과"/>
      <sheetName val="현금경비중역"/>
      <sheetName val="기본단가표"/>
      <sheetName val="대차대조표"/>
      <sheetName val="추천서"/>
      <sheetName val="5사남"/>
      <sheetName val="대외공문"/>
      <sheetName val="기계설비"/>
      <sheetName val="일반공사"/>
      <sheetName val="직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토목데이타"/>
      <sheetName val="설계자료"/>
      <sheetName val="기계공사비"/>
      <sheetName val="단가"/>
      <sheetName val="노임단가"/>
      <sheetName val="N賃率-職"/>
      <sheetName val="노임"/>
      <sheetName val="단위수량"/>
      <sheetName val="맨홀수량산출"/>
      <sheetName val="밭기반97"/>
      <sheetName val="을지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경상직원"/>
      <sheetName val="N賃率-職"/>
      <sheetName val="노임단가"/>
      <sheetName val="노임"/>
      <sheetName val="단위수량"/>
      <sheetName val="맨홀수량산출"/>
      <sheetName val="견적990322"/>
      <sheetName val="#REF"/>
      <sheetName val="인부임"/>
      <sheetName val="본서하반기"/>
      <sheetName val="하반기(지구대)"/>
      <sheetName val="을지"/>
      <sheetName val="수량산출"/>
      <sheetName val="분전함신설"/>
      <sheetName val="접지1종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접지1종"/>
      <sheetName val="접지3종"/>
      <sheetName val="개폐기신설"/>
      <sheetName val="맨홀신설"/>
      <sheetName val="백열신설"/>
      <sheetName val="백열신설 (2)"/>
      <sheetName val="분전함신설"/>
      <sheetName val="을지"/>
      <sheetName val="목차임시"/>
      <sheetName val="견적대비"/>
      <sheetName val="감시제어"/>
      <sheetName val="인건비 "/>
      <sheetName val="N賃率-職"/>
      <sheetName val="일반부표"/>
      <sheetName val="총물량"/>
      <sheetName val="빗물받이(910-510-410)"/>
      <sheetName val="내역"/>
      <sheetName val="9GNG운반"/>
      <sheetName val="Sheet6"/>
      <sheetName val="공사개요"/>
      <sheetName val="22신설수량"/>
      <sheetName val="수량산출"/>
      <sheetName val="Baby일위대가"/>
      <sheetName val="노임단가"/>
      <sheetName val="노임"/>
      <sheetName val="단위수량"/>
      <sheetName val="설계명세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"/>
      <sheetName val="목차"/>
      <sheetName val="설계설명서"/>
      <sheetName val="예정공정표"/>
      <sheetName val="설계서용지(갑) (경)"/>
      <sheetName val="설계서용지(갑)"/>
      <sheetName val="공사원가계산서 (경)"/>
      <sheetName val="공사원가계산서"/>
      <sheetName val="설계내역서"/>
      <sheetName val="수량산출"/>
      <sheetName val="차선도색일위"/>
      <sheetName val="차선도색일위 (2)"/>
      <sheetName val="자재단가"/>
      <sheetName val="노무비"/>
      <sheetName val="단가"/>
      <sheetName val="을지"/>
      <sheetName val="노임단가"/>
      <sheetName val="9811"/>
      <sheetName val="b_balju_cho"/>
      <sheetName val="Sheet4"/>
      <sheetName val="영통차선도색"/>
      <sheetName val="철거산출근거"/>
      <sheetName val="시설물기초"/>
      <sheetName val="N賃率-職"/>
      <sheetName val="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인사명령"/>
      <sheetName val="Sheet2"/>
      <sheetName val="인사명령 (2)"/>
      <sheetName val="현산-기초사항"/>
      <sheetName val="경상직원"/>
      <sheetName val="조건"/>
      <sheetName val="빗물받이(910-510-410)"/>
      <sheetName val="분전함신설"/>
      <sheetName val="접지1종"/>
      <sheetName val="__MAIN"/>
      <sheetName val="자재단가"/>
      <sheetName val="노임단가"/>
      <sheetName val="설계명세서"/>
      <sheetName val="설계서"/>
      <sheetName val="단가"/>
      <sheetName val="수량산출"/>
      <sheetName val="을지"/>
      <sheetName val="N賃率-職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TE"/>
      <sheetName val="분전함신설"/>
      <sheetName val="접지1종"/>
      <sheetName val="수량산출"/>
      <sheetName val="단가"/>
      <sheetName val="을지"/>
      <sheetName val="N賃率-職"/>
      <sheetName val="98지급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집계"/>
      <sheetName val="몰탈,연장집계"/>
      <sheetName val="연장집계"/>
      <sheetName val="연장산출"/>
      <sheetName val="절단집계"/>
      <sheetName val="절단수량"/>
      <sheetName val="맨홀집계"/>
      <sheetName val="맨홀수량"/>
      <sheetName val="맨홀단위"/>
      <sheetName val="맨홀H"/>
      <sheetName val="평균높이"/>
      <sheetName val="DATE"/>
      <sheetName val="견적서"/>
      <sheetName val="Sheet1"/>
      <sheetName val="분전함신설"/>
      <sheetName val="접지1종"/>
      <sheetName val="수량산출"/>
      <sheetName val="단가"/>
      <sheetName val="을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98수문일위"/>
      <sheetName val="98자재단가"/>
      <sheetName val="98년도"/>
      <sheetName val="99년도1월 "/>
      <sheetName val="99년도4월 "/>
      <sheetName val="99년도7월"/>
      <sheetName val="99년도9월"/>
      <sheetName val="해평이토변"/>
      <sheetName val="녹동자동비22560"/>
      <sheetName val="녹동자동비22760"/>
      <sheetName val="광양도이자동비"/>
      <sheetName val="도암천자동비"/>
      <sheetName val="광양신아배수문"/>
      <sheetName val="창포지구"/>
      <sheetName val="도양자동비"/>
      <sheetName val="회문지구"/>
      <sheetName val="토기공"/>
      <sheetName val="옥룡제"/>
      <sheetName val="봉덕보"/>
      <sheetName val="봉덕보 1"/>
      <sheetName val="난간"/>
      <sheetName val="맨홀수량"/>
      <sheetName val="DATE"/>
      <sheetName val="견적서"/>
      <sheetName val="Sheet1"/>
      <sheetName val="분전함신설"/>
      <sheetName val="접지1종"/>
      <sheetName val="수량산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단가산출"/>
      <sheetName val="맨홀수량"/>
      <sheetName val="요율"/>
    </sheetNames>
    <sheetDataSet>
      <sheetData sheetId="0">
        <row r="5">
          <cell r="I5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단가산출"/>
      <sheetName val="맨홀수량"/>
      <sheetName val="요율"/>
    </sheetNames>
    <sheetDataSet>
      <sheetData sheetId="0">
        <row r="5">
          <cell r="I5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賃率-職"/>
      <sheetName val="인건비"/>
      <sheetName val="단가산출"/>
      <sheetName val="국내조달(통합-1)"/>
      <sheetName val="내역"/>
      <sheetName val="맨홀수량"/>
      <sheetName val="견적서"/>
      <sheetName val="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원가계산서"/>
      <sheetName val="내역서"/>
      <sheetName val="공내역서"/>
      <sheetName val="일위대가"/>
      <sheetName val="공일위대가"/>
      <sheetName val="인공산출서"/>
      <sheetName val="관급자재"/>
      <sheetName val="자재단가"/>
      <sheetName val="노임"/>
      <sheetName val="업체단가"/>
      <sheetName val="운반비"/>
      <sheetName val="중량산출서(애자류)"/>
      <sheetName val="중량산출서(전선류)"/>
      <sheetName val="중량산출서(철재)"/>
      <sheetName val="가설사무소"/>
      <sheetName val="가설사무소 (공)"/>
      <sheetName val="연습"/>
      <sheetName val="N賃率-職"/>
      <sheetName val="기계경비"/>
      <sheetName val="인건비"/>
      <sheetName val="단가산출"/>
      <sheetName val="맨홀수량"/>
      <sheetName val="12.3P"/>
      <sheetName val="매곡역사"/>
      <sheetName val="98수문일위"/>
      <sheetName val="일위대가(가설)"/>
      <sheetName val="설계명세서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6">
          <cell r="A6" t="str">
            <v>600V 비닐절연전선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산출내역"/>
      <sheetName val="#REF"/>
      <sheetName val="일위대가표"/>
      <sheetName val="갑지"/>
      <sheetName val="Sheet1"/>
      <sheetName val="Sheet2"/>
      <sheetName val="Sheet3"/>
      <sheetName val="인건비"/>
      <sheetName val="샘플표지"/>
      <sheetName val="일위(PN)"/>
      <sheetName val="견적990322"/>
      <sheetName val="자재단가"/>
      <sheetName val="내역서"/>
      <sheetName val="일위목록"/>
      <sheetName val="지급자재"/>
      <sheetName val="산출근거"/>
      <sheetName val="월별수입"/>
      <sheetName val="대공종"/>
      <sheetName val="시화점실행"/>
      <sheetName val="파이프류"/>
      <sheetName val="내역"/>
      <sheetName val="조건"/>
      <sheetName val="직재"/>
      <sheetName val="N賃率-職"/>
      <sheetName val="수량산출"/>
      <sheetName val="일위대가(출입)"/>
      <sheetName val="단가산출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예산"/>
      <sheetName val="cover설계서"/>
      <sheetName val="예산서갑지"/>
      <sheetName val="원가계산"/>
      <sheetName val="원가근거 "/>
      <sheetName val="관급자재집계"/>
      <sheetName val="내역서집계"/>
      <sheetName val="내역서(1. 옥외전력 및 수변전설비)"/>
      <sheetName val="내역서(2. 접지 및 피뢰침 설비)"/>
      <sheetName val="내역서(3. CABLE TRAY)"/>
      <sheetName val="내역서(4. 가압장 동력)"/>
      <sheetName val="내역서(5. 약품투입동,응집침전지 동력)"/>
      <sheetName val="내역서(6. 여과지 동력)"/>
      <sheetName val="내역서(7. 농축조,농축분배조 동력)"/>
      <sheetName val="내역서(8. 조정농축조,조정농축분배조 동력)"/>
      <sheetName val="내역서(9. 탈리액농축조,탈리액농축분배조 동력)"/>
      <sheetName val="내역서(10. 탈수기동,회수펌프동 동력)"/>
      <sheetName val="내역서(11. 식당 및 창고 전력간선,전열)"/>
      <sheetName val="내역서(12. 식당 및 창고 전등)"/>
      <sheetName val="내역서(13. 가압장 전력간선,전열)"/>
      <sheetName val="내역서(14. 가압장 전등)"/>
      <sheetName val="내역서(15. 여과지 전력간선,전열)"/>
      <sheetName val="내역서(16. 여과지 전등)"/>
      <sheetName val="내역서(17. 각 농축분배조 전등.전열)"/>
      <sheetName val="내역서(18. 옥외 약전 및 방송)"/>
      <sheetName val="내역서(19. 각동 약전 및 방송)"/>
      <sheetName val="부대설비"/>
      <sheetName val="대가갑지"/>
      <sheetName val="일위대가"/>
      <sheetName val="분전반설치비 일위대가"/>
      <sheetName val="그림갑지"/>
      <sheetName val="가로등기초"/>
      <sheetName val="잡철물제작"/>
      <sheetName val="관로굴착"/>
      <sheetName val="단가갑지"/>
      <sheetName val="단가비교표"/>
      <sheetName val="산출서갑지"/>
      <sheetName val="공량갑지"/>
      <sheetName val="공량(1. 옥외전력 및 수변전, 외등설비)"/>
      <sheetName val="공량(2. 접지 및 피뢰침 설비)"/>
      <sheetName val="공량(3. CABLE TRAY)"/>
      <sheetName val="공량(4. 가압장 동력)"/>
      <sheetName val="공량(5. 약품투입동,응집침전지 동력)"/>
      <sheetName val="공량(6. 여과지 동력)"/>
      <sheetName val="공량(7. 농축조,농축분배조 동력)"/>
      <sheetName val="공량(8. 조정농축조,조정농축분배조 동력)"/>
      <sheetName val="공량(9. 탈리액농축조,탈리액농축분배조 동력)"/>
      <sheetName val="공량(10. 탈수기동,회수펌프동 동력)"/>
      <sheetName val="공량(11. 식당 및 창고 전력간선,전열)"/>
      <sheetName val="공량(12. 식당 및 창고 전등)"/>
      <sheetName val="공량(13. 가압장 전력간선,전열)"/>
      <sheetName val="공량(14. 가압장 전등)"/>
      <sheetName val="공량(15. 여과지 전력간선,전열)"/>
      <sheetName val="공량(16. 여과지 전등)"/>
      <sheetName val="공량(17. 각 농축분배조 전등.전열)"/>
      <sheetName val="공량(18. 옥외 약전 및 방송)"/>
      <sheetName val="공량(19. 각동 약전 및 방송"/>
      <sheetName val="산출조서갑지"/>
      <sheetName val="산출조서(1.옥외전력 및 수변전, 외등설비)"/>
      <sheetName val="산출조서(2. 접지 및 피뢰침 설비)"/>
      <sheetName val="산출조서(3. CABLE TRAY)"/>
      <sheetName val="산출조서(4. 가압장 동력)"/>
      <sheetName val="산출조서(5. 약품투입동,응집침전지 동력)"/>
      <sheetName val="산출조서(6. 여과지 동력)"/>
      <sheetName val="산출조서(7. 농축조,농축분배조 동력)"/>
      <sheetName val="산출조서(8. 조정농축조,조정농축분배조 동력)"/>
      <sheetName val="산출조서(9. 탈리액농축조,탈리액농축분배조 동력)"/>
      <sheetName val="산출조서(10. 탈수기동,회수펌프동 동력)"/>
      <sheetName val="산출조서(11. 식당 및 창고 전력간선,전열)"/>
      <sheetName val="산출조서(12. 식당 및 창고 전등)"/>
      <sheetName val="산출조서(13. 가압장 전력간선,전열)"/>
      <sheetName val="산출조서(L1. 관리동 전등)"/>
      <sheetName val="산출조서(L2. 침사지 전등,전열)"/>
      <sheetName val="산출조서(15. 여과지 전력간선,전열)"/>
      <sheetName val="산출조서(16. 여과지 전등)"/>
      <sheetName val="산출조서(17. 각 농축분배조 전등.전열)"/>
      <sheetName val="산출조서(18. 옥외 약전 및 방송)"/>
      <sheetName val="산출조서(19. 각동 약전 및 방송)"/>
      <sheetName val="견적갑지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5"/>
      <sheetName val="한전 수탁비 계산 내역"/>
      <sheetName val="CUBICLE설치비 일위대가 "/>
      <sheetName val="9811"/>
      <sheetName val="NFB"/>
      <sheetName val="갑지"/>
      <sheetName val="집계표"/>
      <sheetName val="9509"/>
      <sheetName val="원가계산서 "/>
      <sheetName val="고용보험료"/>
      <sheetName val="예산내역서"/>
      <sheetName val="여과지동"/>
      <sheetName val="기초자료"/>
      <sheetName val="투찰금액"/>
      <sheetName val="직재"/>
      <sheetName val="별표 "/>
      <sheetName val="기초일위"/>
      <sheetName val="시설일위"/>
      <sheetName val="조명일위"/>
      <sheetName val="준검 내역서"/>
      <sheetName val="연봉제 전환의 건"/>
      <sheetName val="연봉제임금테이블"/>
      <sheetName val="관급"/>
      <sheetName val="기계경비단가산출"/>
      <sheetName val="round"/>
      <sheetName val="count"/>
      <sheetName val="설계 갑지"/>
      <sheetName val="관급_File"/>
      <sheetName val="내역서"/>
      <sheetName val="샘플표지"/>
      <sheetName val="자재단가"/>
      <sheetName val="노임단가"/>
      <sheetName val="대로근거"/>
      <sheetName val="중로근거"/>
      <sheetName val="가도공"/>
      <sheetName val="접속도로1"/>
      <sheetName val="DATE"/>
      <sheetName val="인건비 "/>
      <sheetName val="내역"/>
      <sheetName val="N賃率-職"/>
      <sheetName val="토사(PE)"/>
      <sheetName val="일위목록"/>
      <sheetName val="효성CB 1P기초"/>
      <sheetName val="이름정의"/>
      <sheetName val="부표총괄"/>
      <sheetName val="구간공종"/>
      <sheetName val="Sheet1"/>
      <sheetName val="식재품셈"/>
      <sheetName val="선로정수계산"/>
      <sheetName val="소일위대가코드표"/>
      <sheetName val="BOX"/>
      <sheetName val="조도"/>
      <sheetName val="2000년1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개폐기개신"/>
      <sheetName val="개폐기개신 (2)"/>
      <sheetName val="단가대비표"/>
      <sheetName val="자재단가"/>
      <sheetName val="실내건축일위대가"/>
      <sheetName val="여과지동"/>
      <sheetName val="기초자료"/>
      <sheetName val="인건비"/>
      <sheetName val="터파기및재료"/>
      <sheetName val="N賃率-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원가계산서"/>
      <sheetName val="내역서"/>
      <sheetName val="공내역서"/>
      <sheetName val="일위대가"/>
      <sheetName val="공일위대가"/>
      <sheetName val="인공산출서"/>
      <sheetName val="관급자재"/>
      <sheetName val="자재단가"/>
      <sheetName val="노임"/>
      <sheetName val="업체단가"/>
      <sheetName val="운반비"/>
      <sheetName val="중량산출서(애자류)"/>
      <sheetName val="중량산출서(전선류)"/>
      <sheetName val="중량산출서(철재)"/>
      <sheetName val="가설사무소"/>
      <sheetName val="가설사무소 (공)"/>
      <sheetName val="원가계산서 "/>
      <sheetName val="내역서 (공)"/>
      <sheetName val="일위대가 (공)"/>
      <sheetName val="중량산출서애자류"/>
      <sheetName val="중량산출서전선류"/>
      <sheetName val="중량산출서철재"/>
      <sheetName val="개요"/>
      <sheetName val="일위대가표"/>
      <sheetName val="단가대비표"/>
      <sheetName val="인건비"/>
      <sheetName val="N賃率-職"/>
      <sheetName val="여과지동"/>
      <sheetName val="기초자료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6">
          <cell r="A6" t="str">
            <v>600V 비닐절연전선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원가계산서"/>
      <sheetName val="내역서"/>
      <sheetName val="공내역서"/>
      <sheetName val="일위대가"/>
      <sheetName val="공일위대가"/>
      <sheetName val="인공산출서"/>
      <sheetName val="관급자재"/>
      <sheetName val="자재단가"/>
      <sheetName val="노임"/>
      <sheetName val="업체단가"/>
      <sheetName val="운반비"/>
      <sheetName val="중량산출서(애자류)"/>
      <sheetName val="중량산출서(전선류)"/>
      <sheetName val="중량산출서(철재)"/>
      <sheetName val="가설사무소"/>
      <sheetName val="가설사무소 (공)"/>
      <sheetName val="원가계산서 "/>
      <sheetName val="내역서 (공)"/>
      <sheetName val="일위대가 (공)"/>
      <sheetName val="중량산출서애자류"/>
      <sheetName val="중량산출서전선류"/>
      <sheetName val="중량산출서철재"/>
      <sheetName val="일위대가표"/>
      <sheetName val="단가대비표"/>
      <sheetName val="인건비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6">
          <cell r="A6" t="str">
            <v>600V 비닐절연전선</v>
          </cell>
          <cell r="B6" t="str">
            <v>IV 2.0mm</v>
          </cell>
          <cell r="C6" t="str">
            <v>m</v>
          </cell>
          <cell r="D6">
            <v>810</v>
          </cell>
          <cell r="E6">
            <v>114</v>
          </cell>
          <cell r="F6">
            <v>857</v>
          </cell>
          <cell r="G6">
            <v>105</v>
          </cell>
          <cell r="L6">
            <v>105</v>
          </cell>
        </row>
        <row r="7">
          <cell r="A7" t="str">
            <v>600V 비닐절연전선</v>
          </cell>
          <cell r="B7" t="str">
            <v>IV 5.5㎟</v>
          </cell>
          <cell r="C7" t="str">
            <v>m</v>
          </cell>
          <cell r="D7">
            <v>810</v>
          </cell>
          <cell r="E7">
            <v>213</v>
          </cell>
          <cell r="F7">
            <v>857</v>
          </cell>
          <cell r="G7">
            <v>201</v>
          </cell>
          <cell r="L7">
            <v>201</v>
          </cell>
        </row>
        <row r="8">
          <cell r="A8" t="str">
            <v>경동연선</v>
          </cell>
          <cell r="B8" t="str">
            <v>BC 14㎟</v>
          </cell>
          <cell r="C8" t="str">
            <v>m</v>
          </cell>
          <cell r="D8">
            <v>825</v>
          </cell>
          <cell r="E8">
            <v>758</v>
          </cell>
          <cell r="F8">
            <v>842</v>
          </cell>
          <cell r="G8">
            <v>159</v>
          </cell>
          <cell r="L8">
            <v>758</v>
          </cell>
        </row>
        <row r="9">
          <cell r="A9" t="str">
            <v>경동연선</v>
          </cell>
          <cell r="B9" t="str">
            <v>BC 38㎟</v>
          </cell>
          <cell r="C9" t="str">
            <v>m</v>
          </cell>
          <cell r="D9">
            <v>825</v>
          </cell>
          <cell r="E9">
            <v>1683</v>
          </cell>
          <cell r="F9">
            <v>842</v>
          </cell>
          <cell r="G9">
            <v>241</v>
          </cell>
          <cell r="L9">
            <v>1683</v>
          </cell>
        </row>
        <row r="10">
          <cell r="A10" t="str">
            <v>경동연선</v>
          </cell>
          <cell r="B10" t="str">
            <v>BC 60㎟</v>
          </cell>
          <cell r="C10" t="str">
            <v>m</v>
          </cell>
          <cell r="D10">
            <v>825</v>
          </cell>
          <cell r="E10">
            <v>2793</v>
          </cell>
          <cell r="F10">
            <v>842</v>
          </cell>
          <cell r="G10">
            <v>132</v>
          </cell>
          <cell r="L10">
            <v>2793</v>
          </cell>
        </row>
        <row r="11">
          <cell r="A11" t="str">
            <v>600V 가교PE 케이블</v>
          </cell>
          <cell r="B11" t="str">
            <v>CV 1Cx60㎟</v>
          </cell>
          <cell r="C11" t="str">
            <v>m</v>
          </cell>
          <cell r="D11">
            <v>814</v>
          </cell>
          <cell r="E11">
            <v>2588</v>
          </cell>
          <cell r="F11">
            <v>866</v>
          </cell>
          <cell r="G11">
            <v>2160</v>
          </cell>
          <cell r="L11">
            <v>2160</v>
          </cell>
        </row>
        <row r="12">
          <cell r="A12" t="str">
            <v>600V 가교PE 케이블</v>
          </cell>
          <cell r="B12" t="str">
            <v>CV 1Cx200㎟</v>
          </cell>
          <cell r="C12" t="str">
            <v>m</v>
          </cell>
          <cell r="D12">
            <v>814</v>
          </cell>
          <cell r="E12">
            <v>9686</v>
          </cell>
          <cell r="F12">
            <v>866</v>
          </cell>
          <cell r="G12">
            <v>8084</v>
          </cell>
          <cell r="L12">
            <v>8084</v>
          </cell>
        </row>
        <row r="13">
          <cell r="A13" t="str">
            <v>600V 가교PE 케이블</v>
          </cell>
          <cell r="B13" t="str">
            <v>CV 2Cx5.5㎟</v>
          </cell>
          <cell r="C13" t="str">
            <v>m</v>
          </cell>
          <cell r="D13">
            <v>814</v>
          </cell>
          <cell r="E13">
            <v>820</v>
          </cell>
          <cell r="F13">
            <v>866</v>
          </cell>
          <cell r="G13">
            <v>685</v>
          </cell>
          <cell r="L13">
            <v>685</v>
          </cell>
        </row>
        <row r="14">
          <cell r="A14" t="str">
            <v>600V 가교PE 케이블</v>
          </cell>
          <cell r="B14" t="str">
            <v>CV 2Cx8㎟</v>
          </cell>
          <cell r="C14" t="str">
            <v>m</v>
          </cell>
          <cell r="D14">
            <v>814</v>
          </cell>
          <cell r="E14">
            <v>1034</v>
          </cell>
          <cell r="F14">
            <v>866</v>
          </cell>
          <cell r="G14">
            <v>863</v>
          </cell>
          <cell r="L14">
            <v>863</v>
          </cell>
        </row>
        <row r="15">
          <cell r="A15" t="str">
            <v>600V 가교PE 케이블</v>
          </cell>
          <cell r="B15" t="str">
            <v>CV 4Cx8㎟</v>
          </cell>
          <cell r="C15" t="str">
            <v>m</v>
          </cell>
          <cell r="D15">
            <v>814</v>
          </cell>
          <cell r="E15">
            <v>1731</v>
          </cell>
          <cell r="F15">
            <v>866</v>
          </cell>
          <cell r="G15">
            <v>1445</v>
          </cell>
          <cell r="L15">
            <v>1445</v>
          </cell>
        </row>
        <row r="16">
          <cell r="A16" t="str">
            <v>600V 가교PE 케이블</v>
          </cell>
          <cell r="B16" t="str">
            <v>CV 4Cx22㎟</v>
          </cell>
          <cell r="C16" t="str">
            <v>m</v>
          </cell>
          <cell r="D16">
            <v>814</v>
          </cell>
          <cell r="E16">
            <v>4199</v>
          </cell>
          <cell r="F16">
            <v>866</v>
          </cell>
          <cell r="G16">
            <v>3504</v>
          </cell>
          <cell r="L16">
            <v>3504</v>
          </cell>
        </row>
        <row r="17">
          <cell r="A17" t="str">
            <v>6.9KV 가교PE케이블</v>
          </cell>
          <cell r="B17" t="str">
            <v>6.9kV CV 1Cx38㎟</v>
          </cell>
          <cell r="C17" t="str">
            <v>m</v>
          </cell>
          <cell r="D17">
            <v>815</v>
          </cell>
          <cell r="E17">
            <v>4058</v>
          </cell>
          <cell r="F17">
            <v>866</v>
          </cell>
          <cell r="G17">
            <v>3324</v>
          </cell>
          <cell r="L17">
            <v>3324</v>
          </cell>
        </row>
        <row r="18">
          <cell r="A18" t="str">
            <v>접지용전선</v>
          </cell>
          <cell r="B18" t="str">
            <v>GV 1.6mm</v>
          </cell>
          <cell r="C18" t="str">
            <v>m</v>
          </cell>
          <cell r="D18">
            <v>811</v>
          </cell>
          <cell r="E18">
            <v>167</v>
          </cell>
          <cell r="F18">
            <v>858</v>
          </cell>
          <cell r="G18">
            <v>155</v>
          </cell>
          <cell r="L18">
            <v>155</v>
          </cell>
        </row>
        <row r="19">
          <cell r="A19" t="str">
            <v>접지용전선</v>
          </cell>
          <cell r="B19" t="str">
            <v>GV 2.0mm</v>
          </cell>
          <cell r="C19" t="str">
            <v>m</v>
          </cell>
          <cell r="D19">
            <v>811</v>
          </cell>
          <cell r="E19">
            <v>221</v>
          </cell>
          <cell r="F19">
            <v>858</v>
          </cell>
          <cell r="G19">
            <v>206</v>
          </cell>
          <cell r="L19">
            <v>206</v>
          </cell>
        </row>
        <row r="20">
          <cell r="A20" t="str">
            <v>접지용전선</v>
          </cell>
          <cell r="B20" t="str">
            <v>GV 3.5㎟</v>
          </cell>
          <cell r="C20" t="str">
            <v>m</v>
          </cell>
          <cell r="D20">
            <v>811</v>
          </cell>
          <cell r="E20">
            <v>270</v>
          </cell>
          <cell r="F20">
            <v>858</v>
          </cell>
          <cell r="G20">
            <v>251</v>
          </cell>
          <cell r="L20">
            <v>251</v>
          </cell>
        </row>
        <row r="21">
          <cell r="A21" t="str">
            <v>접지용전선</v>
          </cell>
          <cell r="B21" t="str">
            <v>GV 5.5㎟</v>
          </cell>
          <cell r="C21" t="str">
            <v>m</v>
          </cell>
          <cell r="D21">
            <v>811</v>
          </cell>
          <cell r="E21">
            <v>367</v>
          </cell>
          <cell r="F21">
            <v>858</v>
          </cell>
          <cell r="G21">
            <v>342</v>
          </cell>
          <cell r="L21">
            <v>342</v>
          </cell>
        </row>
        <row r="22">
          <cell r="A22" t="str">
            <v>접지용전선</v>
          </cell>
          <cell r="B22" t="str">
            <v>GV 14㎟</v>
          </cell>
          <cell r="C22" t="str">
            <v>m</v>
          </cell>
          <cell r="D22">
            <v>811</v>
          </cell>
          <cell r="E22">
            <v>946</v>
          </cell>
          <cell r="F22">
            <v>858</v>
          </cell>
          <cell r="G22">
            <v>881</v>
          </cell>
          <cell r="L22">
            <v>881</v>
          </cell>
        </row>
        <row r="23">
          <cell r="A23" t="str">
            <v>접지용전선</v>
          </cell>
          <cell r="B23" t="str">
            <v>GV 22㎟</v>
          </cell>
          <cell r="C23" t="str">
            <v>m</v>
          </cell>
          <cell r="D23">
            <v>811</v>
          </cell>
          <cell r="E23">
            <v>1313</v>
          </cell>
          <cell r="F23">
            <v>858</v>
          </cell>
          <cell r="G23">
            <v>1223</v>
          </cell>
          <cell r="L23">
            <v>1223</v>
          </cell>
        </row>
        <row r="24">
          <cell r="A24" t="str">
            <v>접지용전선</v>
          </cell>
          <cell r="B24" t="str">
            <v>GV 38㎟</v>
          </cell>
          <cell r="C24" t="str">
            <v>m</v>
          </cell>
          <cell r="D24">
            <v>811</v>
          </cell>
          <cell r="E24">
            <v>1978</v>
          </cell>
          <cell r="F24">
            <v>858</v>
          </cell>
          <cell r="G24">
            <v>1843</v>
          </cell>
          <cell r="L24">
            <v>1843</v>
          </cell>
        </row>
        <row r="25">
          <cell r="A25" t="str">
            <v>접지용전선</v>
          </cell>
          <cell r="B25" t="str">
            <v>GV 60㎟</v>
          </cell>
          <cell r="C25" t="str">
            <v>m</v>
          </cell>
          <cell r="D25">
            <v>811</v>
          </cell>
          <cell r="E25">
            <v>3128</v>
          </cell>
          <cell r="F25">
            <v>858</v>
          </cell>
          <cell r="G25">
            <v>2913</v>
          </cell>
          <cell r="L25">
            <v>2913</v>
          </cell>
        </row>
        <row r="26">
          <cell r="A26" t="str">
            <v>600V 내화전선 FR-8</v>
          </cell>
          <cell r="B26" t="str">
            <v>FR-8 2Cx14㎟</v>
          </cell>
          <cell r="C26" t="str">
            <v>m</v>
          </cell>
          <cell r="D26">
            <v>814</v>
          </cell>
          <cell r="E26">
            <v>3641</v>
          </cell>
          <cell r="F26">
            <v>864</v>
          </cell>
          <cell r="G26">
            <v>2947</v>
          </cell>
          <cell r="L26">
            <v>2947</v>
          </cell>
        </row>
        <row r="27">
          <cell r="A27" t="str">
            <v>600V 내화전선 FR-8</v>
          </cell>
          <cell r="B27" t="str">
            <v>FR-8 2Cx8㎟</v>
          </cell>
          <cell r="C27" t="str">
            <v>m</v>
          </cell>
          <cell r="D27">
            <v>814</v>
          </cell>
          <cell r="E27">
            <v>2709</v>
          </cell>
          <cell r="F27">
            <v>864</v>
          </cell>
          <cell r="G27">
            <v>2193</v>
          </cell>
          <cell r="L27">
            <v>2193</v>
          </cell>
        </row>
        <row r="28">
          <cell r="A28" t="str">
            <v>제어용비닐케이블</v>
          </cell>
          <cell r="B28" t="str">
            <v>CVV-SB 2Cx2.0㎟</v>
          </cell>
          <cell r="C28" t="str">
            <v>m</v>
          </cell>
          <cell r="D28">
            <v>813</v>
          </cell>
          <cell r="E28">
            <v>837</v>
          </cell>
          <cell r="F28">
            <v>860</v>
          </cell>
          <cell r="G28">
            <v>711</v>
          </cell>
          <cell r="L28">
            <v>711</v>
          </cell>
        </row>
        <row r="29">
          <cell r="A29" t="str">
            <v>CABLE HAED</v>
          </cell>
          <cell r="B29" t="str">
            <v>6.9kV 1Cx38㎟</v>
          </cell>
          <cell r="C29" t="str">
            <v>EA</v>
          </cell>
          <cell r="D29">
            <v>832</v>
          </cell>
          <cell r="E29">
            <v>103800</v>
          </cell>
          <cell r="F29">
            <v>879</v>
          </cell>
          <cell r="G29">
            <v>103800</v>
          </cell>
          <cell r="L29">
            <v>103800</v>
          </cell>
        </row>
        <row r="30">
          <cell r="A30" t="str">
            <v>압착터미날</v>
          </cell>
          <cell r="B30" t="str">
            <v>8 ㎟</v>
          </cell>
          <cell r="C30" t="str">
            <v>EA</v>
          </cell>
          <cell r="D30">
            <v>830</v>
          </cell>
          <cell r="E30">
            <v>77</v>
          </cell>
          <cell r="F30">
            <v>877</v>
          </cell>
          <cell r="G30">
            <v>39</v>
          </cell>
          <cell r="L30">
            <v>39</v>
          </cell>
        </row>
        <row r="31">
          <cell r="A31" t="str">
            <v>압착터미날</v>
          </cell>
          <cell r="B31" t="str">
            <v>14 ㎟</v>
          </cell>
          <cell r="C31" t="str">
            <v>EA</v>
          </cell>
          <cell r="D31">
            <v>830</v>
          </cell>
          <cell r="E31">
            <v>107</v>
          </cell>
          <cell r="F31">
            <v>877</v>
          </cell>
          <cell r="G31">
            <v>91</v>
          </cell>
          <cell r="L31">
            <v>91</v>
          </cell>
        </row>
        <row r="32">
          <cell r="A32" t="str">
            <v>압착터미날</v>
          </cell>
          <cell r="B32" t="str">
            <v>22 ㎟</v>
          </cell>
          <cell r="C32" t="str">
            <v>EA</v>
          </cell>
          <cell r="D32">
            <v>830</v>
          </cell>
          <cell r="E32">
            <v>137</v>
          </cell>
          <cell r="F32">
            <v>877</v>
          </cell>
          <cell r="G32">
            <v>117</v>
          </cell>
          <cell r="L32">
            <v>117</v>
          </cell>
        </row>
        <row r="33">
          <cell r="A33" t="str">
            <v>압착터미날</v>
          </cell>
          <cell r="B33" t="str">
            <v>60 ㎟</v>
          </cell>
          <cell r="C33" t="str">
            <v>EA</v>
          </cell>
          <cell r="D33">
            <v>830</v>
          </cell>
          <cell r="E33">
            <v>350</v>
          </cell>
          <cell r="F33">
            <v>877</v>
          </cell>
          <cell r="G33">
            <v>403</v>
          </cell>
          <cell r="L33">
            <v>350</v>
          </cell>
        </row>
        <row r="34">
          <cell r="A34" t="str">
            <v>압착터미날</v>
          </cell>
          <cell r="B34" t="str">
            <v>100 ㎟</v>
          </cell>
          <cell r="C34" t="str">
            <v>EA</v>
          </cell>
          <cell r="D34">
            <v>830</v>
          </cell>
          <cell r="E34">
            <v>540</v>
          </cell>
          <cell r="F34">
            <v>877</v>
          </cell>
          <cell r="G34">
            <v>455</v>
          </cell>
          <cell r="L34">
            <v>455</v>
          </cell>
        </row>
        <row r="35">
          <cell r="A35" t="str">
            <v>동 관 단 자</v>
          </cell>
          <cell r="B35" t="str">
            <v>2H0LE 200㎟</v>
          </cell>
          <cell r="C35" t="str">
            <v>EA</v>
          </cell>
          <cell r="D35">
            <v>830</v>
          </cell>
          <cell r="E35">
            <v>5350</v>
          </cell>
          <cell r="F35">
            <v>877</v>
          </cell>
          <cell r="G35">
            <v>4090</v>
          </cell>
          <cell r="L35">
            <v>4090</v>
          </cell>
        </row>
        <row r="36">
          <cell r="A36" t="str">
            <v>터미널캡</v>
          </cell>
          <cell r="B36" t="str">
            <v>60㎟</v>
          </cell>
          <cell r="C36" t="str">
            <v>EA</v>
          </cell>
          <cell r="D36">
            <v>830</v>
          </cell>
          <cell r="E36">
            <v>32</v>
          </cell>
          <cell r="F36">
            <v>877</v>
          </cell>
          <cell r="G36">
            <v>22</v>
          </cell>
          <cell r="L36">
            <v>22</v>
          </cell>
        </row>
        <row r="37">
          <cell r="A37" t="str">
            <v>접지슬리브</v>
          </cell>
          <cell r="B37" t="str">
            <v>60-60 38㎟</v>
          </cell>
          <cell r="C37" t="str">
            <v>EA</v>
          </cell>
          <cell r="D37">
            <v>903</v>
          </cell>
          <cell r="E37">
            <v>1500</v>
          </cell>
          <cell r="F37">
            <v>946</v>
          </cell>
          <cell r="G37">
            <v>1500</v>
          </cell>
          <cell r="L37">
            <v>1500</v>
          </cell>
        </row>
        <row r="38">
          <cell r="A38" t="str">
            <v>강제전선관</v>
          </cell>
          <cell r="B38" t="str">
            <v>ST 16C</v>
          </cell>
          <cell r="C38" t="str">
            <v>m</v>
          </cell>
          <cell r="D38">
            <v>835</v>
          </cell>
          <cell r="E38">
            <v>1100</v>
          </cell>
          <cell r="F38">
            <v>887</v>
          </cell>
          <cell r="G38">
            <v>1040</v>
          </cell>
          <cell r="H38">
            <v>419</v>
          </cell>
          <cell r="I38">
            <v>932</v>
          </cell>
          <cell r="L38">
            <v>932</v>
          </cell>
        </row>
        <row r="39">
          <cell r="A39" t="str">
            <v>강제전선관</v>
          </cell>
          <cell r="B39" t="str">
            <v>ST 22C</v>
          </cell>
          <cell r="C39" t="str">
            <v>m</v>
          </cell>
          <cell r="D39">
            <v>835</v>
          </cell>
          <cell r="E39">
            <v>1400</v>
          </cell>
          <cell r="F39">
            <v>887</v>
          </cell>
          <cell r="G39">
            <v>1332</v>
          </cell>
          <cell r="H39">
            <v>419</v>
          </cell>
          <cell r="I39">
            <v>1192</v>
          </cell>
          <cell r="L39">
            <v>1192</v>
          </cell>
        </row>
        <row r="40">
          <cell r="A40" t="str">
            <v>강제전선관</v>
          </cell>
          <cell r="B40" t="str">
            <v>ST 28C</v>
          </cell>
          <cell r="C40" t="str">
            <v>m</v>
          </cell>
          <cell r="D40">
            <v>835</v>
          </cell>
          <cell r="E40">
            <v>1825</v>
          </cell>
          <cell r="F40">
            <v>887</v>
          </cell>
          <cell r="G40">
            <v>1739</v>
          </cell>
          <cell r="H40">
            <v>419</v>
          </cell>
          <cell r="I40">
            <v>1566</v>
          </cell>
          <cell r="L40">
            <v>1566</v>
          </cell>
        </row>
        <row r="41">
          <cell r="A41" t="str">
            <v>강제전선관</v>
          </cell>
          <cell r="B41" t="str">
            <v>ST 36C</v>
          </cell>
          <cell r="C41" t="str">
            <v>m</v>
          </cell>
          <cell r="D41">
            <v>835</v>
          </cell>
          <cell r="E41">
            <v>2225</v>
          </cell>
          <cell r="F41">
            <v>887</v>
          </cell>
          <cell r="G41">
            <v>2135</v>
          </cell>
          <cell r="H41">
            <v>419</v>
          </cell>
          <cell r="I41">
            <v>1921</v>
          </cell>
          <cell r="L41">
            <v>1921</v>
          </cell>
        </row>
        <row r="42">
          <cell r="A42" t="str">
            <v>강제전선관</v>
          </cell>
          <cell r="B42" t="str">
            <v>ST 42C</v>
          </cell>
          <cell r="C42" t="str">
            <v>m</v>
          </cell>
          <cell r="D42">
            <v>835</v>
          </cell>
          <cell r="E42">
            <v>2575</v>
          </cell>
          <cell r="F42">
            <v>887</v>
          </cell>
          <cell r="G42">
            <v>2474</v>
          </cell>
          <cell r="H42">
            <v>419</v>
          </cell>
          <cell r="I42">
            <v>2224</v>
          </cell>
          <cell r="L42">
            <v>2224</v>
          </cell>
        </row>
        <row r="43">
          <cell r="A43" t="str">
            <v>강제전선관</v>
          </cell>
          <cell r="B43" t="str">
            <v>ST 54C</v>
          </cell>
          <cell r="C43" t="str">
            <v>m</v>
          </cell>
          <cell r="D43">
            <v>835</v>
          </cell>
          <cell r="E43">
            <v>3600</v>
          </cell>
          <cell r="F43">
            <v>887</v>
          </cell>
          <cell r="G43">
            <v>3450</v>
          </cell>
          <cell r="H43">
            <v>419</v>
          </cell>
          <cell r="I43">
            <v>3104</v>
          </cell>
          <cell r="L43">
            <v>3104</v>
          </cell>
        </row>
        <row r="44">
          <cell r="A44" t="str">
            <v>경질비닐 전선관</v>
          </cell>
          <cell r="B44" t="str">
            <v>HI-PVC 16C</v>
          </cell>
          <cell r="C44" t="str">
            <v>m</v>
          </cell>
          <cell r="D44">
            <v>839</v>
          </cell>
          <cell r="E44">
            <v>460</v>
          </cell>
          <cell r="F44">
            <v>882</v>
          </cell>
          <cell r="G44">
            <v>268</v>
          </cell>
          <cell r="L44">
            <v>268</v>
          </cell>
        </row>
        <row r="45">
          <cell r="A45" t="str">
            <v>경질비닐 전선관</v>
          </cell>
          <cell r="B45" t="str">
            <v>HI-PVC 22C</v>
          </cell>
          <cell r="C45" t="str">
            <v>m</v>
          </cell>
          <cell r="D45">
            <v>839</v>
          </cell>
          <cell r="E45">
            <v>555</v>
          </cell>
          <cell r="F45">
            <v>882</v>
          </cell>
          <cell r="G45">
            <v>322</v>
          </cell>
          <cell r="L45">
            <v>322</v>
          </cell>
        </row>
        <row r="46">
          <cell r="A46" t="str">
            <v>파상형경질PE전선관</v>
          </cell>
          <cell r="B46" t="str">
            <v>30mm</v>
          </cell>
          <cell r="C46" t="str">
            <v>m</v>
          </cell>
          <cell r="D46">
            <v>840</v>
          </cell>
          <cell r="E46">
            <v>470</v>
          </cell>
          <cell r="F46">
            <v>883</v>
          </cell>
          <cell r="G46">
            <v>270</v>
          </cell>
          <cell r="L46">
            <v>270</v>
          </cell>
        </row>
        <row r="47">
          <cell r="A47" t="str">
            <v>파상형경질PE전선관</v>
          </cell>
          <cell r="B47" t="str">
            <v>40mm</v>
          </cell>
          <cell r="C47" t="str">
            <v>m</v>
          </cell>
          <cell r="D47">
            <v>840</v>
          </cell>
          <cell r="E47">
            <v>690</v>
          </cell>
          <cell r="F47">
            <v>883</v>
          </cell>
          <cell r="G47">
            <v>410</v>
          </cell>
          <cell r="L47">
            <v>410</v>
          </cell>
        </row>
        <row r="48">
          <cell r="A48" t="str">
            <v>FLX 전선관</v>
          </cell>
          <cell r="B48" t="str">
            <v>16C</v>
          </cell>
          <cell r="C48" t="str">
            <v>m</v>
          </cell>
          <cell r="D48">
            <v>836</v>
          </cell>
          <cell r="E48">
            <v>700</v>
          </cell>
          <cell r="F48">
            <v>885</v>
          </cell>
          <cell r="G48">
            <v>930</v>
          </cell>
          <cell r="H48">
            <v>418</v>
          </cell>
          <cell r="I48">
            <v>630</v>
          </cell>
          <cell r="L48">
            <v>630</v>
          </cell>
        </row>
        <row r="49">
          <cell r="A49" t="str">
            <v>노말밴드</v>
          </cell>
          <cell r="B49" t="str">
            <v>아연도 36C</v>
          </cell>
          <cell r="C49" t="str">
            <v>EA</v>
          </cell>
          <cell r="D49">
            <v>835</v>
          </cell>
          <cell r="E49">
            <v>2500</v>
          </cell>
          <cell r="F49">
            <v>888</v>
          </cell>
          <cell r="G49">
            <v>2250</v>
          </cell>
          <cell r="L49">
            <v>2250</v>
          </cell>
        </row>
        <row r="50">
          <cell r="A50" t="str">
            <v>노말밴드</v>
          </cell>
          <cell r="B50" t="str">
            <v>아연도 42C</v>
          </cell>
          <cell r="C50" t="str">
            <v>EA</v>
          </cell>
          <cell r="D50">
            <v>835</v>
          </cell>
          <cell r="E50">
            <v>3250</v>
          </cell>
          <cell r="F50">
            <v>888</v>
          </cell>
          <cell r="G50">
            <v>2925</v>
          </cell>
          <cell r="L50">
            <v>2925</v>
          </cell>
        </row>
        <row r="51">
          <cell r="A51" t="str">
            <v>노말밴드</v>
          </cell>
          <cell r="B51" t="str">
            <v>아연도 54C</v>
          </cell>
          <cell r="C51" t="str">
            <v>EA</v>
          </cell>
          <cell r="D51">
            <v>835</v>
          </cell>
          <cell r="E51">
            <v>4625</v>
          </cell>
          <cell r="F51">
            <v>888</v>
          </cell>
          <cell r="G51">
            <v>4160</v>
          </cell>
          <cell r="L51">
            <v>4160</v>
          </cell>
        </row>
        <row r="52">
          <cell r="A52" t="str">
            <v>파이프크램프</v>
          </cell>
          <cell r="B52" t="str">
            <v>16C</v>
          </cell>
          <cell r="C52" t="str">
            <v>EA</v>
          </cell>
          <cell r="D52">
            <v>835</v>
          </cell>
          <cell r="E52">
            <v>270</v>
          </cell>
          <cell r="F52">
            <v>882</v>
          </cell>
          <cell r="G52">
            <v>250</v>
          </cell>
          <cell r="L52">
            <v>250</v>
          </cell>
        </row>
        <row r="53">
          <cell r="A53" t="str">
            <v>파이프크램프</v>
          </cell>
          <cell r="B53" t="str">
            <v>22C</v>
          </cell>
          <cell r="C53" t="str">
            <v>EA</v>
          </cell>
          <cell r="D53">
            <v>835</v>
          </cell>
          <cell r="E53">
            <v>300</v>
          </cell>
          <cell r="F53">
            <v>882</v>
          </cell>
          <cell r="G53">
            <v>285</v>
          </cell>
          <cell r="L53">
            <v>285</v>
          </cell>
        </row>
        <row r="54">
          <cell r="A54" t="str">
            <v>파이프크램프</v>
          </cell>
          <cell r="B54" t="str">
            <v>36C</v>
          </cell>
          <cell r="C54" t="str">
            <v>EA</v>
          </cell>
          <cell r="D54">
            <v>835</v>
          </cell>
          <cell r="E54">
            <v>420</v>
          </cell>
          <cell r="F54">
            <v>882</v>
          </cell>
          <cell r="G54">
            <v>405</v>
          </cell>
          <cell r="L54">
            <v>405</v>
          </cell>
        </row>
        <row r="55">
          <cell r="A55" t="str">
            <v>파이프크램프</v>
          </cell>
          <cell r="B55" t="str">
            <v>42C</v>
          </cell>
          <cell r="C55" t="str">
            <v>EA</v>
          </cell>
          <cell r="D55">
            <v>835</v>
          </cell>
          <cell r="E55">
            <v>460</v>
          </cell>
          <cell r="F55">
            <v>882</v>
          </cell>
          <cell r="G55">
            <v>530</v>
          </cell>
          <cell r="L55">
            <v>460</v>
          </cell>
        </row>
        <row r="56">
          <cell r="A56" t="str">
            <v>파이프크램프</v>
          </cell>
          <cell r="B56" t="str">
            <v>54C</v>
          </cell>
          <cell r="C56" t="str">
            <v>EA</v>
          </cell>
          <cell r="D56">
            <v>835</v>
          </cell>
          <cell r="E56">
            <v>550</v>
          </cell>
          <cell r="F56">
            <v>882</v>
          </cell>
          <cell r="G56">
            <v>540</v>
          </cell>
          <cell r="L56">
            <v>540</v>
          </cell>
        </row>
        <row r="57">
          <cell r="A57" t="str">
            <v>파이프행거</v>
          </cell>
          <cell r="B57" t="str">
            <v>36 C</v>
          </cell>
          <cell r="C57" t="str">
            <v>EA</v>
          </cell>
          <cell r="D57">
            <v>835</v>
          </cell>
          <cell r="E57">
            <v>660</v>
          </cell>
          <cell r="F57">
            <v>882</v>
          </cell>
          <cell r="G57">
            <v>640</v>
          </cell>
          <cell r="L57">
            <v>640</v>
          </cell>
        </row>
        <row r="58">
          <cell r="A58" t="str">
            <v>아우트레트박스</v>
          </cell>
          <cell r="B58" t="str">
            <v>8각 54mm</v>
          </cell>
          <cell r="C58" t="str">
            <v>EA</v>
          </cell>
          <cell r="D58">
            <v>841</v>
          </cell>
          <cell r="E58">
            <v>714</v>
          </cell>
          <cell r="F58">
            <v>899</v>
          </cell>
          <cell r="G58">
            <v>480</v>
          </cell>
          <cell r="L58">
            <v>480</v>
          </cell>
        </row>
        <row r="59">
          <cell r="A59" t="str">
            <v>아우트레트박스</v>
          </cell>
          <cell r="B59" t="str">
            <v>중형 4각 54mm</v>
          </cell>
          <cell r="C59" t="str">
            <v>EA</v>
          </cell>
          <cell r="D59">
            <v>841</v>
          </cell>
          <cell r="E59">
            <v>832</v>
          </cell>
          <cell r="F59">
            <v>861</v>
          </cell>
          <cell r="G59">
            <v>1170</v>
          </cell>
          <cell r="L59">
            <v>832</v>
          </cell>
        </row>
        <row r="60">
          <cell r="A60" t="str">
            <v>스위치박스</v>
          </cell>
          <cell r="B60" t="str">
            <v>1 개용 54 mm</v>
          </cell>
          <cell r="C60" t="str">
            <v>EA</v>
          </cell>
          <cell r="D60">
            <v>841</v>
          </cell>
          <cell r="E60">
            <v>668</v>
          </cell>
          <cell r="F60">
            <v>899</v>
          </cell>
          <cell r="G60">
            <v>440</v>
          </cell>
          <cell r="L60">
            <v>440</v>
          </cell>
        </row>
        <row r="61">
          <cell r="A61" t="str">
            <v>스위치박스</v>
          </cell>
          <cell r="B61" t="str">
            <v>2 개용 54 mm</v>
          </cell>
          <cell r="C61" t="str">
            <v>EA</v>
          </cell>
          <cell r="D61">
            <v>841</v>
          </cell>
          <cell r="E61">
            <v>701</v>
          </cell>
          <cell r="F61">
            <v>899</v>
          </cell>
          <cell r="G61">
            <v>560</v>
          </cell>
          <cell r="H61">
            <v>391</v>
          </cell>
          <cell r="I61">
            <v>932</v>
          </cell>
          <cell r="L61">
            <v>560</v>
          </cell>
        </row>
        <row r="62">
          <cell r="A62" t="str">
            <v>박스커버-8 각</v>
          </cell>
          <cell r="B62" t="str">
            <v>둥근구멍 (오목)</v>
          </cell>
          <cell r="C62" t="str">
            <v>EA</v>
          </cell>
          <cell r="D62">
            <v>843</v>
          </cell>
          <cell r="E62">
            <v>400</v>
          </cell>
          <cell r="F62">
            <v>899</v>
          </cell>
          <cell r="G62">
            <v>200</v>
          </cell>
          <cell r="H62">
            <v>391</v>
          </cell>
          <cell r="I62">
            <v>1192</v>
          </cell>
          <cell r="L62">
            <v>200</v>
          </cell>
        </row>
        <row r="63">
          <cell r="A63" t="str">
            <v>박스커버-8 각</v>
          </cell>
          <cell r="B63" t="str">
            <v>둥근구멍 (평)</v>
          </cell>
          <cell r="C63" t="str">
            <v>EA</v>
          </cell>
          <cell r="D63">
            <v>843</v>
          </cell>
          <cell r="E63">
            <v>350</v>
          </cell>
          <cell r="F63">
            <v>899</v>
          </cell>
          <cell r="G63">
            <v>160</v>
          </cell>
          <cell r="H63">
            <v>391</v>
          </cell>
          <cell r="I63">
            <v>1566</v>
          </cell>
          <cell r="L63">
            <v>160</v>
          </cell>
        </row>
        <row r="64">
          <cell r="A64" t="str">
            <v>박스커버-4 각</v>
          </cell>
          <cell r="B64" t="str">
            <v>둥근구멍 (오목)</v>
          </cell>
          <cell r="C64" t="str">
            <v>EA</v>
          </cell>
          <cell r="D64">
            <v>843</v>
          </cell>
          <cell r="E64">
            <v>400</v>
          </cell>
          <cell r="F64">
            <v>899</v>
          </cell>
          <cell r="G64">
            <v>200</v>
          </cell>
          <cell r="H64">
            <v>391</v>
          </cell>
          <cell r="I64">
            <v>1921</v>
          </cell>
          <cell r="L64">
            <v>200</v>
          </cell>
        </row>
        <row r="65">
          <cell r="A65" t="str">
            <v>박스커버-4 각</v>
          </cell>
          <cell r="B65" t="str">
            <v>둥근구멍 (평)</v>
          </cell>
          <cell r="C65" t="str">
            <v>EA</v>
          </cell>
          <cell r="D65">
            <v>843</v>
          </cell>
          <cell r="E65">
            <v>350</v>
          </cell>
          <cell r="F65">
            <v>866</v>
          </cell>
          <cell r="G65">
            <v>2431</v>
          </cell>
          <cell r="H65">
            <v>391</v>
          </cell>
          <cell r="I65">
            <v>2224</v>
          </cell>
          <cell r="L65">
            <v>350</v>
          </cell>
        </row>
        <row r="66">
          <cell r="A66" t="str">
            <v>풀박스</v>
          </cell>
          <cell r="B66" t="str">
            <v>150 x 150 x 100</v>
          </cell>
          <cell r="C66" t="str">
            <v>EA</v>
          </cell>
          <cell r="D66">
            <v>840</v>
          </cell>
          <cell r="E66">
            <v>2353</v>
          </cell>
          <cell r="F66">
            <v>899</v>
          </cell>
          <cell r="G66">
            <v>2330</v>
          </cell>
          <cell r="H66">
            <v>391</v>
          </cell>
          <cell r="I66">
            <v>3104</v>
          </cell>
          <cell r="L66">
            <v>2330</v>
          </cell>
        </row>
        <row r="67">
          <cell r="A67" t="str">
            <v>풀박스</v>
          </cell>
          <cell r="B67" t="str">
            <v>200 x 200 x 100</v>
          </cell>
          <cell r="C67" t="str">
            <v>EA</v>
          </cell>
          <cell r="D67">
            <v>840</v>
          </cell>
          <cell r="E67">
            <v>3647</v>
          </cell>
          <cell r="F67">
            <v>899</v>
          </cell>
          <cell r="G67">
            <v>3230</v>
          </cell>
          <cell r="H67">
            <v>391</v>
          </cell>
          <cell r="I67">
            <v>3950</v>
          </cell>
          <cell r="L67">
            <v>3230</v>
          </cell>
        </row>
        <row r="68">
          <cell r="A68" t="str">
            <v>풀박스</v>
          </cell>
          <cell r="B68" t="str">
            <v>300 x 300 x 200</v>
          </cell>
          <cell r="C68" t="str">
            <v>EA</v>
          </cell>
          <cell r="D68">
            <v>840</v>
          </cell>
          <cell r="E68">
            <v>7647</v>
          </cell>
          <cell r="F68">
            <v>899</v>
          </cell>
          <cell r="G68">
            <v>6800</v>
          </cell>
          <cell r="H68">
            <v>391</v>
          </cell>
          <cell r="I68">
            <v>307</v>
          </cell>
          <cell r="L68">
            <v>6800</v>
          </cell>
        </row>
        <row r="69">
          <cell r="A69" t="str">
            <v>풀박스</v>
          </cell>
          <cell r="B69" t="str">
            <v>400 x 400 x 200</v>
          </cell>
          <cell r="C69" t="str">
            <v>EA</v>
          </cell>
          <cell r="D69">
            <v>840</v>
          </cell>
          <cell r="E69">
            <v>12000</v>
          </cell>
          <cell r="F69">
            <v>899</v>
          </cell>
          <cell r="G69">
            <v>10540</v>
          </cell>
          <cell r="H69">
            <v>391</v>
          </cell>
          <cell r="I69">
            <v>368</v>
          </cell>
          <cell r="L69">
            <v>10540</v>
          </cell>
        </row>
        <row r="70">
          <cell r="A70" t="str">
            <v>레이스웨이-BODY</v>
          </cell>
          <cell r="B70" t="str">
            <v>BODY 70 x 40</v>
          </cell>
          <cell r="C70" t="str">
            <v>m</v>
          </cell>
          <cell r="D70">
            <v>845</v>
          </cell>
          <cell r="E70">
            <v>2940</v>
          </cell>
          <cell r="F70">
            <v>898</v>
          </cell>
          <cell r="G70">
            <v>2500</v>
          </cell>
          <cell r="H70">
            <v>391</v>
          </cell>
          <cell r="I70">
            <v>710</v>
          </cell>
          <cell r="L70">
            <v>2500</v>
          </cell>
        </row>
        <row r="71">
          <cell r="A71" t="str">
            <v>레이스웨이-COVER</v>
          </cell>
          <cell r="B71" t="str">
            <v>COVER 70 x 40</v>
          </cell>
          <cell r="C71" t="str">
            <v>m</v>
          </cell>
          <cell r="D71">
            <v>845</v>
          </cell>
          <cell r="E71">
            <v>1350</v>
          </cell>
          <cell r="F71">
            <v>898</v>
          </cell>
          <cell r="G71">
            <v>1150</v>
          </cell>
          <cell r="L71">
            <v>1150</v>
          </cell>
        </row>
        <row r="72">
          <cell r="A72" t="str">
            <v>레이스웨이-JOINER</v>
          </cell>
          <cell r="B72" t="str">
            <v>JOINER 70 x 40</v>
          </cell>
          <cell r="C72" t="str">
            <v>개</v>
          </cell>
          <cell r="D72">
            <v>845</v>
          </cell>
          <cell r="E72">
            <v>1650</v>
          </cell>
          <cell r="F72">
            <v>898</v>
          </cell>
          <cell r="G72">
            <v>940</v>
          </cell>
          <cell r="L72">
            <v>940</v>
          </cell>
        </row>
        <row r="73">
          <cell r="A73" t="str">
            <v>레이스웨이-END CAP</v>
          </cell>
          <cell r="B73" t="str">
            <v>END CAP 70 x 40</v>
          </cell>
          <cell r="C73" t="str">
            <v>개</v>
          </cell>
          <cell r="D73">
            <v>845</v>
          </cell>
          <cell r="E73">
            <v>740</v>
          </cell>
          <cell r="F73">
            <v>898</v>
          </cell>
          <cell r="G73">
            <v>680</v>
          </cell>
          <cell r="L73">
            <v>680</v>
          </cell>
        </row>
        <row r="74">
          <cell r="A74" t="str">
            <v>기구용금구</v>
          </cell>
          <cell r="B74" t="str">
            <v>70 x 40</v>
          </cell>
          <cell r="C74" t="str">
            <v>개</v>
          </cell>
          <cell r="D74">
            <v>845</v>
          </cell>
          <cell r="E74">
            <v>500</v>
          </cell>
          <cell r="F74">
            <v>898</v>
          </cell>
          <cell r="G74">
            <v>430</v>
          </cell>
          <cell r="H74">
            <v>390</v>
          </cell>
          <cell r="I74">
            <v>630</v>
          </cell>
          <cell r="L74">
            <v>430</v>
          </cell>
        </row>
        <row r="75">
          <cell r="A75" t="str">
            <v>HANGER</v>
          </cell>
          <cell r="B75" t="str">
            <v>"C"형</v>
          </cell>
          <cell r="C75" t="str">
            <v>개</v>
          </cell>
          <cell r="D75">
            <v>845</v>
          </cell>
          <cell r="E75">
            <v>1960</v>
          </cell>
          <cell r="F75">
            <v>898</v>
          </cell>
          <cell r="G75">
            <v>1800</v>
          </cell>
          <cell r="H75">
            <v>390</v>
          </cell>
          <cell r="I75">
            <v>820</v>
          </cell>
          <cell r="L75">
            <v>1800</v>
          </cell>
        </row>
        <row r="76">
          <cell r="A76" t="str">
            <v>CABLE TRAY</v>
          </cell>
          <cell r="B76" t="str">
            <v>W300x100Hx2.3t</v>
          </cell>
          <cell r="C76" t="str">
            <v>m</v>
          </cell>
          <cell r="D76">
            <v>847</v>
          </cell>
          <cell r="E76">
            <v>9500</v>
          </cell>
          <cell r="F76">
            <v>895</v>
          </cell>
          <cell r="G76">
            <v>9000</v>
          </cell>
          <cell r="H76">
            <v>390</v>
          </cell>
          <cell r="I76">
            <v>1360</v>
          </cell>
          <cell r="L76">
            <v>9000</v>
          </cell>
        </row>
        <row r="77">
          <cell r="A77" t="str">
            <v>CABLE TRAY</v>
          </cell>
          <cell r="B77" t="str">
            <v>W600x100Hx2.3t</v>
          </cell>
          <cell r="C77" t="str">
            <v>m</v>
          </cell>
          <cell r="D77">
            <v>847</v>
          </cell>
          <cell r="E77">
            <v>11350</v>
          </cell>
          <cell r="F77">
            <v>895</v>
          </cell>
          <cell r="G77">
            <v>10300</v>
          </cell>
          <cell r="L77">
            <v>10300</v>
          </cell>
        </row>
        <row r="78">
          <cell r="A78" t="str">
            <v>CABLE TRAY COVER</v>
          </cell>
          <cell r="B78" t="str">
            <v>W600</v>
          </cell>
          <cell r="C78" t="str">
            <v>m</v>
          </cell>
          <cell r="D78">
            <v>847</v>
          </cell>
          <cell r="E78">
            <v>19700</v>
          </cell>
          <cell r="F78">
            <v>871</v>
          </cell>
          <cell r="G78">
            <v>2625</v>
          </cell>
          <cell r="L78">
            <v>19700</v>
          </cell>
        </row>
        <row r="79">
          <cell r="A79" t="str">
            <v>HORIZONTAL ELBOW</v>
          </cell>
          <cell r="B79" t="str">
            <v>W300x100H x2.3t</v>
          </cell>
          <cell r="C79" t="str">
            <v>EA</v>
          </cell>
          <cell r="D79">
            <v>847</v>
          </cell>
          <cell r="E79">
            <v>12100</v>
          </cell>
          <cell r="F79">
            <v>895</v>
          </cell>
          <cell r="G79">
            <v>13500</v>
          </cell>
          <cell r="L79">
            <v>12100</v>
          </cell>
        </row>
        <row r="80">
          <cell r="A80" t="str">
            <v>VERTICAL ELBOW</v>
          </cell>
          <cell r="B80" t="str">
            <v>W600 x100Hx2.3t</v>
          </cell>
          <cell r="C80" t="str">
            <v>EA</v>
          </cell>
          <cell r="D80">
            <v>847</v>
          </cell>
          <cell r="E80">
            <v>14100</v>
          </cell>
          <cell r="F80">
            <v>895</v>
          </cell>
          <cell r="G80">
            <v>16000</v>
          </cell>
          <cell r="L80">
            <v>14100</v>
          </cell>
        </row>
        <row r="81">
          <cell r="A81" t="str">
            <v>HORIZOTAL TEE</v>
          </cell>
          <cell r="B81" t="str">
            <v>W300x 100Hx2.3t</v>
          </cell>
          <cell r="C81" t="str">
            <v>EA</v>
          </cell>
          <cell r="D81">
            <v>847</v>
          </cell>
          <cell r="E81">
            <v>20100</v>
          </cell>
          <cell r="F81">
            <v>895</v>
          </cell>
          <cell r="G81">
            <v>16200</v>
          </cell>
          <cell r="L81">
            <v>16200</v>
          </cell>
        </row>
        <row r="82">
          <cell r="A82" t="str">
            <v>HORIZOTAL TEE</v>
          </cell>
          <cell r="B82" t="str">
            <v>W600x 100Hx2.3t</v>
          </cell>
          <cell r="C82" t="str">
            <v>EA</v>
          </cell>
          <cell r="D82">
            <v>847</v>
          </cell>
          <cell r="E82">
            <v>26900</v>
          </cell>
          <cell r="F82">
            <v>895</v>
          </cell>
          <cell r="G82">
            <v>20600</v>
          </cell>
          <cell r="L82">
            <v>20600</v>
          </cell>
        </row>
        <row r="83">
          <cell r="A83" t="str">
            <v>JOINT CONNECTOR</v>
          </cell>
          <cell r="B83" t="str">
            <v>100H</v>
          </cell>
          <cell r="C83" t="str">
            <v>EA</v>
          </cell>
          <cell r="D83">
            <v>847</v>
          </cell>
          <cell r="E83">
            <v>1100</v>
          </cell>
          <cell r="F83">
            <v>895</v>
          </cell>
          <cell r="G83">
            <v>1000</v>
          </cell>
          <cell r="L83">
            <v>1000</v>
          </cell>
        </row>
        <row r="84">
          <cell r="A84" t="str">
            <v>SHANK BOLT &amp; NUT</v>
          </cell>
          <cell r="B84" t="str">
            <v>아연도</v>
          </cell>
          <cell r="C84" t="str">
            <v>EA</v>
          </cell>
          <cell r="D84">
            <v>847</v>
          </cell>
          <cell r="E84">
            <v>110</v>
          </cell>
          <cell r="F84">
            <v>895</v>
          </cell>
          <cell r="G84">
            <v>100</v>
          </cell>
          <cell r="L84">
            <v>100</v>
          </cell>
        </row>
        <row r="85">
          <cell r="A85" t="str">
            <v>BOINDING JUMPER</v>
          </cell>
          <cell r="B85" t="str">
            <v>38mm2</v>
          </cell>
          <cell r="C85" t="str">
            <v>EA</v>
          </cell>
          <cell r="D85">
            <v>847</v>
          </cell>
          <cell r="E85">
            <v>2750</v>
          </cell>
          <cell r="F85">
            <v>871</v>
          </cell>
          <cell r="G85">
            <v>445</v>
          </cell>
          <cell r="L85">
            <v>2750</v>
          </cell>
        </row>
        <row r="86">
          <cell r="A86" t="str">
            <v>HOLD DOWN CLAMP</v>
          </cell>
          <cell r="B86" t="str">
            <v>STEEL 2.3t</v>
          </cell>
          <cell r="C86" t="str">
            <v>EA</v>
          </cell>
          <cell r="D86">
            <v>847</v>
          </cell>
          <cell r="E86">
            <v>350</v>
          </cell>
          <cell r="F86">
            <v>895</v>
          </cell>
          <cell r="G86">
            <v>150</v>
          </cell>
          <cell r="L86">
            <v>150</v>
          </cell>
        </row>
        <row r="87">
          <cell r="A87" t="str">
            <v>U-CHANNEL</v>
          </cell>
          <cell r="B87" t="str">
            <v>41x41x2.6T</v>
          </cell>
          <cell r="C87" t="str">
            <v>m</v>
          </cell>
          <cell r="D87">
            <v>847</v>
          </cell>
          <cell r="E87">
            <v>2800</v>
          </cell>
          <cell r="F87">
            <v>894</v>
          </cell>
          <cell r="G87">
            <v>2800</v>
          </cell>
          <cell r="L87">
            <v>2800</v>
          </cell>
        </row>
        <row r="88">
          <cell r="A88" t="str">
            <v>매입콘센트-접지</v>
          </cell>
          <cell r="B88" t="str">
            <v>15A 250V-2구</v>
          </cell>
          <cell r="C88" t="str">
            <v>EA</v>
          </cell>
          <cell r="D88">
            <v>820</v>
          </cell>
          <cell r="E88">
            <v>550</v>
          </cell>
          <cell r="F88">
            <v>948</v>
          </cell>
          <cell r="G88">
            <v>1140</v>
          </cell>
          <cell r="H88">
            <v>417</v>
          </cell>
          <cell r="I88">
            <v>1258</v>
          </cell>
          <cell r="L88">
            <v>1140</v>
          </cell>
        </row>
        <row r="89">
          <cell r="A89" t="str">
            <v>방수콘센트</v>
          </cell>
          <cell r="B89" t="str">
            <v>15A-250V-2구</v>
          </cell>
          <cell r="C89" t="str">
            <v>EA</v>
          </cell>
          <cell r="D89">
            <v>820</v>
          </cell>
          <cell r="E89">
            <v>999</v>
          </cell>
          <cell r="F89">
            <v>950</v>
          </cell>
          <cell r="G89">
            <v>2510</v>
          </cell>
          <cell r="L89">
            <v>2510</v>
          </cell>
        </row>
        <row r="90">
          <cell r="A90" t="str">
            <v>매입1로스위치</v>
          </cell>
          <cell r="B90" t="str">
            <v>15A 250V 1구</v>
          </cell>
          <cell r="C90" t="str">
            <v>EA</v>
          </cell>
          <cell r="D90">
            <v>907</v>
          </cell>
          <cell r="E90">
            <v>2082</v>
          </cell>
          <cell r="F90">
            <v>950</v>
          </cell>
          <cell r="G90">
            <v>1260</v>
          </cell>
          <cell r="L90">
            <v>1260</v>
          </cell>
        </row>
        <row r="91">
          <cell r="A91" t="str">
            <v>매입1로스위치</v>
          </cell>
          <cell r="B91" t="str">
            <v>15A 250V 2구</v>
          </cell>
          <cell r="C91" t="str">
            <v>EA</v>
          </cell>
          <cell r="D91">
            <v>907</v>
          </cell>
          <cell r="E91">
            <v>2931</v>
          </cell>
          <cell r="F91">
            <v>950</v>
          </cell>
          <cell r="G91">
            <v>1980</v>
          </cell>
          <cell r="L91">
            <v>1980</v>
          </cell>
        </row>
        <row r="92">
          <cell r="A92" t="str">
            <v>매입3로스위치</v>
          </cell>
          <cell r="B92" t="str">
            <v>15A 250V  1구</v>
          </cell>
          <cell r="C92" t="str">
            <v>EA</v>
          </cell>
          <cell r="D92">
            <v>907</v>
          </cell>
          <cell r="E92">
            <v>2313</v>
          </cell>
          <cell r="F92">
            <v>950</v>
          </cell>
          <cell r="G92">
            <v>1440</v>
          </cell>
          <cell r="L92">
            <v>1440</v>
          </cell>
        </row>
        <row r="93">
          <cell r="A93" t="str">
            <v>접지봉</v>
          </cell>
          <cell r="B93" t="str">
            <v>φ16 x 1800mm</v>
          </cell>
          <cell r="C93" t="str">
            <v>본</v>
          </cell>
          <cell r="D93">
            <v>903</v>
          </cell>
          <cell r="E93">
            <v>4900</v>
          </cell>
          <cell r="F93">
            <v>946</v>
          </cell>
          <cell r="G93">
            <v>4500</v>
          </cell>
          <cell r="L93">
            <v>4500</v>
          </cell>
        </row>
        <row r="94">
          <cell r="A94" t="str">
            <v>접지봉</v>
          </cell>
          <cell r="B94" t="str">
            <v>φ18 x 2400mm</v>
          </cell>
          <cell r="C94" t="str">
            <v>본</v>
          </cell>
          <cell r="D94">
            <v>903</v>
          </cell>
          <cell r="E94">
            <v>7300</v>
          </cell>
          <cell r="F94">
            <v>946</v>
          </cell>
          <cell r="G94">
            <v>6500</v>
          </cell>
          <cell r="H94">
            <v>388</v>
          </cell>
          <cell r="I94">
            <v>1540</v>
          </cell>
          <cell r="L94">
            <v>6500</v>
          </cell>
        </row>
        <row r="95">
          <cell r="A95" t="str">
            <v>접지봉 콘넥터</v>
          </cell>
          <cell r="B95" t="str">
            <v>Φ16(U-BOLT형)</v>
          </cell>
          <cell r="C95" t="str">
            <v>EA</v>
          </cell>
          <cell r="D95">
            <v>903</v>
          </cell>
          <cell r="E95">
            <v>3500</v>
          </cell>
          <cell r="F95">
            <v>946</v>
          </cell>
          <cell r="G95">
            <v>3000</v>
          </cell>
          <cell r="L95">
            <v>3000</v>
          </cell>
        </row>
        <row r="96">
          <cell r="A96" t="str">
            <v>접지봉 콘넥터</v>
          </cell>
          <cell r="B96" t="str">
            <v>Φ19(U-BOLT형)</v>
          </cell>
          <cell r="C96" t="str">
            <v>EA</v>
          </cell>
          <cell r="D96">
            <v>903</v>
          </cell>
          <cell r="E96">
            <v>4000</v>
          </cell>
          <cell r="F96">
            <v>946</v>
          </cell>
          <cell r="G96">
            <v>3500</v>
          </cell>
          <cell r="L96">
            <v>3500</v>
          </cell>
        </row>
        <row r="97">
          <cell r="A97" t="str">
            <v>접지단자함</v>
          </cell>
          <cell r="B97" t="str">
            <v>7 회로용</v>
          </cell>
          <cell r="C97" t="str">
            <v>면</v>
          </cell>
          <cell r="D97">
            <v>903</v>
          </cell>
          <cell r="E97">
            <v>72000</v>
          </cell>
          <cell r="F97">
            <v>946</v>
          </cell>
          <cell r="G97">
            <v>65000</v>
          </cell>
          <cell r="L97">
            <v>65000</v>
          </cell>
        </row>
        <row r="98">
          <cell r="A98" t="str">
            <v>접지저항저감제</v>
          </cell>
          <cell r="B98" t="str">
            <v>아스판 10 Kg</v>
          </cell>
          <cell r="C98" t="str">
            <v>포</v>
          </cell>
          <cell r="D98">
            <v>827</v>
          </cell>
          <cell r="E98">
            <v>714</v>
          </cell>
          <cell r="F98">
            <v>946</v>
          </cell>
          <cell r="G98">
            <v>20000</v>
          </cell>
          <cell r="L98">
            <v>20000</v>
          </cell>
        </row>
        <row r="99">
          <cell r="A99" t="str">
            <v>달대볼트(SST'L)</v>
          </cell>
          <cell r="B99" t="str">
            <v>φ9x1000mm</v>
          </cell>
          <cell r="C99" t="str">
            <v>EA</v>
          </cell>
          <cell r="D99">
            <v>364</v>
          </cell>
          <cell r="E99">
            <v>482</v>
          </cell>
          <cell r="F99">
            <v>882</v>
          </cell>
          <cell r="G99">
            <v>630</v>
          </cell>
          <cell r="L99">
            <v>482</v>
          </cell>
        </row>
        <row r="100">
          <cell r="A100" t="str">
            <v>인써트</v>
          </cell>
          <cell r="B100" t="str">
            <v>φ9mm(주물)</v>
          </cell>
          <cell r="C100" t="str">
            <v>EA</v>
          </cell>
          <cell r="D100">
            <v>98</v>
          </cell>
          <cell r="E100">
            <v>40</v>
          </cell>
          <cell r="F100">
            <v>80</v>
          </cell>
          <cell r="G100">
            <v>180</v>
          </cell>
          <cell r="L100">
            <v>40</v>
          </cell>
        </row>
        <row r="101">
          <cell r="A101" t="str">
            <v>형광등기구 보강대</v>
          </cell>
          <cell r="B101" t="str">
            <v>스프링형 M BAR</v>
          </cell>
          <cell r="C101" t="str">
            <v>SET</v>
          </cell>
          <cell r="D101">
            <v>827</v>
          </cell>
          <cell r="E101">
            <v>701</v>
          </cell>
          <cell r="F101">
            <v>956</v>
          </cell>
          <cell r="G101">
            <v>5500</v>
          </cell>
          <cell r="L101">
            <v>5500</v>
          </cell>
        </row>
        <row r="102">
          <cell r="A102" t="str">
            <v>다운라이트 보강대</v>
          </cell>
          <cell r="B102" t="str">
            <v>스프링형 M-BAR</v>
          </cell>
          <cell r="C102" t="str">
            <v>SET</v>
          </cell>
          <cell r="D102">
            <v>828</v>
          </cell>
          <cell r="E102">
            <v>400</v>
          </cell>
          <cell r="F102">
            <v>956</v>
          </cell>
          <cell r="G102">
            <v>4000</v>
          </cell>
          <cell r="L102">
            <v>4000</v>
          </cell>
        </row>
        <row r="103">
          <cell r="A103" t="str">
            <v>박스커버-8 각</v>
          </cell>
          <cell r="B103" t="str">
            <v>둥근구멍 (평)</v>
          </cell>
          <cell r="C103" t="str">
            <v>EA</v>
          </cell>
          <cell r="D103">
            <v>828</v>
          </cell>
          <cell r="E103">
            <v>350</v>
          </cell>
          <cell r="F103">
            <v>883</v>
          </cell>
          <cell r="G103">
            <v>180</v>
          </cell>
          <cell r="L103">
            <v>180</v>
          </cell>
        </row>
        <row r="104">
          <cell r="A104" t="str">
            <v>박스커버-4 각</v>
          </cell>
          <cell r="B104" t="str">
            <v>둥근구멍 (오목)</v>
          </cell>
          <cell r="C104" t="str">
            <v>EA</v>
          </cell>
          <cell r="D104">
            <v>828</v>
          </cell>
          <cell r="E104">
            <v>400</v>
          </cell>
          <cell r="F104">
            <v>883</v>
          </cell>
          <cell r="G104">
            <v>220</v>
          </cell>
          <cell r="L104">
            <v>220</v>
          </cell>
        </row>
        <row r="105">
          <cell r="A105" t="str">
            <v>박스커버-4 각</v>
          </cell>
          <cell r="B105" t="str">
            <v>둥근구멍 (평)</v>
          </cell>
          <cell r="C105" t="str">
            <v>EA</v>
          </cell>
          <cell r="D105">
            <v>828</v>
          </cell>
          <cell r="E105">
            <v>350</v>
          </cell>
          <cell r="L105">
            <v>350</v>
          </cell>
        </row>
        <row r="106">
          <cell r="A106" t="str">
            <v>풀박스</v>
          </cell>
          <cell r="B106" t="str">
            <v>100 x 100 x 50</v>
          </cell>
          <cell r="C106" t="str">
            <v>EA</v>
          </cell>
          <cell r="D106">
            <v>825</v>
          </cell>
          <cell r="E106">
            <v>1411</v>
          </cell>
          <cell r="F106">
            <v>883</v>
          </cell>
          <cell r="G106">
            <v>1480</v>
          </cell>
          <cell r="H106">
            <v>388</v>
          </cell>
          <cell r="I106">
            <v>1370</v>
          </cell>
          <cell r="L106">
            <v>1370</v>
          </cell>
        </row>
        <row r="107">
          <cell r="A107" t="str">
            <v>풀박스</v>
          </cell>
          <cell r="B107" t="str">
            <v>100 x 100 x 100</v>
          </cell>
          <cell r="C107" t="str">
            <v>EA</v>
          </cell>
          <cell r="D107">
            <v>825</v>
          </cell>
          <cell r="E107">
            <v>1882</v>
          </cell>
          <cell r="F107">
            <v>883</v>
          </cell>
          <cell r="G107">
            <v>1750</v>
          </cell>
          <cell r="H107">
            <v>388</v>
          </cell>
          <cell r="I107">
            <v>1830</v>
          </cell>
          <cell r="L107">
            <v>1750</v>
          </cell>
        </row>
        <row r="108">
          <cell r="A108" t="str">
            <v>풀박스</v>
          </cell>
          <cell r="B108" t="str">
            <v>150 x 150 x 100</v>
          </cell>
          <cell r="C108" t="str">
            <v>EA</v>
          </cell>
          <cell r="D108">
            <v>825</v>
          </cell>
          <cell r="E108">
            <v>2353</v>
          </cell>
          <cell r="F108">
            <v>883</v>
          </cell>
          <cell r="G108">
            <v>2470</v>
          </cell>
          <cell r="H108">
            <v>388</v>
          </cell>
          <cell r="I108">
            <v>2290</v>
          </cell>
          <cell r="L108">
            <v>2290</v>
          </cell>
        </row>
        <row r="109">
          <cell r="A109" t="str">
            <v>풀박스</v>
          </cell>
          <cell r="B109" t="str">
            <v>150 x 150 x 150</v>
          </cell>
          <cell r="C109" t="str">
            <v>EA</v>
          </cell>
          <cell r="D109">
            <v>825</v>
          </cell>
          <cell r="E109">
            <v>2765</v>
          </cell>
          <cell r="F109">
            <v>883</v>
          </cell>
          <cell r="G109">
            <v>2740</v>
          </cell>
          <cell r="H109">
            <v>388</v>
          </cell>
          <cell r="I109">
            <v>2690</v>
          </cell>
          <cell r="L109">
            <v>2690</v>
          </cell>
        </row>
        <row r="110">
          <cell r="A110" t="str">
            <v>풀박스</v>
          </cell>
          <cell r="B110" t="str">
            <v>200 x 200 x 150</v>
          </cell>
          <cell r="C110" t="str">
            <v>EA</v>
          </cell>
          <cell r="D110">
            <v>825</v>
          </cell>
          <cell r="E110">
            <v>4588</v>
          </cell>
          <cell r="F110">
            <v>883</v>
          </cell>
          <cell r="G110">
            <v>4050</v>
          </cell>
          <cell r="H110">
            <v>388</v>
          </cell>
          <cell r="I110">
            <v>4460</v>
          </cell>
          <cell r="L110">
            <v>4050</v>
          </cell>
        </row>
        <row r="111">
          <cell r="A111" t="str">
            <v>풀박스</v>
          </cell>
          <cell r="B111" t="str">
            <v>300 x 300 x 150</v>
          </cell>
          <cell r="C111" t="str">
            <v>EA</v>
          </cell>
          <cell r="D111">
            <v>825</v>
          </cell>
          <cell r="E111">
            <v>6765</v>
          </cell>
          <cell r="F111">
            <v>883</v>
          </cell>
          <cell r="G111">
            <v>6390</v>
          </cell>
          <cell r="H111">
            <v>388</v>
          </cell>
          <cell r="I111">
            <v>6570</v>
          </cell>
          <cell r="L111">
            <v>6390</v>
          </cell>
        </row>
        <row r="112">
          <cell r="A112" t="str">
            <v>풀박스</v>
          </cell>
          <cell r="B112" t="str">
            <v>500 x 500 x 300</v>
          </cell>
          <cell r="C112" t="str">
            <v>EA</v>
          </cell>
          <cell r="D112">
            <v>825</v>
          </cell>
          <cell r="E112">
            <v>25882</v>
          </cell>
          <cell r="F112">
            <v>883</v>
          </cell>
          <cell r="G112">
            <v>22500</v>
          </cell>
          <cell r="H112">
            <v>388</v>
          </cell>
          <cell r="I112">
            <v>25150</v>
          </cell>
          <cell r="L112">
            <v>22500</v>
          </cell>
        </row>
        <row r="113">
          <cell r="A113" t="str">
            <v>FLOOR BOX</v>
          </cell>
          <cell r="B113" t="str">
            <v>300 x 200 x 150</v>
          </cell>
          <cell r="C113" t="str">
            <v>EA</v>
          </cell>
          <cell r="D113">
            <v>836</v>
          </cell>
          <cell r="E113">
            <v>65000</v>
          </cell>
          <cell r="F113">
            <v>875</v>
          </cell>
          <cell r="G113">
            <v>65000</v>
          </cell>
          <cell r="L113">
            <v>65000</v>
          </cell>
        </row>
        <row r="114">
          <cell r="A114" t="str">
            <v>레이스웨이-BODY</v>
          </cell>
          <cell r="B114" t="str">
            <v>BODY 70 x 40</v>
          </cell>
          <cell r="C114" t="str">
            <v>m</v>
          </cell>
          <cell r="D114">
            <v>830</v>
          </cell>
          <cell r="E114">
            <v>2940</v>
          </cell>
          <cell r="F114">
            <v>881</v>
          </cell>
          <cell r="G114">
            <v>2940</v>
          </cell>
          <cell r="L114">
            <v>2940</v>
          </cell>
        </row>
        <row r="115">
          <cell r="A115" t="str">
            <v>레이스웨이-COVER</v>
          </cell>
          <cell r="B115" t="str">
            <v>COVER 70 x 40</v>
          </cell>
          <cell r="C115" t="str">
            <v>m</v>
          </cell>
          <cell r="D115">
            <v>830</v>
          </cell>
          <cell r="E115">
            <v>1350</v>
          </cell>
          <cell r="F115">
            <v>881</v>
          </cell>
          <cell r="G115">
            <v>1350</v>
          </cell>
          <cell r="L115">
            <v>1350</v>
          </cell>
        </row>
        <row r="116">
          <cell r="A116" t="str">
            <v>VERTICAL ELBOW</v>
          </cell>
          <cell r="B116" t="str">
            <v>W600x150Hx2.6t</v>
          </cell>
          <cell r="C116" t="str">
            <v>EA</v>
          </cell>
          <cell r="D116">
            <v>833</v>
          </cell>
          <cell r="E116">
            <v>25560</v>
          </cell>
          <cell r="F116">
            <v>879</v>
          </cell>
          <cell r="G116">
            <v>48200</v>
          </cell>
          <cell r="L116">
            <v>25560</v>
          </cell>
        </row>
        <row r="117">
          <cell r="A117" t="str">
            <v>레이스웨이-JOINER</v>
          </cell>
          <cell r="B117" t="str">
            <v>JOINER 70 x 40</v>
          </cell>
          <cell r="C117" t="str">
            <v>개</v>
          </cell>
          <cell r="D117">
            <v>830</v>
          </cell>
          <cell r="E117">
            <v>1650</v>
          </cell>
          <cell r="F117">
            <v>881</v>
          </cell>
          <cell r="G117">
            <v>1650</v>
          </cell>
          <cell r="L117">
            <v>1650</v>
          </cell>
        </row>
        <row r="118">
          <cell r="A118" t="str">
            <v>레이스웨이-END CAP</v>
          </cell>
          <cell r="B118" t="str">
            <v>END CAP 70 x 40</v>
          </cell>
          <cell r="C118" t="str">
            <v>개</v>
          </cell>
          <cell r="D118">
            <v>830</v>
          </cell>
          <cell r="E118">
            <v>740</v>
          </cell>
          <cell r="F118">
            <v>881</v>
          </cell>
          <cell r="G118">
            <v>740</v>
          </cell>
          <cell r="L118">
            <v>740</v>
          </cell>
        </row>
        <row r="119">
          <cell r="A119" t="str">
            <v>기구용금구</v>
          </cell>
          <cell r="B119" t="str">
            <v>70 x 40</v>
          </cell>
          <cell r="C119" t="str">
            <v>개</v>
          </cell>
          <cell r="D119">
            <v>830</v>
          </cell>
          <cell r="E119">
            <v>500</v>
          </cell>
          <cell r="F119">
            <v>881</v>
          </cell>
          <cell r="G119">
            <v>500</v>
          </cell>
          <cell r="L119">
            <v>500</v>
          </cell>
        </row>
        <row r="120">
          <cell r="A120" t="str">
            <v>HANGER</v>
          </cell>
          <cell r="B120" t="str">
            <v>HANGER-"A"형</v>
          </cell>
          <cell r="C120" t="str">
            <v>개</v>
          </cell>
          <cell r="D120">
            <v>830</v>
          </cell>
          <cell r="E120">
            <v>960</v>
          </cell>
          <cell r="F120">
            <v>881</v>
          </cell>
          <cell r="G120">
            <v>960</v>
          </cell>
          <cell r="L120">
            <v>960</v>
          </cell>
        </row>
        <row r="121">
          <cell r="A121" t="str">
            <v>HANGER</v>
          </cell>
          <cell r="B121" t="str">
            <v>HANGER-"C"형</v>
          </cell>
          <cell r="C121" t="str">
            <v>개</v>
          </cell>
          <cell r="D121">
            <v>830</v>
          </cell>
          <cell r="E121">
            <v>1960</v>
          </cell>
          <cell r="F121">
            <v>881</v>
          </cell>
          <cell r="G121">
            <v>1960</v>
          </cell>
          <cell r="L121">
            <v>1960</v>
          </cell>
        </row>
        <row r="122">
          <cell r="A122" t="str">
            <v>BOX CONNECTOR</v>
          </cell>
          <cell r="B122" t="str">
            <v>70 x 40</v>
          </cell>
          <cell r="C122" t="str">
            <v>개</v>
          </cell>
          <cell r="D122">
            <v>830</v>
          </cell>
          <cell r="E122">
            <v>1560</v>
          </cell>
          <cell r="F122">
            <v>881</v>
          </cell>
          <cell r="G122">
            <v>1560</v>
          </cell>
          <cell r="L122">
            <v>1560</v>
          </cell>
        </row>
        <row r="123">
          <cell r="A123" t="str">
            <v>CABLE TRAY</v>
          </cell>
          <cell r="B123" t="str">
            <v>W450x150Hx2.6t</v>
          </cell>
          <cell r="C123" t="str">
            <v>m</v>
          </cell>
          <cell r="D123">
            <v>833</v>
          </cell>
          <cell r="E123">
            <v>15150</v>
          </cell>
          <cell r="L123">
            <v>15150</v>
          </cell>
        </row>
        <row r="124">
          <cell r="A124" t="str">
            <v>CABLE TRAY</v>
          </cell>
          <cell r="B124" t="str">
            <v>W600x150Hx2.6t</v>
          </cell>
          <cell r="C124" t="str">
            <v>m</v>
          </cell>
          <cell r="D124">
            <v>833</v>
          </cell>
          <cell r="E124">
            <v>16950</v>
          </cell>
          <cell r="F124">
            <v>879</v>
          </cell>
          <cell r="G124">
            <v>55600</v>
          </cell>
          <cell r="L124">
            <v>16950</v>
          </cell>
        </row>
        <row r="125">
          <cell r="A125" t="str">
            <v>HORIZONTAL ELBOW</v>
          </cell>
          <cell r="B125" t="str">
            <v>W450x150Hx2.6t</v>
          </cell>
          <cell r="C125" t="str">
            <v>EA</v>
          </cell>
          <cell r="D125">
            <v>833</v>
          </cell>
          <cell r="E125">
            <v>28950</v>
          </cell>
          <cell r="L125">
            <v>28950</v>
          </cell>
        </row>
        <row r="126">
          <cell r="A126" t="str">
            <v>HORIZONTAL ELBOW</v>
          </cell>
          <cell r="B126" t="str">
            <v>W600x150Hx2.6t</v>
          </cell>
          <cell r="C126" t="str">
            <v>EA</v>
          </cell>
          <cell r="D126">
            <v>833</v>
          </cell>
          <cell r="E126">
            <v>44390</v>
          </cell>
          <cell r="F126">
            <v>879</v>
          </cell>
          <cell r="G126">
            <v>65200</v>
          </cell>
          <cell r="L126">
            <v>44390</v>
          </cell>
        </row>
        <row r="127">
          <cell r="A127" t="str">
            <v>VERTICAL ELBOW</v>
          </cell>
          <cell r="B127" t="str">
            <v>W450x150Hx2.6t</v>
          </cell>
          <cell r="C127" t="str">
            <v>EA</v>
          </cell>
          <cell r="D127">
            <v>833</v>
          </cell>
          <cell r="E127">
            <v>21050</v>
          </cell>
          <cell r="L127">
            <v>21050</v>
          </cell>
        </row>
        <row r="128">
          <cell r="A128" t="str">
            <v>HORIZOTAL TEE</v>
          </cell>
          <cell r="B128" t="str">
            <v>W450x150Hx2.6t</v>
          </cell>
          <cell r="C128" t="str">
            <v>EA</v>
          </cell>
          <cell r="D128">
            <v>833</v>
          </cell>
          <cell r="E128">
            <v>39450</v>
          </cell>
          <cell r="L128">
            <v>39450</v>
          </cell>
        </row>
        <row r="129">
          <cell r="A129" t="str">
            <v>HORIZOTAL TEE</v>
          </cell>
          <cell r="B129" t="str">
            <v>W600x150Hx2.6t</v>
          </cell>
          <cell r="C129" t="str">
            <v>EA</v>
          </cell>
          <cell r="D129">
            <v>833</v>
          </cell>
          <cell r="E129">
            <v>51120</v>
          </cell>
          <cell r="F129">
            <v>879</v>
          </cell>
          <cell r="G129">
            <v>89600</v>
          </cell>
          <cell r="L129">
            <v>51120</v>
          </cell>
        </row>
        <row r="130">
          <cell r="A130" t="str">
            <v>RIGHT HAND REDUCER</v>
          </cell>
          <cell r="B130" t="str">
            <v>W600-W450</v>
          </cell>
          <cell r="C130" t="str">
            <v>EA</v>
          </cell>
          <cell r="D130">
            <v>833</v>
          </cell>
          <cell r="E130">
            <v>10100</v>
          </cell>
          <cell r="L130">
            <v>10100</v>
          </cell>
        </row>
        <row r="131">
          <cell r="A131" t="str">
            <v>JOINT CONNECTOR</v>
          </cell>
          <cell r="B131" t="str">
            <v>150H</v>
          </cell>
          <cell r="C131" t="str">
            <v>EA</v>
          </cell>
          <cell r="D131">
            <v>833</v>
          </cell>
          <cell r="E131">
            <v>1300</v>
          </cell>
          <cell r="F131">
            <v>880</v>
          </cell>
          <cell r="G131">
            <v>1500</v>
          </cell>
          <cell r="L131">
            <v>1300</v>
          </cell>
        </row>
        <row r="132">
          <cell r="A132" t="str">
            <v>SHANK BOLT &amp; NUT</v>
          </cell>
          <cell r="B132" t="str">
            <v>아연도</v>
          </cell>
          <cell r="C132" t="str">
            <v>EA</v>
          </cell>
          <cell r="D132">
            <v>833</v>
          </cell>
          <cell r="E132">
            <v>100</v>
          </cell>
          <cell r="F132">
            <v>880</v>
          </cell>
          <cell r="G132">
            <v>120</v>
          </cell>
          <cell r="L132">
            <v>100</v>
          </cell>
        </row>
        <row r="133">
          <cell r="A133" t="str">
            <v>SHANK BOLT &amp; NUT</v>
          </cell>
          <cell r="B133" t="str">
            <v>SUS</v>
          </cell>
          <cell r="C133" t="str">
            <v>EA</v>
          </cell>
          <cell r="F133">
            <v>880</v>
          </cell>
          <cell r="G133">
            <v>700</v>
          </cell>
          <cell r="L133">
            <v>700</v>
          </cell>
        </row>
        <row r="134">
          <cell r="A134" t="str">
            <v>BOINDING JUMPER</v>
          </cell>
          <cell r="B134" t="str">
            <v>38mm2</v>
          </cell>
          <cell r="C134" t="str">
            <v>EA</v>
          </cell>
          <cell r="D134">
            <v>833</v>
          </cell>
          <cell r="E134">
            <v>2800</v>
          </cell>
          <cell r="F134">
            <v>880</v>
          </cell>
          <cell r="G134">
            <v>1950</v>
          </cell>
          <cell r="L134">
            <v>1950</v>
          </cell>
        </row>
        <row r="135">
          <cell r="A135" t="str">
            <v>HOLD DOWN CLAMP</v>
          </cell>
          <cell r="B135" t="str">
            <v>STEEL 2.6t</v>
          </cell>
          <cell r="C135" t="str">
            <v>EA</v>
          </cell>
          <cell r="D135">
            <v>833</v>
          </cell>
          <cell r="E135">
            <v>300</v>
          </cell>
          <cell r="F135">
            <v>879</v>
          </cell>
          <cell r="G135">
            <v>350</v>
          </cell>
          <cell r="L135">
            <v>300</v>
          </cell>
        </row>
        <row r="136">
          <cell r="A136" t="str">
            <v>TRAY TO BOX CONNECT</v>
          </cell>
          <cell r="B136" t="str">
            <v>W450x100Hx2.3t</v>
          </cell>
          <cell r="C136" t="str">
            <v>EA</v>
          </cell>
          <cell r="D136">
            <v>833</v>
          </cell>
          <cell r="E136">
            <v>28000</v>
          </cell>
          <cell r="F136">
            <v>879</v>
          </cell>
          <cell r="G136">
            <v>27500</v>
          </cell>
          <cell r="L136">
            <v>27500</v>
          </cell>
        </row>
        <row r="137">
          <cell r="A137" t="str">
            <v>CHANNEL</v>
          </cell>
          <cell r="B137" t="str">
            <v>41x41x2.6t</v>
          </cell>
          <cell r="C137" t="str">
            <v>m</v>
          </cell>
          <cell r="D137">
            <v>833</v>
          </cell>
          <cell r="E137">
            <v>3000</v>
          </cell>
          <cell r="F137">
            <v>878</v>
          </cell>
          <cell r="G137">
            <v>3000</v>
          </cell>
          <cell r="L137">
            <v>3000</v>
          </cell>
        </row>
        <row r="138">
          <cell r="A138" t="str">
            <v>접지봉</v>
          </cell>
          <cell r="B138" t="str">
            <v>φ18 x 2400mm</v>
          </cell>
          <cell r="C138" t="str">
            <v>본</v>
          </cell>
          <cell r="D138">
            <v>887</v>
          </cell>
          <cell r="E138">
            <v>7300</v>
          </cell>
          <cell r="F138">
            <v>930</v>
          </cell>
          <cell r="G138">
            <v>6500</v>
          </cell>
          <cell r="H138">
            <v>370</v>
          </cell>
          <cell r="I138">
            <v>7000</v>
          </cell>
          <cell r="L138">
            <v>6500</v>
          </cell>
        </row>
        <row r="139">
          <cell r="A139" t="str">
            <v>CABLE DUCT</v>
          </cell>
          <cell r="B139" t="str">
            <v>W600</v>
          </cell>
          <cell r="C139" t="str">
            <v>EA</v>
          </cell>
          <cell r="F139">
            <v>878</v>
          </cell>
          <cell r="G139">
            <v>36200</v>
          </cell>
          <cell r="L139">
            <v>36200</v>
          </cell>
        </row>
        <row r="140">
          <cell r="A140" t="str">
            <v>매입콘센트-접지</v>
          </cell>
          <cell r="B140" t="str">
            <v>15A 250V 1구</v>
          </cell>
          <cell r="C140" t="str">
            <v>EA</v>
          </cell>
          <cell r="D140">
            <v>892</v>
          </cell>
          <cell r="E140">
            <v>1600</v>
          </cell>
          <cell r="F140">
            <v>934</v>
          </cell>
          <cell r="G140">
            <v>1440</v>
          </cell>
          <cell r="H140">
            <v>387</v>
          </cell>
          <cell r="I140">
            <v>1000</v>
          </cell>
          <cell r="L140">
            <v>1000</v>
          </cell>
        </row>
        <row r="141">
          <cell r="A141" t="str">
            <v>매입콘센트-접지</v>
          </cell>
          <cell r="B141" t="str">
            <v>15A 250V 2구</v>
          </cell>
          <cell r="C141" t="str">
            <v>EA</v>
          </cell>
          <cell r="D141">
            <v>892</v>
          </cell>
          <cell r="E141">
            <v>2030</v>
          </cell>
          <cell r="F141">
            <v>934</v>
          </cell>
          <cell r="G141">
            <v>1820</v>
          </cell>
          <cell r="H141">
            <v>387</v>
          </cell>
          <cell r="I141">
            <v>1258</v>
          </cell>
          <cell r="L141">
            <v>1258</v>
          </cell>
        </row>
        <row r="142">
          <cell r="A142" t="str">
            <v>방수콘센트</v>
          </cell>
          <cell r="B142" t="str">
            <v>15A 250V 2구</v>
          </cell>
          <cell r="C142" t="str">
            <v>EA</v>
          </cell>
          <cell r="D142">
            <v>892</v>
          </cell>
          <cell r="E142">
            <v>2790</v>
          </cell>
          <cell r="F142">
            <v>934</v>
          </cell>
          <cell r="G142">
            <v>2510</v>
          </cell>
          <cell r="L142">
            <v>2510</v>
          </cell>
        </row>
        <row r="143">
          <cell r="A143" t="str">
            <v>매입1로스위치</v>
          </cell>
          <cell r="B143" t="str">
            <v>250V 15A 1로 1련</v>
          </cell>
          <cell r="C143" t="str">
            <v>EA</v>
          </cell>
          <cell r="D143">
            <v>890</v>
          </cell>
          <cell r="E143">
            <v>1357</v>
          </cell>
          <cell r="F143">
            <v>935</v>
          </cell>
          <cell r="G143">
            <v>1921</v>
          </cell>
          <cell r="L143">
            <v>1357</v>
          </cell>
        </row>
        <row r="144">
          <cell r="A144" t="str">
            <v>매입1로스위치</v>
          </cell>
          <cell r="B144" t="str">
            <v>250V 15A 1로 2련</v>
          </cell>
          <cell r="C144" t="str">
            <v>EA</v>
          </cell>
          <cell r="D144">
            <v>890</v>
          </cell>
          <cell r="E144">
            <v>2329</v>
          </cell>
          <cell r="F144">
            <v>935</v>
          </cell>
          <cell r="G144">
            <v>2857</v>
          </cell>
          <cell r="L144">
            <v>2329</v>
          </cell>
        </row>
        <row r="145">
          <cell r="A145" t="str">
            <v>매입1로스위치</v>
          </cell>
          <cell r="B145" t="str">
            <v>250V 15A 1로 3련</v>
          </cell>
          <cell r="C145" t="str">
            <v>EA</v>
          </cell>
          <cell r="D145">
            <v>890</v>
          </cell>
          <cell r="E145">
            <v>3301</v>
          </cell>
          <cell r="F145">
            <v>935</v>
          </cell>
          <cell r="G145">
            <v>3793</v>
          </cell>
          <cell r="H145">
            <v>385</v>
          </cell>
          <cell r="I145">
            <v>3358</v>
          </cell>
          <cell r="L145">
            <v>3301</v>
          </cell>
        </row>
        <row r="146">
          <cell r="A146" t="str">
            <v>매입3로스위치</v>
          </cell>
          <cell r="B146" t="str">
            <v>250V 15A 3로 1련</v>
          </cell>
          <cell r="C146" t="str">
            <v>EA</v>
          </cell>
          <cell r="D146">
            <v>890</v>
          </cell>
          <cell r="E146">
            <v>1542</v>
          </cell>
          <cell r="F146">
            <v>935</v>
          </cell>
          <cell r="G146">
            <v>2345</v>
          </cell>
          <cell r="H146">
            <v>386</v>
          </cell>
          <cell r="I146">
            <v>1530</v>
          </cell>
          <cell r="L146">
            <v>1530</v>
          </cell>
        </row>
        <row r="147">
          <cell r="A147" t="str">
            <v>매입3로스위치</v>
          </cell>
          <cell r="B147" t="str">
            <v>250V 15A 3로 2련</v>
          </cell>
          <cell r="C147" t="str">
            <v>EA</v>
          </cell>
          <cell r="D147">
            <v>890</v>
          </cell>
          <cell r="E147">
            <v>2700</v>
          </cell>
          <cell r="F147">
            <v>935</v>
          </cell>
          <cell r="G147">
            <v>2700</v>
          </cell>
          <cell r="H147">
            <v>386</v>
          </cell>
          <cell r="I147">
            <v>2702</v>
          </cell>
          <cell r="L147">
            <v>2700</v>
          </cell>
        </row>
        <row r="148">
          <cell r="A148" t="str">
            <v>접지봉</v>
          </cell>
          <cell r="B148" t="str">
            <v>φ16 x 1800mm</v>
          </cell>
          <cell r="C148" t="str">
            <v>본</v>
          </cell>
          <cell r="D148">
            <v>887</v>
          </cell>
          <cell r="E148">
            <v>4900</v>
          </cell>
          <cell r="F148">
            <v>930</v>
          </cell>
          <cell r="G148">
            <v>4500</v>
          </cell>
          <cell r="H148">
            <v>370</v>
          </cell>
          <cell r="I148">
            <v>5000</v>
          </cell>
          <cell r="L148">
            <v>4500</v>
          </cell>
        </row>
        <row r="149">
          <cell r="A149" t="str">
            <v>접지단자함</v>
          </cell>
          <cell r="B149" t="str">
            <v>5 회로용</v>
          </cell>
          <cell r="C149" t="str">
            <v>면</v>
          </cell>
          <cell r="D149">
            <v>887</v>
          </cell>
          <cell r="E149">
            <v>72000</v>
          </cell>
          <cell r="F149">
            <v>930</v>
          </cell>
          <cell r="G149">
            <v>65000</v>
          </cell>
          <cell r="L149">
            <v>65000</v>
          </cell>
        </row>
        <row r="150">
          <cell r="A150" t="str">
            <v>접지저항저감제</v>
          </cell>
          <cell r="B150" t="str">
            <v>아스판 10 Kg</v>
          </cell>
          <cell r="C150" t="str">
            <v>포</v>
          </cell>
          <cell r="F150">
            <v>930</v>
          </cell>
          <cell r="G150">
            <v>22000</v>
          </cell>
          <cell r="L150">
            <v>22000</v>
          </cell>
        </row>
        <row r="151">
          <cell r="A151" t="str">
            <v>달대볼트(SST'L)</v>
          </cell>
          <cell r="B151" t="str">
            <v>φ9x1000mm</v>
          </cell>
          <cell r="C151" t="str">
            <v>EA</v>
          </cell>
          <cell r="D151">
            <v>97</v>
          </cell>
          <cell r="E151">
            <v>280</v>
          </cell>
          <cell r="L151">
            <v>280</v>
          </cell>
        </row>
        <row r="152">
          <cell r="A152" t="str">
            <v>GROUND CONNECTOR</v>
          </cell>
          <cell r="B152" t="str">
            <v>60㎟</v>
          </cell>
          <cell r="C152" t="str">
            <v>EA</v>
          </cell>
          <cell r="F152">
            <v>930</v>
          </cell>
          <cell r="G152">
            <v>1900</v>
          </cell>
          <cell r="L152">
            <v>1900</v>
          </cell>
        </row>
        <row r="153">
          <cell r="A153" t="str">
            <v>인써트</v>
          </cell>
          <cell r="B153" t="str">
            <v>φ9mm(주물)</v>
          </cell>
          <cell r="C153" t="str">
            <v>EA</v>
          </cell>
          <cell r="D153">
            <v>98</v>
          </cell>
          <cell r="E153">
            <v>40</v>
          </cell>
          <cell r="F153">
            <v>80</v>
          </cell>
          <cell r="G153">
            <v>180</v>
          </cell>
          <cell r="L153">
            <v>40</v>
          </cell>
        </row>
        <row r="154">
          <cell r="A154" t="str">
            <v>형광등기구 보강대</v>
          </cell>
          <cell r="B154" t="str">
            <v>스프링형 M BAR</v>
          </cell>
          <cell r="C154" t="str">
            <v>SET</v>
          </cell>
          <cell r="F154">
            <v>923</v>
          </cell>
          <cell r="G154">
            <v>5100</v>
          </cell>
          <cell r="L154">
            <v>5100</v>
          </cell>
        </row>
        <row r="155">
          <cell r="A155" t="str">
            <v>다운라이트 보강대</v>
          </cell>
          <cell r="B155" t="str">
            <v>스프링형 M BAR</v>
          </cell>
          <cell r="C155" t="str">
            <v>SET</v>
          </cell>
          <cell r="F155">
            <v>923</v>
          </cell>
          <cell r="G155">
            <v>3800</v>
          </cell>
          <cell r="L155">
            <v>3800</v>
          </cell>
        </row>
        <row r="156">
          <cell r="A156" t="str">
            <v>피뢰침</v>
          </cell>
          <cell r="B156" t="str">
            <v>D14 x 485mm</v>
          </cell>
          <cell r="C156" t="str">
            <v>개</v>
          </cell>
          <cell r="D156">
            <v>887</v>
          </cell>
          <cell r="E156">
            <v>15000</v>
          </cell>
          <cell r="F156">
            <v>930</v>
          </cell>
          <cell r="G156">
            <v>13500</v>
          </cell>
          <cell r="H156">
            <v>384</v>
          </cell>
          <cell r="I156">
            <v>12000</v>
          </cell>
          <cell r="L156">
            <v>12000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자재단가99년"/>
      <sheetName val="99년도9월"/>
      <sheetName val="2000년1월"/>
      <sheetName val="자재단가2000"/>
      <sheetName val="수문일위2000 "/>
      <sheetName val="Sheet1"/>
      <sheetName val="재료비"/>
      <sheetName val="비상비"/>
      <sheetName val="총괄"/>
      <sheetName val="현산잡철"/>
      <sheetName val="유입량"/>
      <sheetName val="자재단가"/>
      <sheetName val="일위대가표"/>
      <sheetName val="단가대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1.일위대가집계표(교통시설물1)"/>
      <sheetName val="1-2.일위대가(교통시설물1)"/>
      <sheetName val="2-1.기계경비목록(교통시설물1)"/>
      <sheetName val="2-2.기계경비산출(교통시설물1)"/>
      <sheetName val="3-1.단가비교표(교통시설물1)"/>
      <sheetName val="3-2노무비 근거(교통시설물1)"/>
      <sheetName val="여기부터 출력하지 마세요"/>
      <sheetName val="Sheet1"/>
    </sheetNames>
    <sheetDataSet>
      <sheetData sheetId="0"/>
      <sheetData sheetId="1">
        <row r="2">
          <cell r="C2" t="str">
            <v>호표</v>
          </cell>
          <cell r="D2" t="str">
            <v>품명</v>
          </cell>
          <cell r="E2" t="str">
            <v>규 격</v>
          </cell>
          <cell r="F2" t="str">
            <v>단위</v>
          </cell>
          <cell r="G2" t="str">
            <v>수량</v>
          </cell>
          <cell r="H2" t="str">
            <v>재  료  비</v>
          </cell>
          <cell r="J2" t="str">
            <v>노  무  비</v>
          </cell>
          <cell r="L2" t="str">
            <v>경     비</v>
          </cell>
          <cell r="N2" t="str">
            <v>총     액</v>
          </cell>
          <cell r="P2" t="str">
            <v>비  고</v>
          </cell>
        </row>
        <row r="3">
          <cell r="H3" t="str">
            <v>단가</v>
          </cell>
          <cell r="I3" t="str">
            <v>금  액</v>
          </cell>
          <cell r="J3" t="str">
            <v>단가</v>
          </cell>
          <cell r="K3" t="str">
            <v>금  액</v>
          </cell>
          <cell r="L3" t="str">
            <v>단가</v>
          </cell>
          <cell r="M3" t="str">
            <v>금  액</v>
          </cell>
          <cell r="N3" t="str">
            <v>단가</v>
          </cell>
          <cell r="O3" t="str">
            <v>금  액</v>
          </cell>
        </row>
        <row r="4">
          <cell r="C4" t="str">
            <v>▣ 토목공사</v>
          </cell>
        </row>
        <row r="5">
          <cell r="A5">
            <v>1</v>
          </cell>
          <cell r="B5">
            <v>3</v>
          </cell>
          <cell r="C5" t="str">
            <v>제1호표</v>
          </cell>
          <cell r="D5" t="str">
            <v>터파기(경질토사)</v>
          </cell>
          <cell r="E5" t="str">
            <v>(기계70%+인력30%)</v>
          </cell>
          <cell r="F5" t="str">
            <v>㎥</v>
          </cell>
          <cell r="G5">
            <v>1</v>
          </cell>
          <cell r="I5">
            <v>290</v>
          </cell>
          <cell r="K5">
            <v>6657</v>
          </cell>
          <cell r="M5">
            <v>298</v>
          </cell>
          <cell r="O5">
            <v>7245</v>
          </cell>
          <cell r="P5" t="str">
            <v>토3-1-3</v>
          </cell>
        </row>
        <row r="7">
          <cell r="D7" t="str">
            <v>터파기(경질토사)</v>
          </cell>
          <cell r="E7" t="str">
            <v>(기계70%+인력30%)</v>
          </cell>
          <cell r="F7" t="str">
            <v>㎥</v>
          </cell>
        </row>
        <row r="9">
          <cell r="D9" t="str">
            <v>1. 인력터파기(30%)</v>
          </cell>
        </row>
        <row r="10">
          <cell r="D10" t="str">
            <v>보통인부</v>
          </cell>
          <cell r="E10" t="str">
            <v>0.26*0.3</v>
          </cell>
          <cell r="F10" t="str">
            <v>인</v>
          </cell>
          <cell r="G10">
            <v>7.8E-2</v>
          </cell>
          <cell r="J10">
            <v>81443</v>
          </cell>
          <cell r="K10">
            <v>6352</v>
          </cell>
          <cell r="N10">
            <v>81443</v>
          </cell>
          <cell r="O10">
            <v>6352</v>
          </cell>
        </row>
        <row r="12">
          <cell r="D12" t="str">
            <v>2. 기계터파기(백호우0.6㎥급)(70%)</v>
          </cell>
          <cell r="G12">
            <v>1</v>
          </cell>
          <cell r="P12" t="str">
            <v>토10-5</v>
          </cell>
        </row>
        <row r="13">
          <cell r="D13" t="str">
            <v xml:space="preserve">  Q = 3600 x q x k x f x E /Cm [㎥/hr] = 51.84</v>
          </cell>
          <cell r="G13">
            <v>51.84</v>
          </cell>
        </row>
        <row r="14">
          <cell r="D14" t="str">
            <v xml:space="preserve">  Q : 시간당 작업량[㎥/hr]</v>
          </cell>
        </row>
        <row r="15">
          <cell r="D15" t="str">
            <v xml:space="preserve">  q : 디퍼 또는 버킷용량[㎥] = 0.6</v>
          </cell>
        </row>
        <row r="16">
          <cell r="D16" t="str">
            <v xml:space="preserve">  k : 디퍼 또는 버킷계수 = 0.9</v>
          </cell>
        </row>
        <row r="17">
          <cell r="D17" t="str">
            <v xml:space="preserve">  f : 체적환산계수 = 1/1.25 = 0.8</v>
          </cell>
          <cell r="P17" t="str">
            <v>토1-24</v>
          </cell>
        </row>
        <row r="18">
          <cell r="D18" t="str">
            <v xml:space="preserve">  E : 작업효율 = 0.6</v>
          </cell>
        </row>
        <row r="19">
          <cell r="D19" t="str">
            <v xml:space="preserve">  Cm : 1회 사이클의 시간[sec] = 18(90°)</v>
          </cell>
        </row>
        <row r="20">
          <cell r="D20" t="str">
            <v>재료비</v>
          </cell>
          <cell r="E20" t="str">
            <v>시간당단가*1/Q*70%</v>
          </cell>
          <cell r="F20" t="str">
            <v>hr</v>
          </cell>
          <cell r="G20">
            <v>1.3503086419753086E-2</v>
          </cell>
          <cell r="H20">
            <v>21517</v>
          </cell>
          <cell r="I20">
            <v>290</v>
          </cell>
          <cell r="N20">
            <v>21517</v>
          </cell>
          <cell r="O20">
            <v>290</v>
          </cell>
          <cell r="P20" t="str">
            <v>제m1호표</v>
          </cell>
        </row>
        <row r="21">
          <cell r="D21" t="str">
            <v>노무비</v>
          </cell>
          <cell r="E21" t="str">
            <v>시간당단가*1/Q*70%</v>
          </cell>
          <cell r="F21" t="str">
            <v>hr</v>
          </cell>
          <cell r="G21">
            <v>1.3503086419753086E-2</v>
          </cell>
          <cell r="J21">
            <v>22648</v>
          </cell>
          <cell r="K21">
            <v>305</v>
          </cell>
          <cell r="N21">
            <v>22648</v>
          </cell>
          <cell r="O21">
            <v>305</v>
          </cell>
        </row>
        <row r="22">
          <cell r="D22" t="str">
            <v>경비</v>
          </cell>
          <cell r="E22" t="str">
            <v>시간당단가*1/Q*70%</v>
          </cell>
          <cell r="F22" t="str">
            <v>hr</v>
          </cell>
          <cell r="G22">
            <v>1.3503086419753086E-2</v>
          </cell>
          <cell r="L22">
            <v>22085</v>
          </cell>
          <cell r="M22">
            <v>298</v>
          </cell>
          <cell r="N22">
            <v>22085</v>
          </cell>
          <cell r="O22">
            <v>298</v>
          </cell>
        </row>
        <row r="23">
          <cell r="D23" t="str">
            <v>소계</v>
          </cell>
          <cell r="I23">
            <v>290</v>
          </cell>
          <cell r="K23">
            <v>305</v>
          </cell>
          <cell r="M23">
            <v>298</v>
          </cell>
          <cell r="O23">
            <v>893</v>
          </cell>
        </row>
        <row r="25">
          <cell r="D25" t="str">
            <v>합계</v>
          </cell>
          <cell r="F25" t="str">
            <v>㎥</v>
          </cell>
          <cell r="G25">
            <v>1</v>
          </cell>
          <cell r="I25">
            <v>290</v>
          </cell>
          <cell r="K25">
            <v>6657</v>
          </cell>
          <cell r="M25">
            <v>298</v>
          </cell>
          <cell r="O25">
            <v>7245</v>
          </cell>
        </row>
        <row r="26">
          <cell r="A26">
            <v>2</v>
          </cell>
          <cell r="B26">
            <v>3</v>
          </cell>
          <cell r="C26" t="str">
            <v>제2호표</v>
          </cell>
          <cell r="D26" t="str">
            <v>터파기(경질토사)</v>
          </cell>
          <cell r="E26" t="str">
            <v>인력100%, 0~1m</v>
          </cell>
          <cell r="F26" t="str">
            <v>㎥</v>
          </cell>
          <cell r="G26">
            <v>1</v>
          </cell>
          <cell r="I26">
            <v>0</v>
          </cell>
          <cell r="K26">
            <v>21175</v>
          </cell>
          <cell r="M26">
            <v>0</v>
          </cell>
          <cell r="O26">
            <v>21175</v>
          </cell>
          <cell r="P26" t="str">
            <v>토3-1-3</v>
          </cell>
        </row>
        <row r="28">
          <cell r="D28" t="str">
            <v>터파기(경질토사)</v>
          </cell>
          <cell r="E28" t="str">
            <v>인력100%, 0~1m</v>
          </cell>
          <cell r="F28" t="str">
            <v>㎥</v>
          </cell>
        </row>
        <row r="29">
          <cell r="C29" t="str">
            <v>노무비</v>
          </cell>
          <cell r="D29" t="str">
            <v>보통인부</v>
          </cell>
          <cell r="E29">
            <v>0.26</v>
          </cell>
          <cell r="F29" t="str">
            <v>인</v>
          </cell>
          <cell r="G29">
            <v>0.26</v>
          </cell>
          <cell r="J29">
            <v>81443</v>
          </cell>
          <cell r="K29">
            <v>21175</v>
          </cell>
          <cell r="N29">
            <v>81443</v>
          </cell>
          <cell r="O29">
            <v>21175</v>
          </cell>
        </row>
        <row r="31">
          <cell r="A31">
            <v>3</v>
          </cell>
          <cell r="B31">
            <v>3</v>
          </cell>
          <cell r="C31" t="str">
            <v>제3호표</v>
          </cell>
          <cell r="D31" t="str">
            <v>터파기(경질토사)</v>
          </cell>
          <cell r="E31" t="str">
            <v>인력100%, 1~2m</v>
          </cell>
          <cell r="F31" t="str">
            <v>㎥</v>
          </cell>
          <cell r="G31">
            <v>1</v>
          </cell>
          <cell r="I31">
            <v>0</v>
          </cell>
          <cell r="K31">
            <v>28505</v>
          </cell>
          <cell r="M31">
            <v>0</v>
          </cell>
          <cell r="O31">
            <v>28505</v>
          </cell>
          <cell r="P31" t="str">
            <v>토3-1-3</v>
          </cell>
        </row>
        <row r="33">
          <cell r="D33" t="str">
            <v>터파기(경질토사)</v>
          </cell>
          <cell r="E33" t="str">
            <v>인력100%, 1~2m</v>
          </cell>
          <cell r="F33" t="str">
            <v>㎥</v>
          </cell>
        </row>
        <row r="35">
          <cell r="C35" t="str">
            <v>노무비</v>
          </cell>
          <cell r="D35" t="str">
            <v>보통인부</v>
          </cell>
          <cell r="E35">
            <v>0.35</v>
          </cell>
          <cell r="F35" t="str">
            <v>인</v>
          </cell>
          <cell r="G35">
            <v>0.35</v>
          </cell>
          <cell r="J35">
            <v>81443</v>
          </cell>
          <cell r="K35">
            <v>28505</v>
          </cell>
          <cell r="N35">
            <v>81443</v>
          </cell>
          <cell r="O35">
            <v>28505</v>
          </cell>
        </row>
        <row r="37">
          <cell r="A37">
            <v>4</v>
          </cell>
          <cell r="B37">
            <v>3</v>
          </cell>
          <cell r="C37" t="str">
            <v>제4호표</v>
          </cell>
          <cell r="D37" t="str">
            <v>되메우기 및 다짐(토사)</v>
          </cell>
          <cell r="E37" t="str">
            <v>(기계90%+인력10%)</v>
          </cell>
          <cell r="F37" t="str">
            <v>㎥</v>
          </cell>
          <cell r="G37">
            <v>1</v>
          </cell>
          <cell r="I37">
            <v>560</v>
          </cell>
          <cell r="K37">
            <v>6083</v>
          </cell>
          <cell r="M37">
            <v>309</v>
          </cell>
          <cell r="O37">
            <v>6952</v>
          </cell>
          <cell r="P37" t="str">
            <v>토3-1-3</v>
          </cell>
        </row>
        <row r="39">
          <cell r="D39" t="str">
            <v>되메우기 및 다짐(토사)</v>
          </cell>
          <cell r="E39" t="str">
            <v>(기계90%+인력10%)</v>
          </cell>
          <cell r="F39" t="str">
            <v>㎥</v>
          </cell>
        </row>
        <row r="41">
          <cell r="D41" t="str">
            <v>1. 인력되메우기(10%)</v>
          </cell>
        </row>
        <row r="42">
          <cell r="D42" t="str">
            <v>보통인부</v>
          </cell>
          <cell r="E42" t="str">
            <v>0.1*0.1=0.01</v>
          </cell>
          <cell r="F42" t="str">
            <v>인</v>
          </cell>
          <cell r="G42">
            <v>1.0000000000000002E-2</v>
          </cell>
          <cell r="J42">
            <v>81443</v>
          </cell>
          <cell r="K42">
            <v>814</v>
          </cell>
          <cell r="N42">
            <v>81443</v>
          </cell>
          <cell r="O42">
            <v>814</v>
          </cell>
        </row>
        <row r="44">
          <cell r="D44" t="str">
            <v>2. 기계터파기(백호우0.6㎥급)(90%)</v>
          </cell>
          <cell r="G44">
            <v>1</v>
          </cell>
          <cell r="P44" t="str">
            <v>토10-5</v>
          </cell>
        </row>
        <row r="45">
          <cell r="D45" t="str">
            <v xml:space="preserve">  Q = 3600 x q x k x f x E /Cm [㎥/hr] = 105.6</v>
          </cell>
          <cell r="G45">
            <v>105.60000000000001</v>
          </cell>
        </row>
        <row r="46">
          <cell r="D46" t="str">
            <v xml:space="preserve">  Q : 시간당 작업량[㎥/hr]</v>
          </cell>
        </row>
        <row r="47">
          <cell r="D47" t="str">
            <v xml:space="preserve">  q : 디퍼 또는 버킷용량[㎥] = 0.6</v>
          </cell>
        </row>
        <row r="48">
          <cell r="D48" t="str">
            <v xml:space="preserve">  k : 디퍼 또는 버킷계수 = 1.1</v>
          </cell>
        </row>
        <row r="49">
          <cell r="D49" t="str">
            <v xml:space="preserve">  f : 체적환산계수 = 1</v>
          </cell>
          <cell r="P49" t="str">
            <v>토1-24</v>
          </cell>
        </row>
        <row r="50">
          <cell r="D50" t="str">
            <v xml:space="preserve">  E : 작업효율 = 0.8</v>
          </cell>
        </row>
        <row r="51">
          <cell r="D51" t="str">
            <v xml:space="preserve">  Cm : 1회 사이클의 시간[sec] = 18(90°)</v>
          </cell>
        </row>
        <row r="52">
          <cell r="D52" t="str">
            <v>재료비</v>
          </cell>
          <cell r="E52" t="str">
            <v>시간당단가*1/Q*90%</v>
          </cell>
          <cell r="F52" t="str">
            <v>hr</v>
          </cell>
          <cell r="G52">
            <v>8.5227272727272721E-3</v>
          </cell>
          <cell r="H52">
            <v>21517</v>
          </cell>
          <cell r="I52">
            <v>183</v>
          </cell>
          <cell r="N52">
            <v>21517</v>
          </cell>
          <cell r="O52">
            <v>183</v>
          </cell>
          <cell r="P52" t="str">
            <v>제m1호표</v>
          </cell>
        </row>
        <row r="53">
          <cell r="D53" t="str">
            <v>노무비</v>
          </cell>
          <cell r="E53" t="str">
            <v>시간당단가*1/Q*90%</v>
          </cell>
          <cell r="F53" t="str">
            <v>hr</v>
          </cell>
          <cell r="G53">
            <v>8.5227272727272721E-3</v>
          </cell>
          <cell r="J53">
            <v>22648</v>
          </cell>
          <cell r="K53">
            <v>193</v>
          </cell>
          <cell r="N53">
            <v>22648</v>
          </cell>
          <cell r="O53">
            <v>193</v>
          </cell>
        </row>
        <row r="54">
          <cell r="D54" t="str">
            <v>경비</v>
          </cell>
          <cell r="E54" t="str">
            <v>시간당단가*1/Q*90%</v>
          </cell>
          <cell r="F54" t="str">
            <v>hr</v>
          </cell>
          <cell r="G54">
            <v>8.5227272727272721E-3</v>
          </cell>
          <cell r="L54">
            <v>22085</v>
          </cell>
          <cell r="M54">
            <v>188</v>
          </cell>
          <cell r="N54">
            <v>22085</v>
          </cell>
          <cell r="O54">
            <v>188</v>
          </cell>
        </row>
        <row r="55">
          <cell r="D55" t="str">
            <v>소계</v>
          </cell>
          <cell r="I55">
            <v>183</v>
          </cell>
          <cell r="K55">
            <v>193</v>
          </cell>
          <cell r="M55">
            <v>188</v>
          </cell>
          <cell r="O55">
            <v>564</v>
          </cell>
        </row>
        <row r="57">
          <cell r="D57" t="str">
            <v>3. 다짐(래머 80kg)</v>
          </cell>
          <cell r="G57">
            <v>1</v>
          </cell>
          <cell r="P57" t="str">
            <v>토10-14</v>
          </cell>
        </row>
        <row r="58">
          <cell r="D58" t="str">
            <v xml:space="preserve">  Q = A x N x H x f x E / P [㎥/hr] = 3.4</v>
          </cell>
          <cell r="G58">
            <v>3.4</v>
          </cell>
        </row>
        <row r="59">
          <cell r="D59" t="str">
            <v xml:space="preserve">  Q : 시간당 작업량(다짐상태)[㎥/hr]</v>
          </cell>
        </row>
        <row r="60">
          <cell r="D60" t="str">
            <v xml:space="preserve">  A : 1회당 유효 다짐면적[㎡] = 0.28 x 0.33 = 0.09</v>
          </cell>
        </row>
        <row r="61">
          <cell r="D61" t="str">
            <v xml:space="preserve">  N : 1시간당 타격횟수 = 36,000[회/hr]</v>
          </cell>
        </row>
        <row r="62">
          <cell r="D62" t="str">
            <v xml:space="preserve">  H : 다짐두께 = 0.15[m]</v>
          </cell>
        </row>
        <row r="63">
          <cell r="D63" t="str">
            <v xml:space="preserve">  f : 체적환산계수 = 0.8</v>
          </cell>
        </row>
        <row r="64">
          <cell r="D64" t="str">
            <v xml:space="preserve">  E : 작업효율 = 0.5</v>
          </cell>
        </row>
        <row r="65">
          <cell r="D65" t="str">
            <v xml:space="preserve">  P : 중복다짐횟수 = 57</v>
          </cell>
        </row>
        <row r="66">
          <cell r="D66" t="str">
            <v>재료비</v>
          </cell>
          <cell r="E66" t="str">
            <v>시간당단가*1/Q</v>
          </cell>
          <cell r="F66" t="str">
            <v>hr</v>
          </cell>
          <cell r="G66">
            <v>0.29411764705882354</v>
          </cell>
          <cell r="H66">
            <v>1283</v>
          </cell>
          <cell r="I66">
            <v>377</v>
          </cell>
          <cell r="N66">
            <v>1283</v>
          </cell>
          <cell r="O66">
            <v>377</v>
          </cell>
          <cell r="P66" t="str">
            <v>제m3호표</v>
          </cell>
        </row>
        <row r="67">
          <cell r="D67" t="str">
            <v>노무비</v>
          </cell>
          <cell r="E67" t="str">
            <v>시간당단가*1/Q</v>
          </cell>
          <cell r="F67" t="str">
            <v>hr</v>
          </cell>
          <cell r="G67">
            <v>0.29411764705882354</v>
          </cell>
          <cell r="J67">
            <v>17260</v>
          </cell>
          <cell r="K67">
            <v>5076</v>
          </cell>
          <cell r="N67">
            <v>17260</v>
          </cell>
          <cell r="O67">
            <v>5076</v>
          </cell>
        </row>
        <row r="68">
          <cell r="D68" t="str">
            <v>경비</v>
          </cell>
          <cell r="E68" t="str">
            <v>시간당단가*1/Q</v>
          </cell>
          <cell r="F68" t="str">
            <v>hr</v>
          </cell>
          <cell r="G68">
            <v>0.29411764705882354</v>
          </cell>
          <cell r="L68">
            <v>412</v>
          </cell>
          <cell r="M68">
            <v>121</v>
          </cell>
          <cell r="N68">
            <v>412</v>
          </cell>
          <cell r="O68">
            <v>121</v>
          </cell>
        </row>
        <row r="69">
          <cell r="D69" t="str">
            <v>소계</v>
          </cell>
          <cell r="I69">
            <v>377</v>
          </cell>
          <cell r="K69">
            <v>5076</v>
          </cell>
          <cell r="M69">
            <v>121</v>
          </cell>
          <cell r="O69">
            <v>5574</v>
          </cell>
        </row>
        <row r="71">
          <cell r="D71" t="str">
            <v>합계</v>
          </cell>
          <cell r="F71" t="str">
            <v>㎥</v>
          </cell>
          <cell r="G71">
            <v>1</v>
          </cell>
          <cell r="I71">
            <v>560</v>
          </cell>
          <cell r="K71">
            <v>6083</v>
          </cell>
          <cell r="M71">
            <v>309</v>
          </cell>
          <cell r="O71">
            <v>6952</v>
          </cell>
        </row>
        <row r="73">
          <cell r="A73">
            <v>5</v>
          </cell>
          <cell r="B73">
            <v>3</v>
          </cell>
          <cell r="C73" t="str">
            <v>제5호표</v>
          </cell>
          <cell r="D73" t="str">
            <v>되메우기 및 다짐</v>
          </cell>
          <cell r="E73" t="str">
            <v>인력100%</v>
          </cell>
          <cell r="F73" t="str">
            <v>㎥</v>
          </cell>
          <cell r="G73">
            <v>1</v>
          </cell>
          <cell r="I73">
            <v>0</v>
          </cell>
          <cell r="K73">
            <v>8144</v>
          </cell>
          <cell r="M73">
            <v>0</v>
          </cell>
          <cell r="O73">
            <v>8144</v>
          </cell>
          <cell r="P73" t="str">
            <v>토3-1-3</v>
          </cell>
        </row>
        <row r="75">
          <cell r="D75" t="str">
            <v>되메우기 및 다짐</v>
          </cell>
          <cell r="E75" t="str">
            <v>인력100%</v>
          </cell>
          <cell r="F75" t="str">
            <v>㎥</v>
          </cell>
        </row>
        <row r="77">
          <cell r="C77" t="str">
            <v>노무비</v>
          </cell>
          <cell r="D77" t="str">
            <v>보통인부</v>
          </cell>
          <cell r="E77">
            <v>0.1</v>
          </cell>
          <cell r="F77" t="str">
            <v>인</v>
          </cell>
          <cell r="G77">
            <v>0.1</v>
          </cell>
          <cell r="J77">
            <v>81443</v>
          </cell>
          <cell r="K77">
            <v>8144</v>
          </cell>
          <cell r="N77">
            <v>81443</v>
          </cell>
          <cell r="O77">
            <v>8144</v>
          </cell>
        </row>
        <row r="79">
          <cell r="A79">
            <v>6</v>
          </cell>
          <cell r="B79">
            <v>3</v>
          </cell>
          <cell r="C79" t="str">
            <v>제6호표</v>
          </cell>
          <cell r="D79" t="str">
            <v>잔토처리(사토장)</v>
          </cell>
          <cell r="F79" t="str">
            <v>㎥</v>
          </cell>
          <cell r="G79">
            <v>1</v>
          </cell>
          <cell r="I79">
            <v>3073</v>
          </cell>
          <cell r="K79">
            <v>10537</v>
          </cell>
          <cell r="M79">
            <v>2462</v>
          </cell>
          <cell r="O79">
            <v>16072</v>
          </cell>
          <cell r="P79" t="str">
            <v>토11-8</v>
          </cell>
        </row>
        <row r="80">
          <cell r="D80" t="str">
            <v>1)적사(백호우 0.6㎥)</v>
          </cell>
          <cell r="E80" t="str">
            <v>절토, 터파기와 동시에 상차</v>
          </cell>
        </row>
        <row r="81">
          <cell r="D81" t="str">
            <v>2)운반(D/T 2.5ton)</v>
          </cell>
          <cell r="P81" t="str">
            <v>토11-8</v>
          </cell>
        </row>
        <row r="82">
          <cell r="D82" t="str">
            <v>q=T*L/rt</v>
          </cell>
          <cell r="E82" t="str">
            <v>2.5*1.25/1.6</v>
          </cell>
          <cell r="F82" t="str">
            <v>㎥</v>
          </cell>
          <cell r="G82">
            <v>1.953125</v>
          </cell>
        </row>
        <row r="83">
          <cell r="D83" t="str">
            <v>t1 = q/백호우(Q)*60</v>
          </cell>
          <cell r="E83" t="str">
            <v>1.95/51.84*60</v>
          </cell>
          <cell r="F83" t="str">
            <v>min</v>
          </cell>
          <cell r="G83">
            <v>2.2569444444444442</v>
          </cell>
        </row>
        <row r="84">
          <cell r="D84" t="str">
            <v>t2 = 37.14</v>
          </cell>
          <cell r="E84" t="str">
            <v>(10/30+10/35)*60</v>
          </cell>
          <cell r="F84" t="str">
            <v>min</v>
          </cell>
          <cell r="G84">
            <v>37.142857142857146</v>
          </cell>
        </row>
        <row r="85">
          <cell r="D85" t="str">
            <v>t3 = 1.05, t4 = 0.42, t5 = 0.5</v>
          </cell>
          <cell r="F85" t="str">
            <v>min</v>
          </cell>
        </row>
        <row r="86">
          <cell r="D86" t="str">
            <v>Cm = t1+t2+t3+t4+t5</v>
          </cell>
          <cell r="E86" t="str">
            <v>1.95+2.26+37.14+1.05+0.42+0.5</v>
          </cell>
          <cell r="F86" t="str">
            <v>min</v>
          </cell>
          <cell r="G86">
            <v>43.322926587301588</v>
          </cell>
        </row>
        <row r="87">
          <cell r="D87" t="str">
            <v>Q = 60*q*f*E/Cm</v>
          </cell>
          <cell r="E87" t="str">
            <v>60*1.95*0.8*0.9/43.32</v>
          </cell>
          <cell r="F87" t="str">
            <v>㎥</v>
          </cell>
          <cell r="G87">
            <v>1.9475831077564185</v>
          </cell>
        </row>
        <row r="88">
          <cell r="D88" t="str">
            <v>트럭</v>
          </cell>
          <cell r="E88" t="str">
            <v>2.5ton</v>
          </cell>
          <cell r="F88" t="str">
            <v>대</v>
          </cell>
          <cell r="G88">
            <v>1</v>
          </cell>
        </row>
        <row r="89">
          <cell r="D89" t="str">
            <v>재료비</v>
          </cell>
          <cell r="E89" t="str">
            <v>시간당단가*1/Q</v>
          </cell>
          <cell r="F89" t="str">
            <v>hr</v>
          </cell>
          <cell r="G89">
            <v>0.51345690770135222</v>
          </cell>
          <cell r="H89">
            <v>5986</v>
          </cell>
          <cell r="I89">
            <v>3073</v>
          </cell>
          <cell r="N89">
            <v>5986</v>
          </cell>
          <cell r="O89">
            <v>3073</v>
          </cell>
          <cell r="P89" t="str">
            <v>제m18호표</v>
          </cell>
        </row>
        <row r="90">
          <cell r="D90" t="str">
            <v>노무비</v>
          </cell>
          <cell r="E90" t="str">
            <v>시간당단가*1/Q</v>
          </cell>
          <cell r="F90" t="str">
            <v>hr</v>
          </cell>
          <cell r="G90">
            <v>0.51345690770135222</v>
          </cell>
          <cell r="J90">
            <v>20522</v>
          </cell>
          <cell r="K90">
            <v>10537</v>
          </cell>
          <cell r="N90">
            <v>20522</v>
          </cell>
          <cell r="O90">
            <v>10537</v>
          </cell>
        </row>
        <row r="91">
          <cell r="D91" t="str">
            <v>경비</v>
          </cell>
          <cell r="E91" t="str">
            <v>시간당단가*1/Q</v>
          </cell>
          <cell r="F91" t="str">
            <v>hr</v>
          </cell>
          <cell r="G91">
            <v>0.51345690770135222</v>
          </cell>
          <cell r="L91">
            <v>4795</v>
          </cell>
          <cell r="M91">
            <v>2462</v>
          </cell>
          <cell r="N91">
            <v>4795</v>
          </cell>
          <cell r="O91">
            <v>2462</v>
          </cell>
        </row>
        <row r="93">
          <cell r="A93">
            <v>7</v>
          </cell>
          <cell r="B93">
            <v>3</v>
          </cell>
          <cell r="C93" t="str">
            <v>제7호표</v>
          </cell>
          <cell r="D93" t="str">
            <v>아스팔트,투스콘 포장절단(야간)</v>
          </cell>
          <cell r="E93" t="str">
            <v>블레이드(D = 320~400, T = 3.2mm)</v>
          </cell>
          <cell r="F93" t="str">
            <v>m</v>
          </cell>
          <cell r="G93">
            <v>1</v>
          </cell>
          <cell r="I93">
            <v>750.15428571428572</v>
          </cell>
          <cell r="J93">
            <v>0</v>
          </cell>
          <cell r="K93">
            <v>2011.0428571428572</v>
          </cell>
          <cell r="M93">
            <v>212.18285714285713</v>
          </cell>
          <cell r="O93">
            <v>2973.38</v>
          </cell>
          <cell r="P93" t="str">
            <v>토12-3-2-3</v>
          </cell>
        </row>
        <row r="95">
          <cell r="D95" t="str">
            <v>아스팔트,투스콘 포장절단(야간)</v>
          </cell>
          <cell r="E95" t="str">
            <v>블레이드(D = 320~400, T = 3.2mm)</v>
          </cell>
        </row>
        <row r="97">
          <cell r="D97" t="str">
            <v>1.절단 재료비</v>
          </cell>
        </row>
        <row r="98">
          <cell r="D98" t="str">
            <v xml:space="preserve"> 1) 블레이드(D = 320~400, T = 3.2mm), 0.31개/100m</v>
          </cell>
        </row>
        <row r="99">
          <cell r="D99" t="str">
            <v xml:space="preserve">  재료비</v>
          </cell>
          <cell r="E99" t="str">
            <v>0.31*3.5</v>
          </cell>
          <cell r="G99">
            <v>1.085</v>
          </cell>
          <cell r="H99">
            <v>26000</v>
          </cell>
          <cell r="I99">
            <v>28210</v>
          </cell>
          <cell r="N99">
            <v>26000</v>
          </cell>
          <cell r="O99">
            <v>28210</v>
          </cell>
        </row>
        <row r="101">
          <cell r="D101" t="str">
            <v xml:space="preserve"> 2. 노무비</v>
          </cell>
        </row>
        <row r="102">
          <cell r="D102" t="str">
            <v>특별인부</v>
          </cell>
          <cell r="E102" t="str">
            <v>1*1.25</v>
          </cell>
          <cell r="F102" t="str">
            <v>인</v>
          </cell>
          <cell r="G102">
            <v>1.25</v>
          </cell>
          <cell r="J102">
            <v>97951</v>
          </cell>
          <cell r="K102">
            <v>122438</v>
          </cell>
          <cell r="N102">
            <v>97951</v>
          </cell>
          <cell r="O102">
            <v>122438</v>
          </cell>
        </row>
        <row r="103">
          <cell r="D103" t="str">
            <v>보통인부</v>
          </cell>
          <cell r="E103" t="str">
            <v>2*1.25</v>
          </cell>
          <cell r="F103" t="str">
            <v>인</v>
          </cell>
          <cell r="G103">
            <v>2.5</v>
          </cell>
          <cell r="J103">
            <v>81443</v>
          </cell>
          <cell r="K103">
            <v>203607</v>
          </cell>
          <cell r="N103">
            <v>81443</v>
          </cell>
          <cell r="O103">
            <v>203607</v>
          </cell>
        </row>
        <row r="105">
          <cell r="D105" t="str">
            <v>3. 기계경비</v>
          </cell>
        </row>
        <row r="107">
          <cell r="D107" t="str">
            <v>3.1 살수차</v>
          </cell>
          <cell r="E107" t="str">
            <v>5,500ℓ</v>
          </cell>
          <cell r="F107" t="str">
            <v>대</v>
          </cell>
          <cell r="G107">
            <v>1</v>
          </cell>
        </row>
        <row r="108">
          <cell r="D108" t="str">
            <v xml:space="preserve">  재료비</v>
          </cell>
          <cell r="E108" t="str">
            <v>시간당단가</v>
          </cell>
          <cell r="F108" t="str">
            <v>hr</v>
          </cell>
          <cell r="G108">
            <v>8</v>
          </cell>
          <cell r="H108">
            <v>18085</v>
          </cell>
          <cell r="I108">
            <v>144680</v>
          </cell>
          <cell r="N108">
            <v>18085</v>
          </cell>
          <cell r="O108">
            <v>144680</v>
          </cell>
          <cell r="P108" t="str">
            <v>제m12호표</v>
          </cell>
        </row>
        <row r="109">
          <cell r="D109" t="str">
            <v xml:space="preserve">  노무비</v>
          </cell>
          <cell r="E109" t="str">
            <v>시간당단가*1.25</v>
          </cell>
          <cell r="F109" t="str">
            <v>hr</v>
          </cell>
          <cell r="G109">
            <v>10</v>
          </cell>
          <cell r="J109">
            <v>20522</v>
          </cell>
          <cell r="K109">
            <v>205220</v>
          </cell>
          <cell r="N109">
            <v>20522</v>
          </cell>
          <cell r="O109">
            <v>205220</v>
          </cell>
        </row>
        <row r="110">
          <cell r="D110" t="str">
            <v xml:space="preserve">  경비</v>
          </cell>
          <cell r="E110" t="str">
            <v>시간당단가</v>
          </cell>
          <cell r="F110" t="str">
            <v>hr</v>
          </cell>
          <cell r="G110">
            <v>8</v>
          </cell>
          <cell r="L110">
            <v>7823</v>
          </cell>
          <cell r="M110">
            <v>62584</v>
          </cell>
          <cell r="N110">
            <v>7823</v>
          </cell>
          <cell r="O110">
            <v>62584</v>
          </cell>
        </row>
        <row r="111">
          <cell r="D111" t="str">
            <v>소계</v>
          </cell>
          <cell r="I111">
            <v>144680</v>
          </cell>
          <cell r="K111">
            <v>205220</v>
          </cell>
          <cell r="M111">
            <v>62584</v>
          </cell>
          <cell r="O111">
            <v>412484</v>
          </cell>
        </row>
        <row r="113">
          <cell r="D113" t="str">
            <v>3.2. 커터</v>
          </cell>
          <cell r="E113" t="str">
            <v>320~400mm</v>
          </cell>
          <cell r="F113" t="str">
            <v>대</v>
          </cell>
          <cell r="G113">
            <v>1</v>
          </cell>
        </row>
        <row r="114">
          <cell r="D114" t="str">
            <v xml:space="preserve">  재료비</v>
          </cell>
          <cell r="E114" t="str">
            <v>시간당단가</v>
          </cell>
          <cell r="F114" t="str">
            <v>hr</v>
          </cell>
          <cell r="G114">
            <v>8</v>
          </cell>
          <cell r="H114">
            <v>11208</v>
          </cell>
          <cell r="I114">
            <v>89664</v>
          </cell>
          <cell r="N114">
            <v>11208</v>
          </cell>
          <cell r="O114">
            <v>89664</v>
          </cell>
          <cell r="P114" t="str">
            <v>제m5호표</v>
          </cell>
        </row>
        <row r="115">
          <cell r="D115" t="str">
            <v xml:space="preserve">  노무비</v>
          </cell>
          <cell r="E115" t="str">
            <v>시간당단가*1.25</v>
          </cell>
          <cell r="F115" t="str">
            <v>hr</v>
          </cell>
          <cell r="G115">
            <v>10</v>
          </cell>
          <cell r="J115">
            <v>17260</v>
          </cell>
          <cell r="K115">
            <v>172600</v>
          </cell>
          <cell r="N115">
            <v>17260</v>
          </cell>
          <cell r="O115">
            <v>172600</v>
          </cell>
        </row>
        <row r="116">
          <cell r="D116" t="str">
            <v xml:space="preserve">  경비</v>
          </cell>
          <cell r="E116" t="str">
            <v>시간당단가</v>
          </cell>
          <cell r="F116" t="str">
            <v>hr</v>
          </cell>
          <cell r="G116">
            <v>8</v>
          </cell>
          <cell r="L116">
            <v>1460</v>
          </cell>
          <cell r="M116">
            <v>11680</v>
          </cell>
          <cell r="N116">
            <v>1460</v>
          </cell>
          <cell r="O116">
            <v>11680</v>
          </cell>
        </row>
        <row r="117">
          <cell r="D117" t="str">
            <v>소계</v>
          </cell>
          <cell r="I117">
            <v>89664</v>
          </cell>
          <cell r="K117">
            <v>172600</v>
          </cell>
          <cell r="M117">
            <v>11680</v>
          </cell>
          <cell r="O117">
            <v>273944</v>
          </cell>
        </row>
        <row r="119">
          <cell r="D119" t="str">
            <v>m당 단가</v>
          </cell>
          <cell r="E119" t="str">
            <v>1/350</v>
          </cell>
          <cell r="F119" t="str">
            <v>식</v>
          </cell>
          <cell r="G119">
            <v>2.8571428571428571E-3</v>
          </cell>
          <cell r="I119">
            <v>750.15428571428572</v>
          </cell>
          <cell r="K119">
            <v>2011.0428571428572</v>
          </cell>
          <cell r="M119">
            <v>212.18285714285713</v>
          </cell>
          <cell r="O119">
            <v>2973.38</v>
          </cell>
        </row>
        <row r="121">
          <cell r="D121" t="str">
            <v>합계</v>
          </cell>
          <cell r="F121" t="str">
            <v>m</v>
          </cell>
          <cell r="G121">
            <v>1</v>
          </cell>
          <cell r="I121">
            <v>750.15428571428572</v>
          </cell>
          <cell r="K121">
            <v>2011.0428571428572</v>
          </cell>
          <cell r="M121">
            <v>212.18285714285713</v>
          </cell>
          <cell r="O121">
            <v>2973.38</v>
          </cell>
        </row>
        <row r="122">
          <cell r="A122">
            <v>8</v>
          </cell>
          <cell r="B122">
            <v>3</v>
          </cell>
          <cell r="C122" t="str">
            <v>제8호표</v>
          </cell>
          <cell r="D122" t="str">
            <v>아스팔트,투스콘 포장절단</v>
          </cell>
          <cell r="E122" t="str">
            <v>블레이드(D = 320~400, T = 3.2mm)</v>
          </cell>
          <cell r="F122" t="str">
            <v>m</v>
          </cell>
          <cell r="G122">
            <v>1</v>
          </cell>
          <cell r="I122">
            <v>750.15428571428572</v>
          </cell>
          <cell r="K122">
            <v>1608.8371428571429</v>
          </cell>
          <cell r="M122">
            <v>212.18285714285713</v>
          </cell>
          <cell r="O122">
            <v>2571.1742857142858</v>
          </cell>
          <cell r="P122" t="str">
            <v>토12-3-2-3</v>
          </cell>
        </row>
        <row r="124">
          <cell r="D124" t="str">
            <v>아스팔트,투스콘 포장절단</v>
          </cell>
          <cell r="E124" t="str">
            <v>블레이드(D = 320~400, T = 3.2mm)</v>
          </cell>
        </row>
        <row r="126">
          <cell r="D126" t="str">
            <v>1.절단 재료비</v>
          </cell>
        </row>
        <row r="127">
          <cell r="D127" t="str">
            <v xml:space="preserve"> 1) 블레이드(D = 320~400, T = 3.2mm), 0.31개/100m</v>
          </cell>
        </row>
        <row r="128">
          <cell r="D128" t="str">
            <v xml:space="preserve">  재료비</v>
          </cell>
          <cell r="E128" t="str">
            <v>0.31*3.5</v>
          </cell>
          <cell r="G128">
            <v>1.085</v>
          </cell>
          <cell r="H128">
            <v>26000</v>
          </cell>
          <cell r="I128">
            <v>28210</v>
          </cell>
          <cell r="N128">
            <v>26000</v>
          </cell>
          <cell r="O128">
            <v>28210</v>
          </cell>
        </row>
        <row r="130">
          <cell r="D130" t="str">
            <v xml:space="preserve"> 2. 노무비</v>
          </cell>
        </row>
        <row r="131">
          <cell r="D131" t="str">
            <v>특별인부</v>
          </cell>
          <cell r="E131">
            <v>1</v>
          </cell>
          <cell r="F131" t="str">
            <v>인</v>
          </cell>
          <cell r="G131">
            <v>1</v>
          </cell>
          <cell r="J131">
            <v>97951</v>
          </cell>
          <cell r="K131">
            <v>97951</v>
          </cell>
          <cell r="N131">
            <v>97951</v>
          </cell>
          <cell r="O131">
            <v>97951</v>
          </cell>
        </row>
        <row r="132">
          <cell r="D132" t="str">
            <v>보통인부</v>
          </cell>
          <cell r="E132">
            <v>2</v>
          </cell>
          <cell r="F132" t="str">
            <v>인</v>
          </cell>
          <cell r="G132">
            <v>2</v>
          </cell>
          <cell r="J132">
            <v>81443</v>
          </cell>
          <cell r="K132">
            <v>162886</v>
          </cell>
          <cell r="N132">
            <v>81443</v>
          </cell>
          <cell r="O132">
            <v>162886</v>
          </cell>
        </row>
        <row r="134">
          <cell r="D134" t="str">
            <v>3. 기계경비</v>
          </cell>
        </row>
        <row r="136">
          <cell r="D136" t="str">
            <v>3.1 살수차</v>
          </cell>
          <cell r="E136" t="str">
            <v>5,500ℓ</v>
          </cell>
          <cell r="F136" t="str">
            <v>대</v>
          </cell>
          <cell r="G136">
            <v>1</v>
          </cell>
        </row>
        <row r="137">
          <cell r="D137" t="str">
            <v xml:space="preserve">  재료비</v>
          </cell>
          <cell r="E137" t="str">
            <v>시간당단가</v>
          </cell>
          <cell r="F137" t="str">
            <v>hr</v>
          </cell>
          <cell r="G137">
            <v>8</v>
          </cell>
          <cell r="H137">
            <v>18085</v>
          </cell>
          <cell r="I137">
            <v>144680</v>
          </cell>
          <cell r="N137">
            <v>18085</v>
          </cell>
          <cell r="O137">
            <v>144680</v>
          </cell>
          <cell r="P137" t="str">
            <v>제m12호표</v>
          </cell>
        </row>
        <row r="138">
          <cell r="D138" t="str">
            <v xml:space="preserve">  노무비</v>
          </cell>
          <cell r="E138" t="str">
            <v>시간당단가</v>
          </cell>
          <cell r="F138" t="str">
            <v>hr</v>
          </cell>
          <cell r="G138">
            <v>8</v>
          </cell>
          <cell r="J138">
            <v>20522</v>
          </cell>
          <cell r="K138">
            <v>164176</v>
          </cell>
          <cell r="N138">
            <v>20522</v>
          </cell>
          <cell r="O138">
            <v>164176</v>
          </cell>
        </row>
        <row r="139">
          <cell r="D139" t="str">
            <v xml:space="preserve">  경비</v>
          </cell>
          <cell r="E139" t="str">
            <v>시간당단가</v>
          </cell>
          <cell r="F139" t="str">
            <v>hr</v>
          </cell>
          <cell r="G139">
            <v>8</v>
          </cell>
          <cell r="L139">
            <v>7823</v>
          </cell>
          <cell r="M139">
            <v>62584</v>
          </cell>
          <cell r="N139">
            <v>7823</v>
          </cell>
          <cell r="O139">
            <v>62584</v>
          </cell>
        </row>
        <row r="141">
          <cell r="D141" t="str">
            <v>소계</v>
          </cell>
          <cell r="I141">
            <v>144680</v>
          </cell>
          <cell r="K141">
            <v>164176</v>
          </cell>
          <cell r="M141">
            <v>62584</v>
          </cell>
          <cell r="O141">
            <v>371440</v>
          </cell>
        </row>
        <row r="143">
          <cell r="D143" t="str">
            <v>3.2. 콘크리트 캇타</v>
          </cell>
          <cell r="F143" t="str">
            <v>대</v>
          </cell>
          <cell r="G143">
            <v>1</v>
          </cell>
        </row>
        <row r="144">
          <cell r="D144" t="str">
            <v xml:space="preserve">  재료비</v>
          </cell>
          <cell r="E144" t="str">
            <v>시간당단가</v>
          </cell>
          <cell r="F144" t="str">
            <v>hr</v>
          </cell>
          <cell r="G144">
            <v>8</v>
          </cell>
          <cell r="H144">
            <v>11208</v>
          </cell>
          <cell r="I144">
            <v>89664</v>
          </cell>
          <cell r="N144">
            <v>11208</v>
          </cell>
          <cell r="O144">
            <v>89664</v>
          </cell>
          <cell r="P144" t="str">
            <v>제m5호표</v>
          </cell>
        </row>
        <row r="145">
          <cell r="D145" t="str">
            <v xml:space="preserve">  노무비</v>
          </cell>
          <cell r="E145" t="str">
            <v>시간당단가</v>
          </cell>
          <cell r="F145" t="str">
            <v>hr</v>
          </cell>
          <cell r="G145">
            <v>8</v>
          </cell>
          <cell r="J145">
            <v>17260</v>
          </cell>
          <cell r="K145">
            <v>138080</v>
          </cell>
          <cell r="N145">
            <v>17260</v>
          </cell>
          <cell r="O145">
            <v>138080</v>
          </cell>
        </row>
        <row r="146">
          <cell r="D146" t="str">
            <v xml:space="preserve">  경비</v>
          </cell>
          <cell r="E146" t="str">
            <v>시간당단가</v>
          </cell>
          <cell r="F146" t="str">
            <v>hr</v>
          </cell>
          <cell r="G146">
            <v>8</v>
          </cell>
          <cell r="L146">
            <v>1460</v>
          </cell>
          <cell r="M146">
            <v>11680</v>
          </cell>
          <cell r="N146">
            <v>1460</v>
          </cell>
          <cell r="O146">
            <v>11680</v>
          </cell>
        </row>
        <row r="148">
          <cell r="D148" t="str">
            <v>소계</v>
          </cell>
          <cell r="I148">
            <v>89664</v>
          </cell>
          <cell r="K148">
            <v>138080</v>
          </cell>
          <cell r="M148">
            <v>11680</v>
          </cell>
          <cell r="O148">
            <v>239424</v>
          </cell>
        </row>
        <row r="150">
          <cell r="D150" t="str">
            <v>m당 단가</v>
          </cell>
          <cell r="E150" t="str">
            <v>1/350</v>
          </cell>
          <cell r="F150" t="str">
            <v>식</v>
          </cell>
          <cell r="G150">
            <v>2.8571428571428571E-3</v>
          </cell>
          <cell r="I150">
            <v>750.15428571428572</v>
          </cell>
          <cell r="K150">
            <v>1608.8371428571429</v>
          </cell>
          <cell r="M150">
            <v>212.18285714285713</v>
          </cell>
          <cell r="O150">
            <v>2571.1742857142858</v>
          </cell>
        </row>
        <row r="152">
          <cell r="D152" t="str">
            <v>합계</v>
          </cell>
          <cell r="F152" t="str">
            <v>m</v>
          </cell>
          <cell r="G152">
            <v>1</v>
          </cell>
          <cell r="I152">
            <v>750.15428571428572</v>
          </cell>
          <cell r="K152">
            <v>1608.8371428571429</v>
          </cell>
          <cell r="M152">
            <v>212.18285714285713</v>
          </cell>
          <cell r="O152">
            <v>2571.1742857142858</v>
          </cell>
        </row>
        <row r="153">
          <cell r="A153">
            <v>9</v>
          </cell>
          <cell r="B153">
            <v>3</v>
          </cell>
          <cell r="C153" t="str">
            <v>제9호표</v>
          </cell>
          <cell r="D153" t="str">
            <v>아스팔트,투스콘 포장깨기(야간)</v>
          </cell>
          <cell r="E153" t="str">
            <v>대형브레이커+굴삭기(무한궤도) 0.2㎡</v>
          </cell>
          <cell r="F153" t="str">
            <v>㎥</v>
          </cell>
          <cell r="G153">
            <v>1</v>
          </cell>
          <cell r="I153">
            <v>6190</v>
          </cell>
          <cell r="K153">
            <v>23448</v>
          </cell>
          <cell r="M153">
            <v>11188</v>
          </cell>
          <cell r="O153">
            <v>40826</v>
          </cell>
          <cell r="P153" t="str">
            <v>토10-20</v>
          </cell>
        </row>
        <row r="155">
          <cell r="D155" t="str">
            <v>아스팔트,투스콘 포장깨기(야간)</v>
          </cell>
          <cell r="E155" t="str">
            <v>대형브레이커+굴삭기(무한궤도) 0.2㎡</v>
          </cell>
        </row>
        <row r="157">
          <cell r="D157" t="str">
            <v>기계작업 능력  Q = 1.75 [㎥/hr]</v>
          </cell>
          <cell r="G157">
            <v>1.75</v>
          </cell>
        </row>
        <row r="159">
          <cell r="D159" t="str">
            <v>1. 기계경비</v>
          </cell>
        </row>
        <row r="160">
          <cell r="D160" t="str">
            <v>재료비</v>
          </cell>
          <cell r="E160" t="str">
            <v>시간당단가*1/Q</v>
          </cell>
          <cell r="F160" t="str">
            <v>hr</v>
          </cell>
          <cell r="G160">
            <v>0.5714285714285714</v>
          </cell>
          <cell r="H160">
            <v>9050</v>
          </cell>
          <cell r="I160">
            <v>5171</v>
          </cell>
          <cell r="N160">
            <v>9050</v>
          </cell>
          <cell r="O160">
            <v>5171</v>
          </cell>
          <cell r="P160" t="str">
            <v>제m16호표</v>
          </cell>
        </row>
        <row r="161">
          <cell r="D161" t="str">
            <v>노무비</v>
          </cell>
          <cell r="E161" t="str">
            <v>시간당단가*1/Q*1.25</v>
          </cell>
          <cell r="F161" t="str">
            <v>hr</v>
          </cell>
          <cell r="G161">
            <v>0.71428571428571419</v>
          </cell>
          <cell r="J161">
            <v>22648</v>
          </cell>
          <cell r="K161">
            <v>16177</v>
          </cell>
          <cell r="N161">
            <v>22648</v>
          </cell>
          <cell r="O161">
            <v>16177</v>
          </cell>
        </row>
        <row r="162">
          <cell r="D162" t="str">
            <v>경비</v>
          </cell>
          <cell r="E162" t="str">
            <v>시간당단가*1/Q</v>
          </cell>
          <cell r="F162" t="str">
            <v>hr</v>
          </cell>
          <cell r="G162">
            <v>0.5714285714285714</v>
          </cell>
          <cell r="L162">
            <v>19579</v>
          </cell>
          <cell r="M162">
            <v>11188</v>
          </cell>
          <cell r="N162">
            <v>19579</v>
          </cell>
          <cell r="O162">
            <v>11188</v>
          </cell>
          <cell r="P162" t="str">
            <v>제m16+m19호표</v>
          </cell>
        </row>
        <row r="164">
          <cell r="D164" t="str">
            <v>2.작업보조(보통인부)</v>
          </cell>
          <cell r="E164" t="str">
            <v>1/(Q*8)*1.25</v>
          </cell>
          <cell r="F164" t="str">
            <v>인</v>
          </cell>
          <cell r="G164">
            <v>8.9285714285714274E-2</v>
          </cell>
          <cell r="J164">
            <v>81443</v>
          </cell>
          <cell r="K164">
            <v>7271</v>
          </cell>
          <cell r="N164">
            <v>81443</v>
          </cell>
          <cell r="O164">
            <v>7271</v>
          </cell>
        </row>
        <row r="166">
          <cell r="D166" t="str">
            <v>3.치즐 소모량</v>
          </cell>
          <cell r="E166" t="str">
            <v>0.008/Q</v>
          </cell>
          <cell r="F166" t="str">
            <v>본</v>
          </cell>
          <cell r="G166">
            <v>4.5714285714285718E-3</v>
          </cell>
          <cell r="H166">
            <v>223000</v>
          </cell>
          <cell r="I166">
            <v>1019</v>
          </cell>
          <cell r="N166">
            <v>223000</v>
          </cell>
          <cell r="O166">
            <v>1019</v>
          </cell>
        </row>
        <row r="168">
          <cell r="A168">
            <v>10</v>
          </cell>
          <cell r="B168">
            <v>3</v>
          </cell>
          <cell r="C168" t="str">
            <v>제10호표</v>
          </cell>
          <cell r="D168" t="str">
            <v>아스팔트,투스콘 포장깨기</v>
          </cell>
          <cell r="E168" t="str">
            <v>대형브레이커+굴삭기(무한궤도) 0.2㎡</v>
          </cell>
          <cell r="F168" t="str">
            <v>㎥</v>
          </cell>
          <cell r="G168">
            <v>1</v>
          </cell>
          <cell r="I168">
            <v>6190</v>
          </cell>
          <cell r="K168">
            <v>18758</v>
          </cell>
          <cell r="M168">
            <v>11188</v>
          </cell>
          <cell r="O168">
            <v>36136</v>
          </cell>
          <cell r="P168" t="str">
            <v>토10-20</v>
          </cell>
        </row>
        <row r="170">
          <cell r="D170" t="str">
            <v>아스팔트,투스콘 포장깨기</v>
          </cell>
          <cell r="E170" t="str">
            <v>대형브레이커+굴삭기(무한궤도) 0.2㎡</v>
          </cell>
        </row>
        <row r="172">
          <cell r="D172" t="str">
            <v>기계작업 능력  Q = 1.75 [㎥/hr]</v>
          </cell>
          <cell r="G172">
            <v>1.75</v>
          </cell>
        </row>
        <row r="174">
          <cell r="D174" t="str">
            <v>1. 기계경비</v>
          </cell>
        </row>
        <row r="175">
          <cell r="D175" t="str">
            <v>재료비</v>
          </cell>
          <cell r="E175" t="str">
            <v>시간당단가*1/Q</v>
          </cell>
          <cell r="F175" t="str">
            <v>hr</v>
          </cell>
          <cell r="G175">
            <v>0.5714285714285714</v>
          </cell>
          <cell r="H175">
            <v>9050</v>
          </cell>
          <cell r="I175">
            <v>5171</v>
          </cell>
          <cell r="N175">
            <v>9050</v>
          </cell>
          <cell r="O175">
            <v>5171</v>
          </cell>
          <cell r="P175" t="str">
            <v>제m16호표</v>
          </cell>
        </row>
        <row r="176">
          <cell r="D176" t="str">
            <v>노무비</v>
          </cell>
          <cell r="E176" t="str">
            <v>시간당단가*1/Q</v>
          </cell>
          <cell r="F176" t="str">
            <v>hr</v>
          </cell>
          <cell r="G176">
            <v>0.5714285714285714</v>
          </cell>
          <cell r="J176">
            <v>22648</v>
          </cell>
          <cell r="K176">
            <v>12941</v>
          </cell>
          <cell r="N176">
            <v>22648</v>
          </cell>
          <cell r="O176">
            <v>12941</v>
          </cell>
        </row>
        <row r="177">
          <cell r="D177" t="str">
            <v>경비</v>
          </cell>
          <cell r="E177" t="str">
            <v>시간당단가*1/Q</v>
          </cell>
          <cell r="F177" t="str">
            <v>hr</v>
          </cell>
          <cell r="G177">
            <v>0.5714285714285714</v>
          </cell>
          <cell r="L177">
            <v>19579</v>
          </cell>
          <cell r="M177">
            <v>11188</v>
          </cell>
          <cell r="N177">
            <v>19579</v>
          </cell>
          <cell r="O177">
            <v>11188</v>
          </cell>
          <cell r="P177" t="str">
            <v>제m16+m19호표</v>
          </cell>
        </row>
        <row r="179">
          <cell r="D179" t="str">
            <v>2.작업보조(보통인부)</v>
          </cell>
          <cell r="E179" t="str">
            <v>1/(Q*8)</v>
          </cell>
          <cell r="F179" t="str">
            <v>인</v>
          </cell>
          <cell r="G179">
            <v>7.1428571428571425E-2</v>
          </cell>
          <cell r="J179">
            <v>81443</v>
          </cell>
          <cell r="K179">
            <v>5817</v>
          </cell>
          <cell r="N179">
            <v>81443</v>
          </cell>
          <cell r="O179">
            <v>5817</v>
          </cell>
        </row>
        <row r="181">
          <cell r="D181" t="str">
            <v>3.치즐 소모량</v>
          </cell>
          <cell r="E181" t="str">
            <v>0.008/Q</v>
          </cell>
          <cell r="F181" t="str">
            <v>본</v>
          </cell>
          <cell r="G181">
            <v>4.5714285714285718E-3</v>
          </cell>
          <cell r="H181">
            <v>223000</v>
          </cell>
          <cell r="I181">
            <v>1019</v>
          </cell>
          <cell r="N181">
            <v>223000</v>
          </cell>
          <cell r="O181">
            <v>1019</v>
          </cell>
        </row>
        <row r="183">
          <cell r="A183">
            <v>11</v>
          </cell>
          <cell r="B183">
            <v>3</v>
          </cell>
          <cell r="C183" t="str">
            <v>제11호표</v>
          </cell>
          <cell r="D183" t="str">
            <v>구조물 헐기(야간)</v>
          </cell>
          <cell r="E183" t="str">
            <v>대형브레이커+굴삭기(무한궤도) 0.7㎡</v>
          </cell>
          <cell r="F183" t="str">
            <v>㎥</v>
          </cell>
          <cell r="G183">
            <v>1</v>
          </cell>
          <cell r="I183">
            <v>5086</v>
          </cell>
          <cell r="K183">
            <v>8920</v>
          </cell>
          <cell r="M183">
            <v>6074</v>
          </cell>
          <cell r="O183">
            <v>20080</v>
          </cell>
          <cell r="P183" t="str">
            <v>토10-20</v>
          </cell>
        </row>
        <row r="185">
          <cell r="D185" t="str">
            <v>구조물 헐기(야간)</v>
          </cell>
          <cell r="E185" t="str">
            <v>대형브레이커+굴삭기(무한궤도) 0.7㎡</v>
          </cell>
        </row>
        <row r="186">
          <cell r="D186" t="str">
            <v xml:space="preserve">작업 능력 </v>
          </cell>
          <cell r="E186" t="str">
            <v>Q=(3.3+5.9)/2=4.6㎥/hr</v>
          </cell>
          <cell r="P186" t="str">
            <v>성남시 공통</v>
          </cell>
        </row>
        <row r="187">
          <cell r="D187" t="str">
            <v>재료비</v>
          </cell>
          <cell r="E187" t="str">
            <v>시간당단가*1/Q</v>
          </cell>
          <cell r="F187" t="str">
            <v>hr</v>
          </cell>
          <cell r="G187">
            <v>0.21739130434782611</v>
          </cell>
          <cell r="H187">
            <v>21170</v>
          </cell>
          <cell r="I187">
            <v>4602</v>
          </cell>
          <cell r="N187">
            <v>21170</v>
          </cell>
          <cell r="O187">
            <v>4602</v>
          </cell>
          <cell r="P187" t="str">
            <v>제m17호표</v>
          </cell>
        </row>
        <row r="188">
          <cell r="D188" t="str">
            <v>노무비</v>
          </cell>
          <cell r="E188" t="str">
            <v>시간당단가*1/Q*1.25</v>
          </cell>
          <cell r="F188" t="str">
            <v>hr</v>
          </cell>
          <cell r="G188">
            <v>0.27173913043478265</v>
          </cell>
          <cell r="J188">
            <v>22648</v>
          </cell>
          <cell r="K188">
            <v>6154</v>
          </cell>
          <cell r="N188">
            <v>22648</v>
          </cell>
          <cell r="O188">
            <v>6154</v>
          </cell>
        </row>
        <row r="189">
          <cell r="D189" t="str">
            <v>경비</v>
          </cell>
          <cell r="E189" t="str">
            <v>시간당단가*1/Q</v>
          </cell>
          <cell r="F189" t="str">
            <v>hr</v>
          </cell>
          <cell r="G189">
            <v>0.21739130434782611</v>
          </cell>
          <cell r="L189">
            <v>27943</v>
          </cell>
          <cell r="M189">
            <v>6074</v>
          </cell>
          <cell r="N189">
            <v>27943</v>
          </cell>
          <cell r="O189">
            <v>6074</v>
          </cell>
          <cell r="P189" t="str">
            <v>제m16+m19호표</v>
          </cell>
        </row>
        <row r="191">
          <cell r="D191" t="str">
            <v>2.작업보조(보통인부)</v>
          </cell>
          <cell r="E191" t="str">
            <v>1일단가/(Q*8)*1.25</v>
          </cell>
          <cell r="F191" t="str">
            <v>인</v>
          </cell>
          <cell r="G191">
            <v>3.3967391304347831E-2</v>
          </cell>
          <cell r="J191">
            <v>81443</v>
          </cell>
          <cell r="K191">
            <v>2766</v>
          </cell>
          <cell r="N191">
            <v>81443</v>
          </cell>
          <cell r="O191">
            <v>2766</v>
          </cell>
        </row>
        <row r="193">
          <cell r="D193" t="str">
            <v>치즐소모량</v>
          </cell>
          <cell r="E193" t="str">
            <v>0.01/Q</v>
          </cell>
          <cell r="F193" t="str">
            <v>본</v>
          </cell>
          <cell r="G193">
            <v>2.1739130434782609E-3</v>
          </cell>
          <cell r="H193">
            <v>223000</v>
          </cell>
          <cell r="I193">
            <v>484</v>
          </cell>
          <cell r="N193">
            <v>223000</v>
          </cell>
          <cell r="O193">
            <v>484</v>
          </cell>
        </row>
        <row r="196">
          <cell r="A196">
            <v>12</v>
          </cell>
          <cell r="B196">
            <v>3</v>
          </cell>
          <cell r="C196" t="str">
            <v>제12호표</v>
          </cell>
          <cell r="D196" t="str">
            <v>구조물 헐기</v>
          </cell>
          <cell r="E196" t="str">
            <v>대형브레이커+굴삭기(무한궤도) 0.7㎡</v>
          </cell>
          <cell r="F196" t="str">
            <v>㎥</v>
          </cell>
          <cell r="G196">
            <v>1</v>
          </cell>
          <cell r="I196">
            <v>5086</v>
          </cell>
          <cell r="K196">
            <v>7136</v>
          </cell>
          <cell r="M196">
            <v>6074</v>
          </cell>
          <cell r="O196">
            <v>18296</v>
          </cell>
          <cell r="P196" t="str">
            <v>토10-20</v>
          </cell>
        </row>
        <row r="198">
          <cell r="D198" t="str">
            <v>구조물 헐기</v>
          </cell>
          <cell r="E198" t="str">
            <v>대형브레이커+굴삭기(무한궤도) 0.7㎡</v>
          </cell>
        </row>
        <row r="199">
          <cell r="D199" t="str">
            <v xml:space="preserve">작업 능력 </v>
          </cell>
          <cell r="E199" t="str">
            <v>Q=(3.3+5.9)/2=4.6㎥/hr</v>
          </cell>
          <cell r="P199" t="str">
            <v>성남시 공통</v>
          </cell>
        </row>
        <row r="200">
          <cell r="D200" t="str">
            <v>재료비</v>
          </cell>
          <cell r="E200" t="str">
            <v>시간당단가*1/Q</v>
          </cell>
          <cell r="F200" t="str">
            <v>hr</v>
          </cell>
          <cell r="G200">
            <v>0.21739130434782611</v>
          </cell>
          <cell r="H200">
            <v>21170</v>
          </cell>
          <cell r="I200">
            <v>4602</v>
          </cell>
          <cell r="N200">
            <v>21170</v>
          </cell>
          <cell r="O200">
            <v>4602</v>
          </cell>
          <cell r="P200" t="str">
            <v>제m17호표</v>
          </cell>
        </row>
        <row r="201">
          <cell r="D201" t="str">
            <v>노무비</v>
          </cell>
          <cell r="E201" t="str">
            <v>시간당단가*1/Q</v>
          </cell>
          <cell r="F201" t="str">
            <v>hr</v>
          </cell>
          <cell r="G201">
            <v>0.21739130434782611</v>
          </cell>
          <cell r="J201">
            <v>22648</v>
          </cell>
          <cell r="K201">
            <v>4923</v>
          </cell>
          <cell r="N201">
            <v>22648</v>
          </cell>
          <cell r="O201">
            <v>4923</v>
          </cell>
        </row>
        <row r="202">
          <cell r="D202" t="str">
            <v>경비</v>
          </cell>
          <cell r="E202" t="str">
            <v>시간당단가*1/Q</v>
          </cell>
          <cell r="F202" t="str">
            <v>hr</v>
          </cell>
          <cell r="G202">
            <v>0.21739130434782611</v>
          </cell>
          <cell r="L202">
            <v>27943</v>
          </cell>
          <cell r="M202">
            <v>6074</v>
          </cell>
          <cell r="N202">
            <v>27943</v>
          </cell>
          <cell r="O202">
            <v>6074</v>
          </cell>
          <cell r="P202" t="str">
            <v>제m16+m19호표</v>
          </cell>
        </row>
        <row r="204">
          <cell r="D204" t="str">
            <v>작업보조(보통인부)</v>
          </cell>
          <cell r="E204" t="str">
            <v>1일단가/(Q*8)</v>
          </cell>
          <cell r="F204" t="str">
            <v>인</v>
          </cell>
          <cell r="G204">
            <v>2.7173913043478264E-2</v>
          </cell>
          <cell r="J204">
            <v>81443</v>
          </cell>
          <cell r="K204">
            <v>2213</v>
          </cell>
          <cell r="N204">
            <v>81443</v>
          </cell>
          <cell r="O204">
            <v>2213</v>
          </cell>
        </row>
        <row r="206">
          <cell r="D206" t="str">
            <v>치즐소모량</v>
          </cell>
          <cell r="E206" t="str">
            <v>0.01/Q</v>
          </cell>
          <cell r="F206" t="str">
            <v>본</v>
          </cell>
          <cell r="G206">
            <v>2.1739130434782609E-3</v>
          </cell>
          <cell r="H206">
            <v>223000</v>
          </cell>
          <cell r="I206">
            <v>484</v>
          </cell>
          <cell r="N206">
            <v>223000</v>
          </cell>
          <cell r="O206">
            <v>484</v>
          </cell>
        </row>
        <row r="208">
          <cell r="A208">
            <v>13</v>
          </cell>
          <cell r="B208">
            <v>3</v>
          </cell>
          <cell r="C208" t="str">
            <v>제13호표</v>
          </cell>
          <cell r="D208" t="str">
            <v>소규모 포장복구</v>
          </cell>
          <cell r="E208" t="str">
            <v>기층 및 표층 포설 및 다짐</v>
          </cell>
          <cell r="F208" t="str">
            <v>㎡</v>
          </cell>
          <cell r="G208">
            <v>1</v>
          </cell>
          <cell r="I208">
            <v>27913</v>
          </cell>
          <cell r="K208">
            <v>19423</v>
          </cell>
          <cell r="M208">
            <v>2999</v>
          </cell>
          <cell r="O208">
            <v>50335</v>
          </cell>
          <cell r="P208" t="str">
            <v>토12-4-2(3)</v>
          </cell>
        </row>
        <row r="209">
          <cell r="D209" t="str">
            <v>소규모 포장복구</v>
          </cell>
          <cell r="E209" t="str">
            <v>기층 및 표층 포설 및 다짐</v>
          </cell>
        </row>
        <row r="210">
          <cell r="D210" t="str">
            <v>1. 재료비</v>
          </cell>
          <cell r="E210" t="str">
            <v>시공량 : 50㎡,  a=100㎡</v>
          </cell>
        </row>
        <row r="211">
          <cell r="D211" t="str">
            <v>아스팔트 #467</v>
          </cell>
          <cell r="E211" t="str">
            <v>50㎡ x 0.15 x 2.35 = 17.625ton</v>
          </cell>
          <cell r="F211" t="str">
            <v>ton</v>
          </cell>
          <cell r="G211">
            <v>17.625</v>
          </cell>
          <cell r="H211">
            <v>67000</v>
          </cell>
          <cell r="I211">
            <v>1180875</v>
          </cell>
          <cell r="N211">
            <v>67000</v>
          </cell>
          <cell r="O211">
            <v>1180875</v>
          </cell>
        </row>
        <row r="212">
          <cell r="D212" t="str">
            <v>프라임코팅(mc-1)</v>
          </cell>
          <cell r="E212" t="str">
            <v>0.5a x 75ℓ/a / 200ℓ = 0.1875</v>
          </cell>
          <cell r="F212" t="str">
            <v>D/M</v>
          </cell>
          <cell r="G212">
            <v>0.1875</v>
          </cell>
          <cell r="H212">
            <v>260000</v>
          </cell>
          <cell r="I212">
            <v>48750</v>
          </cell>
          <cell r="N212">
            <v>260000</v>
          </cell>
          <cell r="O212">
            <v>48750</v>
          </cell>
          <cell r="P212" t="str">
            <v>토12-3-1-1</v>
          </cell>
        </row>
        <row r="214">
          <cell r="D214" t="str">
            <v>2. 노무비</v>
          </cell>
          <cell r="E214" t="str">
            <v>시공량 : 50㎡</v>
          </cell>
        </row>
        <row r="215">
          <cell r="D215" t="str">
            <v>포장공</v>
          </cell>
          <cell r="E215">
            <v>1</v>
          </cell>
          <cell r="G215">
            <v>1</v>
          </cell>
          <cell r="J215">
            <v>105320</v>
          </cell>
          <cell r="K215">
            <v>105320</v>
          </cell>
          <cell r="N215">
            <v>105320</v>
          </cell>
          <cell r="O215">
            <v>105320</v>
          </cell>
        </row>
        <row r="216">
          <cell r="D216" t="str">
            <v>보통인부</v>
          </cell>
          <cell r="E216">
            <v>3</v>
          </cell>
          <cell r="G216">
            <v>3</v>
          </cell>
          <cell r="J216">
            <v>81443</v>
          </cell>
          <cell r="K216">
            <v>244329</v>
          </cell>
          <cell r="N216">
            <v>81443</v>
          </cell>
          <cell r="O216">
            <v>244329</v>
          </cell>
        </row>
        <row r="217">
          <cell r="D217" t="str">
            <v>공구손료</v>
          </cell>
          <cell r="E217" t="str">
            <v>노무비의 3%</v>
          </cell>
          <cell r="F217" t="str">
            <v>식</v>
          </cell>
          <cell r="G217">
            <v>1</v>
          </cell>
          <cell r="L217">
            <v>10489.47</v>
          </cell>
          <cell r="M217">
            <v>10489</v>
          </cell>
          <cell r="N217">
            <v>10489</v>
          </cell>
          <cell r="O217">
            <v>10489</v>
          </cell>
        </row>
        <row r="219">
          <cell r="D219" t="str">
            <v>3. 기계경비</v>
          </cell>
          <cell r="E219" t="str">
            <v>시공량 : 50㎡</v>
          </cell>
        </row>
        <row r="221">
          <cell r="D221" t="str">
            <v>3.1 플레이트 콤팩트</v>
          </cell>
          <cell r="E221" t="str">
            <v>1.5ton</v>
          </cell>
          <cell r="F221" t="str">
            <v>대</v>
          </cell>
          <cell r="G221">
            <v>1</v>
          </cell>
        </row>
        <row r="222">
          <cell r="D222" t="str">
            <v>재료비</v>
          </cell>
          <cell r="E222" t="str">
            <v>시간당단가</v>
          </cell>
          <cell r="F222" t="str">
            <v>hr</v>
          </cell>
          <cell r="G222">
            <v>8</v>
          </cell>
          <cell r="H222">
            <v>2001</v>
          </cell>
          <cell r="I222">
            <v>16008</v>
          </cell>
          <cell r="N222">
            <v>2001</v>
          </cell>
          <cell r="O222">
            <v>16008</v>
          </cell>
          <cell r="P222" t="str">
            <v>제m2호표</v>
          </cell>
        </row>
        <row r="223">
          <cell r="D223" t="str">
            <v>노무비</v>
          </cell>
          <cell r="E223" t="str">
            <v>시간당단가</v>
          </cell>
          <cell r="F223" t="str">
            <v>hr</v>
          </cell>
          <cell r="G223">
            <v>8</v>
          </cell>
          <cell r="J223">
            <v>17260</v>
          </cell>
          <cell r="K223">
            <v>138080</v>
          </cell>
          <cell r="N223">
            <v>17260</v>
          </cell>
          <cell r="O223">
            <v>138080</v>
          </cell>
        </row>
        <row r="224">
          <cell r="D224" t="str">
            <v>경비</v>
          </cell>
          <cell r="E224" t="str">
            <v>시간당단가</v>
          </cell>
          <cell r="F224" t="str">
            <v>hr</v>
          </cell>
          <cell r="G224">
            <v>8</v>
          </cell>
          <cell r="L224">
            <v>479</v>
          </cell>
          <cell r="M224">
            <v>3832</v>
          </cell>
          <cell r="N224">
            <v>479</v>
          </cell>
          <cell r="O224">
            <v>3832</v>
          </cell>
        </row>
        <row r="226">
          <cell r="D226" t="str">
            <v>3.2 진동롤러(핸드가이드식)</v>
          </cell>
          <cell r="E226" t="str">
            <v>0.7ton</v>
          </cell>
          <cell r="F226" t="str">
            <v>대</v>
          </cell>
          <cell r="G226">
            <v>1</v>
          </cell>
        </row>
        <row r="227">
          <cell r="D227" t="str">
            <v>재료비</v>
          </cell>
          <cell r="E227" t="str">
            <v>시간당단가</v>
          </cell>
          <cell r="F227" t="str">
            <v>hr</v>
          </cell>
          <cell r="G227">
            <v>8</v>
          </cell>
          <cell r="H227">
            <v>3718</v>
          </cell>
          <cell r="I227">
            <v>29744</v>
          </cell>
          <cell r="N227">
            <v>3718</v>
          </cell>
          <cell r="O227">
            <v>29744</v>
          </cell>
          <cell r="P227" t="str">
            <v>제m9호표</v>
          </cell>
        </row>
        <row r="228">
          <cell r="D228" t="str">
            <v>노무비</v>
          </cell>
          <cell r="E228" t="str">
            <v>시간당단가</v>
          </cell>
          <cell r="F228" t="str">
            <v>hr</v>
          </cell>
          <cell r="G228">
            <v>8</v>
          </cell>
          <cell r="J228">
            <v>17260</v>
          </cell>
          <cell r="K228">
            <v>138080</v>
          </cell>
          <cell r="N228">
            <v>17260</v>
          </cell>
          <cell r="O228">
            <v>138080</v>
          </cell>
        </row>
        <row r="229">
          <cell r="D229" t="str">
            <v>경비</v>
          </cell>
          <cell r="E229" t="str">
            <v>시간당단가</v>
          </cell>
          <cell r="F229" t="str">
            <v>hr</v>
          </cell>
          <cell r="G229">
            <v>8</v>
          </cell>
          <cell r="L229">
            <v>1563</v>
          </cell>
          <cell r="M229">
            <v>12504</v>
          </cell>
          <cell r="N229">
            <v>1563</v>
          </cell>
          <cell r="O229">
            <v>12504</v>
          </cell>
        </row>
        <row r="231">
          <cell r="D231" t="str">
            <v>3.3 굴삭기</v>
          </cell>
          <cell r="E231" t="str">
            <v>0.2㎥</v>
          </cell>
          <cell r="F231" t="str">
            <v>대</v>
          </cell>
          <cell r="G231">
            <v>1</v>
          </cell>
        </row>
        <row r="232">
          <cell r="D232" t="str">
            <v>재료비</v>
          </cell>
          <cell r="E232" t="str">
            <v>시간당단가</v>
          </cell>
          <cell r="F232" t="str">
            <v>hr</v>
          </cell>
          <cell r="G232">
            <v>8</v>
          </cell>
          <cell r="H232">
            <v>9050</v>
          </cell>
          <cell r="I232">
            <v>72400</v>
          </cell>
          <cell r="N232">
            <v>9050</v>
          </cell>
          <cell r="O232">
            <v>72400</v>
          </cell>
          <cell r="P232" t="str">
            <v>제m16호표</v>
          </cell>
        </row>
        <row r="233">
          <cell r="D233" t="str">
            <v>노무비</v>
          </cell>
          <cell r="E233" t="str">
            <v>시간당단가</v>
          </cell>
          <cell r="F233" t="str">
            <v>hr</v>
          </cell>
          <cell r="G233">
            <v>8</v>
          </cell>
          <cell r="J233">
            <v>22648</v>
          </cell>
          <cell r="K233">
            <v>181184</v>
          </cell>
          <cell r="N233">
            <v>22648</v>
          </cell>
          <cell r="O233">
            <v>181184</v>
          </cell>
        </row>
        <row r="234">
          <cell r="D234" t="str">
            <v>경비</v>
          </cell>
          <cell r="E234" t="str">
            <v>시간당단가</v>
          </cell>
          <cell r="F234" t="str">
            <v>hr</v>
          </cell>
          <cell r="G234">
            <v>8</v>
          </cell>
          <cell r="L234">
            <v>10597</v>
          </cell>
          <cell r="M234">
            <v>84776</v>
          </cell>
          <cell r="N234">
            <v>10597</v>
          </cell>
          <cell r="O234">
            <v>84776</v>
          </cell>
        </row>
        <row r="236">
          <cell r="D236" t="str">
            <v>3.4 트럭</v>
          </cell>
          <cell r="E236" t="str">
            <v>2.5ton</v>
          </cell>
          <cell r="F236" t="str">
            <v>대</v>
          </cell>
          <cell r="G236">
            <v>1</v>
          </cell>
        </row>
        <row r="237">
          <cell r="D237" t="str">
            <v>재료비</v>
          </cell>
          <cell r="E237" t="str">
            <v>시간당단가</v>
          </cell>
          <cell r="F237" t="str">
            <v>hr</v>
          </cell>
          <cell r="G237">
            <v>8</v>
          </cell>
          <cell r="H237">
            <v>5986</v>
          </cell>
          <cell r="I237">
            <v>47888</v>
          </cell>
          <cell r="N237">
            <v>5986</v>
          </cell>
          <cell r="O237">
            <v>47888</v>
          </cell>
          <cell r="P237" t="str">
            <v>제m18호표</v>
          </cell>
        </row>
        <row r="238">
          <cell r="D238" t="str">
            <v>노무비</v>
          </cell>
          <cell r="E238" t="str">
            <v>시간당단가</v>
          </cell>
          <cell r="F238" t="str">
            <v>hr</v>
          </cell>
          <cell r="G238">
            <v>8</v>
          </cell>
          <cell r="J238">
            <v>20522</v>
          </cell>
          <cell r="K238">
            <v>164176</v>
          </cell>
          <cell r="N238">
            <v>20522</v>
          </cell>
          <cell r="O238">
            <v>164176</v>
          </cell>
        </row>
        <row r="239">
          <cell r="D239" t="str">
            <v>경비</v>
          </cell>
          <cell r="E239" t="str">
            <v>시간당단가</v>
          </cell>
          <cell r="F239" t="str">
            <v>hr</v>
          </cell>
          <cell r="G239">
            <v>8</v>
          </cell>
          <cell r="L239">
            <v>4795</v>
          </cell>
          <cell r="M239">
            <v>38360</v>
          </cell>
          <cell r="N239">
            <v>4795</v>
          </cell>
          <cell r="O239">
            <v>38360</v>
          </cell>
        </row>
        <row r="240">
          <cell r="D240" t="str">
            <v>계</v>
          </cell>
          <cell r="E240" t="str">
            <v>50㎡</v>
          </cell>
          <cell r="I240">
            <v>1395665</v>
          </cell>
          <cell r="K240">
            <v>971169</v>
          </cell>
          <cell r="M240">
            <v>149961</v>
          </cell>
          <cell r="O240">
            <v>2516795</v>
          </cell>
        </row>
        <row r="241">
          <cell r="D241" t="str">
            <v>계</v>
          </cell>
          <cell r="E241" t="str">
            <v>1㎡</v>
          </cell>
          <cell r="G241">
            <v>0.02</v>
          </cell>
          <cell r="I241">
            <v>27913</v>
          </cell>
          <cell r="K241">
            <v>19423</v>
          </cell>
          <cell r="M241">
            <v>2999</v>
          </cell>
          <cell r="O241">
            <v>50335</v>
          </cell>
        </row>
        <row r="243">
          <cell r="D243" t="str">
            <v>합계</v>
          </cell>
          <cell r="F243" t="str">
            <v>㎡</v>
          </cell>
          <cell r="G243">
            <v>1</v>
          </cell>
          <cell r="I243">
            <v>27913</v>
          </cell>
          <cell r="K243">
            <v>19423</v>
          </cell>
          <cell r="M243">
            <v>2999</v>
          </cell>
          <cell r="O243">
            <v>50335</v>
          </cell>
        </row>
        <row r="244">
          <cell r="A244">
            <v>14</v>
          </cell>
          <cell r="B244">
            <v>3</v>
          </cell>
          <cell r="C244" t="str">
            <v>제14호표</v>
          </cell>
          <cell r="D244" t="str">
            <v>보조기층 부설(야간)</v>
          </cell>
          <cell r="E244" t="str">
            <v>인력식 소규모 장비사용</v>
          </cell>
          <cell r="F244" t="str">
            <v>㎥</v>
          </cell>
          <cell r="G244">
            <v>1</v>
          </cell>
          <cell r="I244">
            <v>18810</v>
          </cell>
          <cell r="K244">
            <v>6743</v>
          </cell>
          <cell r="M244">
            <v>1678</v>
          </cell>
          <cell r="O244">
            <v>27231</v>
          </cell>
          <cell r="P244" t="str">
            <v>토12-2-2</v>
          </cell>
        </row>
        <row r="246">
          <cell r="D246" t="str">
            <v>보조기층 부설(야간)</v>
          </cell>
          <cell r="E246" t="str">
            <v>인력식 소규모 장비사용</v>
          </cell>
        </row>
        <row r="247">
          <cell r="D247" t="str">
            <v>1. 재료비</v>
          </cell>
          <cell r="E247" t="str">
            <v>시공량 : 150㎡</v>
          </cell>
        </row>
        <row r="248">
          <cell r="B248" t="str">
            <v>혼합골재보조기층용</v>
          </cell>
          <cell r="D248" t="str">
            <v>혼합골재</v>
          </cell>
          <cell r="E248" t="str">
            <v>보조기층용</v>
          </cell>
          <cell r="F248" t="str">
            <v>㎥</v>
          </cell>
          <cell r="G248">
            <v>150</v>
          </cell>
          <cell r="H248">
            <v>16500</v>
          </cell>
          <cell r="I248">
            <v>2475000</v>
          </cell>
          <cell r="N248">
            <v>16500</v>
          </cell>
          <cell r="O248">
            <v>2475000</v>
          </cell>
        </row>
        <row r="250">
          <cell r="D250" t="str">
            <v>2. 노무비</v>
          </cell>
          <cell r="E250" t="str">
            <v>시공량 : 150㎡</v>
          </cell>
        </row>
        <row r="251">
          <cell r="D251" t="str">
            <v>보통인부</v>
          </cell>
          <cell r="E251" t="str">
            <v>4*1.25</v>
          </cell>
          <cell r="F251" t="str">
            <v>인</v>
          </cell>
          <cell r="G251">
            <v>5</v>
          </cell>
          <cell r="J251">
            <v>81443</v>
          </cell>
          <cell r="K251">
            <v>407215</v>
          </cell>
          <cell r="N251">
            <v>81443</v>
          </cell>
          <cell r="O251">
            <v>407215</v>
          </cell>
        </row>
        <row r="253">
          <cell r="D253" t="str">
            <v>3. 기계경비</v>
          </cell>
          <cell r="E253" t="str">
            <v>시공량 : 150㎡</v>
          </cell>
        </row>
        <row r="254">
          <cell r="D254" t="str">
            <v>3.1 굴삭기</v>
          </cell>
          <cell r="E254" t="str">
            <v>0.6㎥</v>
          </cell>
          <cell r="F254" t="str">
            <v>대</v>
          </cell>
          <cell r="G254">
            <v>1</v>
          </cell>
        </row>
        <row r="255">
          <cell r="D255" t="str">
            <v>재료비</v>
          </cell>
          <cell r="E255" t="str">
            <v>시간당단가</v>
          </cell>
          <cell r="F255" t="str">
            <v>hr</v>
          </cell>
          <cell r="G255">
            <v>8</v>
          </cell>
          <cell r="H255">
            <v>21517</v>
          </cell>
          <cell r="I255">
            <v>172136</v>
          </cell>
          <cell r="N255">
            <v>21517</v>
          </cell>
          <cell r="O255">
            <v>172136</v>
          </cell>
          <cell r="P255" t="str">
            <v>제m1호표</v>
          </cell>
        </row>
        <row r="256">
          <cell r="D256" t="str">
            <v>노무비</v>
          </cell>
          <cell r="E256" t="str">
            <v>시간당단가*1.25</v>
          </cell>
          <cell r="F256" t="str">
            <v>hr</v>
          </cell>
          <cell r="G256">
            <v>10</v>
          </cell>
          <cell r="J256">
            <v>22648</v>
          </cell>
          <cell r="K256">
            <v>226480</v>
          </cell>
          <cell r="N256">
            <v>22648</v>
          </cell>
          <cell r="O256">
            <v>226480</v>
          </cell>
        </row>
        <row r="257">
          <cell r="D257" t="str">
            <v>경비</v>
          </cell>
          <cell r="E257" t="str">
            <v>시간당단가</v>
          </cell>
          <cell r="F257" t="str">
            <v>hr</v>
          </cell>
          <cell r="G257">
            <v>8</v>
          </cell>
          <cell r="L257">
            <v>22085</v>
          </cell>
          <cell r="M257">
            <v>176680</v>
          </cell>
          <cell r="N257">
            <v>22085</v>
          </cell>
          <cell r="O257">
            <v>176680</v>
          </cell>
        </row>
        <row r="259">
          <cell r="D259" t="str">
            <v>3.2 진동롤러(핸드가이드식)</v>
          </cell>
          <cell r="E259" t="str">
            <v>0.7ton</v>
          </cell>
          <cell r="F259" t="str">
            <v>대</v>
          </cell>
          <cell r="G259">
            <v>1</v>
          </cell>
        </row>
        <row r="260">
          <cell r="D260" t="str">
            <v>재료비</v>
          </cell>
          <cell r="E260" t="str">
            <v>시간당단가</v>
          </cell>
          <cell r="F260" t="str">
            <v>hr</v>
          </cell>
          <cell r="G260">
            <v>8</v>
          </cell>
          <cell r="H260">
            <v>3718</v>
          </cell>
          <cell r="I260">
            <v>29744</v>
          </cell>
          <cell r="N260">
            <v>3718</v>
          </cell>
          <cell r="O260">
            <v>29744</v>
          </cell>
          <cell r="P260" t="str">
            <v>제m9호표</v>
          </cell>
        </row>
        <row r="261">
          <cell r="D261" t="str">
            <v>노무비</v>
          </cell>
          <cell r="E261" t="str">
            <v>시간당단가*1.25</v>
          </cell>
          <cell r="F261" t="str">
            <v>hr</v>
          </cell>
          <cell r="G261">
            <v>10</v>
          </cell>
          <cell r="J261">
            <v>17260</v>
          </cell>
          <cell r="K261">
            <v>172600</v>
          </cell>
          <cell r="N261">
            <v>17260</v>
          </cell>
          <cell r="O261">
            <v>172600</v>
          </cell>
        </row>
        <row r="262">
          <cell r="D262" t="str">
            <v>경비</v>
          </cell>
          <cell r="E262" t="str">
            <v>시간당단가</v>
          </cell>
          <cell r="F262" t="str">
            <v>hr</v>
          </cell>
          <cell r="G262">
            <v>8</v>
          </cell>
          <cell r="L262">
            <v>1563</v>
          </cell>
          <cell r="M262">
            <v>12504</v>
          </cell>
          <cell r="N262">
            <v>1563</v>
          </cell>
          <cell r="O262">
            <v>12504</v>
          </cell>
        </row>
        <row r="264">
          <cell r="D264" t="str">
            <v>3.3 살수차</v>
          </cell>
          <cell r="E264" t="str">
            <v>5,500ℓ</v>
          </cell>
          <cell r="F264" t="str">
            <v>대</v>
          </cell>
          <cell r="G264">
            <v>1</v>
          </cell>
        </row>
        <row r="265">
          <cell r="D265" t="str">
            <v xml:space="preserve">  재료비</v>
          </cell>
          <cell r="E265" t="str">
            <v>시간당단가</v>
          </cell>
          <cell r="F265" t="str">
            <v>hr</v>
          </cell>
          <cell r="G265">
            <v>8</v>
          </cell>
          <cell r="H265">
            <v>18085</v>
          </cell>
          <cell r="I265">
            <v>144680</v>
          </cell>
          <cell r="N265">
            <v>18085</v>
          </cell>
          <cell r="O265">
            <v>144680</v>
          </cell>
          <cell r="P265" t="str">
            <v>제m12호표</v>
          </cell>
        </row>
        <row r="266">
          <cell r="D266" t="str">
            <v xml:space="preserve">  노무비</v>
          </cell>
          <cell r="E266" t="str">
            <v>시간당단가*1.25</v>
          </cell>
          <cell r="F266" t="str">
            <v>hr</v>
          </cell>
          <cell r="G266">
            <v>10</v>
          </cell>
          <cell r="J266">
            <v>20522</v>
          </cell>
          <cell r="K266">
            <v>205220</v>
          </cell>
          <cell r="N266">
            <v>20522</v>
          </cell>
          <cell r="O266">
            <v>205220</v>
          </cell>
        </row>
        <row r="267">
          <cell r="D267" t="str">
            <v xml:space="preserve">  경비</v>
          </cell>
          <cell r="E267" t="str">
            <v>시간당단가</v>
          </cell>
          <cell r="F267" t="str">
            <v>hr</v>
          </cell>
          <cell r="G267">
            <v>8</v>
          </cell>
          <cell r="L267">
            <v>7823</v>
          </cell>
          <cell r="M267">
            <v>62584</v>
          </cell>
          <cell r="N267">
            <v>7823</v>
          </cell>
          <cell r="O267">
            <v>62584</v>
          </cell>
        </row>
        <row r="270">
          <cell r="D270" t="str">
            <v>계</v>
          </cell>
          <cell r="E270" t="str">
            <v>150㎡</v>
          </cell>
          <cell r="I270">
            <v>2821560</v>
          </cell>
          <cell r="K270">
            <v>1011515</v>
          </cell>
          <cell r="M270">
            <v>251768</v>
          </cell>
          <cell r="O270">
            <v>4084843</v>
          </cell>
        </row>
        <row r="271">
          <cell r="D271" t="str">
            <v>계</v>
          </cell>
          <cell r="E271" t="str">
            <v>1㎡</v>
          </cell>
          <cell r="G271">
            <v>6.6666666666666671E-3</v>
          </cell>
          <cell r="I271">
            <v>18810</v>
          </cell>
          <cell r="K271">
            <v>6743</v>
          </cell>
          <cell r="M271">
            <v>1678</v>
          </cell>
          <cell r="O271">
            <v>27231</v>
          </cell>
        </row>
        <row r="275">
          <cell r="D275" t="str">
            <v>합계</v>
          </cell>
          <cell r="F275" t="str">
            <v>㎥</v>
          </cell>
          <cell r="G275">
            <v>1</v>
          </cell>
          <cell r="I275">
            <v>18810</v>
          </cell>
          <cell r="K275">
            <v>6743</v>
          </cell>
          <cell r="M275">
            <v>1678</v>
          </cell>
          <cell r="O275">
            <v>27231</v>
          </cell>
        </row>
        <row r="276">
          <cell r="A276">
            <v>15</v>
          </cell>
          <cell r="B276">
            <v>3</v>
          </cell>
          <cell r="C276" t="str">
            <v>제15호표</v>
          </cell>
          <cell r="D276" t="str">
            <v>보조기층 부설</v>
          </cell>
          <cell r="E276" t="str">
            <v>인력식 소규모 장비사용</v>
          </cell>
          <cell r="F276" t="str">
            <v>㎥</v>
          </cell>
          <cell r="G276">
            <v>1</v>
          </cell>
          <cell r="I276">
            <v>18810</v>
          </cell>
          <cell r="K276">
            <v>5394</v>
          </cell>
          <cell r="M276">
            <v>1678</v>
          </cell>
          <cell r="O276">
            <v>25882</v>
          </cell>
          <cell r="P276" t="str">
            <v>토12-2-2</v>
          </cell>
        </row>
        <row r="278">
          <cell r="D278" t="str">
            <v>보조기층 부설</v>
          </cell>
          <cell r="E278" t="str">
            <v>인력식 소규모 장비사용</v>
          </cell>
        </row>
        <row r="279">
          <cell r="D279" t="str">
            <v>1. 재료비</v>
          </cell>
          <cell r="E279" t="str">
            <v>시공량 : 150㎡</v>
          </cell>
        </row>
        <row r="280">
          <cell r="B280" t="str">
            <v>혼합골재보조기층용</v>
          </cell>
          <cell r="D280" t="str">
            <v>혼합골재</v>
          </cell>
          <cell r="E280" t="str">
            <v>보조기층용</v>
          </cell>
          <cell r="F280" t="str">
            <v>㎥</v>
          </cell>
          <cell r="G280">
            <v>150</v>
          </cell>
          <cell r="H280">
            <v>16500</v>
          </cell>
          <cell r="I280">
            <v>2475000</v>
          </cell>
          <cell r="N280">
            <v>16500</v>
          </cell>
          <cell r="O280">
            <v>2475000</v>
          </cell>
        </row>
        <row r="282">
          <cell r="D282" t="str">
            <v>2. 노무비</v>
          </cell>
          <cell r="E282" t="str">
            <v>시공량 : 150㎡</v>
          </cell>
        </row>
        <row r="283">
          <cell r="D283" t="str">
            <v>보통인부</v>
          </cell>
          <cell r="E283">
            <v>4</v>
          </cell>
          <cell r="F283" t="str">
            <v>인</v>
          </cell>
          <cell r="G283">
            <v>4</v>
          </cell>
          <cell r="J283">
            <v>81443</v>
          </cell>
          <cell r="K283">
            <v>325772</v>
          </cell>
          <cell r="N283">
            <v>81443</v>
          </cell>
          <cell r="O283">
            <v>325772</v>
          </cell>
        </row>
        <row r="285">
          <cell r="D285" t="str">
            <v>3. 기계경비</v>
          </cell>
          <cell r="E285" t="str">
            <v>시공량 : 150㎡</v>
          </cell>
        </row>
        <row r="286">
          <cell r="D286" t="str">
            <v>3.1 굴삭기</v>
          </cell>
          <cell r="E286" t="str">
            <v>0.6㎥</v>
          </cell>
          <cell r="F286" t="str">
            <v>대</v>
          </cell>
          <cell r="G286">
            <v>1</v>
          </cell>
        </row>
        <row r="287">
          <cell r="D287" t="str">
            <v>재료비</v>
          </cell>
          <cell r="E287" t="str">
            <v>시간당단가</v>
          </cell>
          <cell r="F287" t="str">
            <v>hr</v>
          </cell>
          <cell r="G287">
            <v>8</v>
          </cell>
          <cell r="H287">
            <v>21517</v>
          </cell>
          <cell r="I287">
            <v>172136</v>
          </cell>
          <cell r="N287">
            <v>21517</v>
          </cell>
          <cell r="O287">
            <v>172136</v>
          </cell>
          <cell r="P287" t="str">
            <v>제m1호표</v>
          </cell>
        </row>
        <row r="288">
          <cell r="D288" t="str">
            <v>노무비</v>
          </cell>
          <cell r="E288" t="str">
            <v>시간당단가</v>
          </cell>
          <cell r="F288" t="str">
            <v>hr</v>
          </cell>
          <cell r="G288">
            <v>8</v>
          </cell>
          <cell r="J288">
            <v>22648</v>
          </cell>
          <cell r="K288">
            <v>181184</v>
          </cell>
          <cell r="N288">
            <v>22648</v>
          </cell>
          <cell r="O288">
            <v>181184</v>
          </cell>
        </row>
        <row r="289">
          <cell r="D289" t="str">
            <v>경비</v>
          </cell>
          <cell r="E289" t="str">
            <v>시간당단가</v>
          </cell>
          <cell r="F289" t="str">
            <v>hr</v>
          </cell>
          <cell r="G289">
            <v>8</v>
          </cell>
          <cell r="L289">
            <v>22085</v>
          </cell>
          <cell r="M289">
            <v>176680</v>
          </cell>
          <cell r="N289">
            <v>22085</v>
          </cell>
          <cell r="O289">
            <v>176680</v>
          </cell>
        </row>
        <row r="291">
          <cell r="D291" t="str">
            <v>3.2 진동롤러(핸드가이드식)</v>
          </cell>
          <cell r="E291" t="str">
            <v>0.7ton</v>
          </cell>
          <cell r="F291" t="str">
            <v>대</v>
          </cell>
          <cell r="G291">
            <v>1</v>
          </cell>
        </row>
        <row r="292">
          <cell r="D292" t="str">
            <v>재료비</v>
          </cell>
          <cell r="E292" t="str">
            <v>시간당단가</v>
          </cell>
          <cell r="F292" t="str">
            <v>hr</v>
          </cell>
          <cell r="G292">
            <v>8</v>
          </cell>
          <cell r="H292">
            <v>3718</v>
          </cell>
          <cell r="I292">
            <v>29744</v>
          </cell>
          <cell r="N292">
            <v>3718</v>
          </cell>
          <cell r="O292">
            <v>29744</v>
          </cell>
          <cell r="P292" t="str">
            <v>제m9호표</v>
          </cell>
        </row>
        <row r="293">
          <cell r="D293" t="str">
            <v>노무비</v>
          </cell>
          <cell r="E293" t="str">
            <v>시간당단가</v>
          </cell>
          <cell r="F293" t="str">
            <v>hr</v>
          </cell>
          <cell r="G293">
            <v>8</v>
          </cell>
          <cell r="J293">
            <v>17260</v>
          </cell>
          <cell r="K293">
            <v>138080</v>
          </cell>
          <cell r="N293">
            <v>17260</v>
          </cell>
          <cell r="O293">
            <v>138080</v>
          </cell>
        </row>
        <row r="294">
          <cell r="D294" t="str">
            <v>경비</v>
          </cell>
          <cell r="E294" t="str">
            <v>시간당단가</v>
          </cell>
          <cell r="F294" t="str">
            <v>hr</v>
          </cell>
          <cell r="G294">
            <v>8</v>
          </cell>
          <cell r="L294">
            <v>1563</v>
          </cell>
          <cell r="M294">
            <v>12504</v>
          </cell>
          <cell r="N294">
            <v>1563</v>
          </cell>
          <cell r="O294">
            <v>12504</v>
          </cell>
        </row>
        <row r="296">
          <cell r="D296" t="str">
            <v>3.3 살수차</v>
          </cell>
          <cell r="E296" t="str">
            <v>5,500ℓ</v>
          </cell>
          <cell r="F296" t="str">
            <v>대</v>
          </cell>
          <cell r="G296">
            <v>1</v>
          </cell>
        </row>
        <row r="297">
          <cell r="D297" t="str">
            <v xml:space="preserve">  재료비</v>
          </cell>
          <cell r="E297" t="str">
            <v>시간당단가</v>
          </cell>
          <cell r="F297" t="str">
            <v>hr</v>
          </cell>
          <cell r="G297">
            <v>8</v>
          </cell>
          <cell r="H297">
            <v>18085</v>
          </cell>
          <cell r="I297">
            <v>144680</v>
          </cell>
          <cell r="N297">
            <v>18085</v>
          </cell>
          <cell r="O297">
            <v>144680</v>
          </cell>
          <cell r="P297" t="str">
            <v>제m12호표</v>
          </cell>
        </row>
        <row r="298">
          <cell r="D298" t="str">
            <v xml:space="preserve">  노무비</v>
          </cell>
          <cell r="E298" t="str">
            <v>시간당단가</v>
          </cell>
          <cell r="F298" t="str">
            <v>hr</v>
          </cell>
          <cell r="G298">
            <v>8</v>
          </cell>
          <cell r="J298">
            <v>20522</v>
          </cell>
          <cell r="K298">
            <v>164176</v>
          </cell>
          <cell r="N298">
            <v>20522</v>
          </cell>
          <cell r="O298">
            <v>164176</v>
          </cell>
        </row>
        <row r="299">
          <cell r="D299" t="str">
            <v xml:space="preserve">  경비</v>
          </cell>
          <cell r="E299" t="str">
            <v>시간당단가</v>
          </cell>
          <cell r="F299" t="str">
            <v>hr</v>
          </cell>
          <cell r="G299">
            <v>8</v>
          </cell>
          <cell r="L299">
            <v>7823</v>
          </cell>
          <cell r="M299">
            <v>62584</v>
          </cell>
          <cell r="N299">
            <v>7823</v>
          </cell>
          <cell r="O299">
            <v>62584</v>
          </cell>
        </row>
        <row r="302">
          <cell r="D302" t="str">
            <v>계</v>
          </cell>
          <cell r="E302" t="str">
            <v>150㎡</v>
          </cell>
          <cell r="I302">
            <v>2821560</v>
          </cell>
          <cell r="K302">
            <v>809212</v>
          </cell>
          <cell r="M302">
            <v>251768</v>
          </cell>
          <cell r="O302">
            <v>3882540</v>
          </cell>
        </row>
        <row r="303">
          <cell r="D303" t="str">
            <v>계</v>
          </cell>
          <cell r="E303" t="str">
            <v>1㎡</v>
          </cell>
          <cell r="G303">
            <v>6.6666666666666671E-3</v>
          </cell>
          <cell r="I303">
            <v>18810</v>
          </cell>
          <cell r="K303">
            <v>5394</v>
          </cell>
          <cell r="M303">
            <v>1678</v>
          </cell>
          <cell r="O303">
            <v>25882</v>
          </cell>
        </row>
        <row r="305">
          <cell r="D305" t="str">
            <v>합계</v>
          </cell>
          <cell r="F305" t="str">
            <v>㎥</v>
          </cell>
          <cell r="G305">
            <v>1</v>
          </cell>
          <cell r="I305">
            <v>18810</v>
          </cell>
          <cell r="K305">
            <v>5394</v>
          </cell>
          <cell r="M305">
            <v>1678</v>
          </cell>
          <cell r="O305">
            <v>25882</v>
          </cell>
        </row>
        <row r="306">
          <cell r="A306">
            <v>16</v>
          </cell>
          <cell r="B306">
            <v>3</v>
          </cell>
          <cell r="C306" t="str">
            <v>제16호표</v>
          </cell>
          <cell r="D306" t="str">
            <v>보도용 투스콘포장</v>
          </cell>
          <cell r="E306" t="str">
            <v>적색 (180Kg/㎠)</v>
          </cell>
          <cell r="F306" t="str">
            <v>㎡</v>
          </cell>
          <cell r="G306">
            <v>1</v>
          </cell>
          <cell r="I306">
            <v>8387</v>
          </cell>
          <cell r="K306">
            <v>1999</v>
          </cell>
          <cell r="M306">
            <v>482</v>
          </cell>
          <cell r="O306">
            <v>10868</v>
          </cell>
          <cell r="P306" t="str">
            <v>토12-3-3</v>
          </cell>
        </row>
        <row r="308">
          <cell r="D308" t="str">
            <v>보도용 투스콘포장</v>
          </cell>
          <cell r="E308" t="str">
            <v>적색 (180Kg/㎠)</v>
          </cell>
        </row>
        <row r="309">
          <cell r="D309" t="str">
            <v>1. 재료비</v>
          </cell>
          <cell r="E309" t="str">
            <v>시공량 : 400㎡</v>
          </cell>
        </row>
        <row r="310">
          <cell r="B310" t="str">
            <v>투스콘크리트(적색)180Kg/㎠</v>
          </cell>
          <cell r="D310" t="str">
            <v>투스콘크리트(적색)</v>
          </cell>
          <cell r="E310" t="str">
            <v>400 x 0.06 = 24㎥</v>
          </cell>
          <cell r="F310" t="str">
            <v>㎥</v>
          </cell>
          <cell r="G310">
            <v>24</v>
          </cell>
          <cell r="H310">
            <v>130000</v>
          </cell>
          <cell r="I310">
            <v>3120000</v>
          </cell>
          <cell r="J310">
            <v>0</v>
          </cell>
          <cell r="L310">
            <v>0</v>
          </cell>
          <cell r="N310">
            <v>130000</v>
          </cell>
          <cell r="O310">
            <v>3120000</v>
          </cell>
        </row>
        <row r="312">
          <cell r="D312" t="str">
            <v>2. 노무비</v>
          </cell>
          <cell r="E312" t="str">
            <v>시공량 : 400㎡</v>
          </cell>
        </row>
        <row r="313">
          <cell r="D313" t="str">
            <v>특별인부</v>
          </cell>
          <cell r="F313" t="str">
            <v>인</v>
          </cell>
          <cell r="G313">
            <v>1</v>
          </cell>
          <cell r="J313">
            <v>97951</v>
          </cell>
          <cell r="K313">
            <v>97951</v>
          </cell>
          <cell r="N313">
            <v>97951</v>
          </cell>
          <cell r="O313">
            <v>97951</v>
          </cell>
        </row>
        <row r="314">
          <cell r="D314" t="str">
            <v>보통인부</v>
          </cell>
          <cell r="F314" t="str">
            <v>인</v>
          </cell>
          <cell r="G314">
            <v>3</v>
          </cell>
          <cell r="J314">
            <v>81443</v>
          </cell>
          <cell r="K314">
            <v>244329</v>
          </cell>
          <cell r="N314">
            <v>81443</v>
          </cell>
          <cell r="O314">
            <v>244329</v>
          </cell>
        </row>
        <row r="315">
          <cell r="D315" t="str">
            <v>잡재료</v>
          </cell>
          <cell r="E315" t="str">
            <v>노무비의 5%</v>
          </cell>
          <cell r="F315" t="str">
            <v>%</v>
          </cell>
          <cell r="G315">
            <v>5</v>
          </cell>
          <cell r="H315">
            <v>342280</v>
          </cell>
          <cell r="I315">
            <v>17114</v>
          </cell>
          <cell r="N315">
            <v>342280</v>
          </cell>
          <cell r="O315">
            <v>17114</v>
          </cell>
        </row>
        <row r="318">
          <cell r="D318" t="str">
            <v>3. 기계경비</v>
          </cell>
          <cell r="E318" t="str">
            <v>시공량 : 400㎡</v>
          </cell>
        </row>
        <row r="320">
          <cell r="D320" t="str">
            <v>3.1 플레이트 콤팩트</v>
          </cell>
          <cell r="E320" t="str">
            <v>1.5ton</v>
          </cell>
          <cell r="F320" t="str">
            <v>대</v>
          </cell>
          <cell r="G320">
            <v>1</v>
          </cell>
        </row>
        <row r="321">
          <cell r="D321" t="str">
            <v>재료비</v>
          </cell>
          <cell r="E321" t="str">
            <v>시간당단가</v>
          </cell>
          <cell r="F321" t="str">
            <v>hr</v>
          </cell>
          <cell r="G321">
            <v>8</v>
          </cell>
          <cell r="H321">
            <v>2001</v>
          </cell>
          <cell r="I321">
            <v>16008</v>
          </cell>
          <cell r="N321">
            <v>2001</v>
          </cell>
          <cell r="O321">
            <v>16008</v>
          </cell>
          <cell r="P321" t="str">
            <v>제m2호표</v>
          </cell>
        </row>
        <row r="322">
          <cell r="D322" t="str">
            <v>노무비</v>
          </cell>
          <cell r="E322" t="str">
            <v>시간당단가</v>
          </cell>
          <cell r="F322" t="str">
            <v>hr</v>
          </cell>
          <cell r="G322">
            <v>8</v>
          </cell>
          <cell r="J322">
            <v>17260</v>
          </cell>
          <cell r="K322">
            <v>138080</v>
          </cell>
          <cell r="N322">
            <v>17260</v>
          </cell>
          <cell r="O322">
            <v>138080</v>
          </cell>
        </row>
        <row r="323">
          <cell r="D323" t="str">
            <v>경비</v>
          </cell>
          <cell r="E323" t="str">
            <v>시간당단가</v>
          </cell>
          <cell r="F323" t="str">
            <v>hr</v>
          </cell>
          <cell r="G323">
            <v>8</v>
          </cell>
          <cell r="L323">
            <v>479</v>
          </cell>
          <cell r="M323">
            <v>3832</v>
          </cell>
          <cell r="N323">
            <v>479</v>
          </cell>
          <cell r="O323">
            <v>3832</v>
          </cell>
        </row>
        <row r="325">
          <cell r="D325" t="str">
            <v>3.2 진동롤러(핸드가이드식)</v>
          </cell>
          <cell r="E325" t="str">
            <v>0.7ton</v>
          </cell>
          <cell r="F325" t="str">
            <v>대</v>
          </cell>
          <cell r="G325">
            <v>1</v>
          </cell>
        </row>
        <row r="326">
          <cell r="D326" t="str">
            <v>재료비</v>
          </cell>
          <cell r="E326" t="str">
            <v>시간당단가</v>
          </cell>
          <cell r="F326" t="str">
            <v>hr</v>
          </cell>
          <cell r="G326">
            <v>8</v>
          </cell>
          <cell r="H326">
            <v>3718</v>
          </cell>
          <cell r="I326">
            <v>29744</v>
          </cell>
          <cell r="N326">
            <v>3718</v>
          </cell>
          <cell r="O326">
            <v>29744</v>
          </cell>
          <cell r="P326" t="str">
            <v>제m9호표</v>
          </cell>
        </row>
        <row r="327">
          <cell r="D327" t="str">
            <v>노무비</v>
          </cell>
          <cell r="E327" t="str">
            <v>시간당단가</v>
          </cell>
          <cell r="F327" t="str">
            <v>hr</v>
          </cell>
          <cell r="G327">
            <v>8</v>
          </cell>
          <cell r="J327">
            <v>17260</v>
          </cell>
          <cell r="K327">
            <v>138080</v>
          </cell>
          <cell r="N327">
            <v>17260</v>
          </cell>
          <cell r="O327">
            <v>138080</v>
          </cell>
        </row>
        <row r="328">
          <cell r="D328" t="str">
            <v>경비</v>
          </cell>
          <cell r="E328" t="str">
            <v>시간당단가</v>
          </cell>
          <cell r="F328" t="str">
            <v>hr</v>
          </cell>
          <cell r="G328">
            <v>8</v>
          </cell>
          <cell r="L328">
            <v>1563</v>
          </cell>
          <cell r="M328">
            <v>12504</v>
          </cell>
          <cell r="N328">
            <v>1563</v>
          </cell>
          <cell r="O328">
            <v>12504</v>
          </cell>
        </row>
        <row r="330">
          <cell r="D330" t="str">
            <v>3.3 굴삭기</v>
          </cell>
          <cell r="E330" t="str">
            <v>0.6㎥</v>
          </cell>
          <cell r="F330" t="str">
            <v>대</v>
          </cell>
          <cell r="G330">
            <v>1</v>
          </cell>
        </row>
        <row r="331">
          <cell r="D331" t="str">
            <v>재료비</v>
          </cell>
          <cell r="E331" t="str">
            <v>시간당단가</v>
          </cell>
          <cell r="F331" t="str">
            <v>hr</v>
          </cell>
          <cell r="G331">
            <v>8</v>
          </cell>
          <cell r="H331">
            <v>21517</v>
          </cell>
          <cell r="I331">
            <v>172136</v>
          </cell>
          <cell r="N331">
            <v>21517</v>
          </cell>
          <cell r="O331">
            <v>172136</v>
          </cell>
          <cell r="P331" t="str">
            <v>제m1호표</v>
          </cell>
        </row>
        <row r="332">
          <cell r="D332" t="str">
            <v>노무비</v>
          </cell>
          <cell r="E332" t="str">
            <v>시간당단가</v>
          </cell>
          <cell r="F332" t="str">
            <v>hr</v>
          </cell>
          <cell r="G332">
            <v>8</v>
          </cell>
          <cell r="J332">
            <v>22648</v>
          </cell>
          <cell r="K332">
            <v>181184</v>
          </cell>
          <cell r="N332">
            <v>22648</v>
          </cell>
          <cell r="O332">
            <v>181184</v>
          </cell>
        </row>
        <row r="333">
          <cell r="D333" t="str">
            <v>경비</v>
          </cell>
          <cell r="E333" t="str">
            <v>시간당단가</v>
          </cell>
          <cell r="F333" t="str">
            <v>hr</v>
          </cell>
          <cell r="G333">
            <v>8</v>
          </cell>
          <cell r="L333">
            <v>22085</v>
          </cell>
          <cell r="M333">
            <v>176680</v>
          </cell>
          <cell r="N333">
            <v>22085</v>
          </cell>
          <cell r="O333">
            <v>176680</v>
          </cell>
        </row>
        <row r="335">
          <cell r="D335" t="str">
            <v>계</v>
          </cell>
          <cell r="E335" t="str">
            <v>400㎡</v>
          </cell>
          <cell r="I335">
            <v>3355002</v>
          </cell>
          <cell r="K335">
            <v>799624</v>
          </cell>
          <cell r="M335">
            <v>193016</v>
          </cell>
          <cell r="O335">
            <v>4347642</v>
          </cell>
        </row>
        <row r="336">
          <cell r="D336" t="str">
            <v>계</v>
          </cell>
          <cell r="E336" t="str">
            <v>1㎡</v>
          </cell>
          <cell r="G336">
            <v>2.5000000000000001E-3</v>
          </cell>
          <cell r="I336">
            <v>8387</v>
          </cell>
          <cell r="K336">
            <v>1999</v>
          </cell>
          <cell r="M336">
            <v>482</v>
          </cell>
          <cell r="O336">
            <v>10869</v>
          </cell>
        </row>
        <row r="338">
          <cell r="D338" t="str">
            <v>합계</v>
          </cell>
          <cell r="F338" t="str">
            <v>㎡</v>
          </cell>
          <cell r="G338">
            <v>1</v>
          </cell>
          <cell r="I338">
            <v>8387</v>
          </cell>
          <cell r="K338">
            <v>1999</v>
          </cell>
          <cell r="M338">
            <v>482</v>
          </cell>
          <cell r="O338">
            <v>10868</v>
          </cell>
        </row>
        <row r="340">
          <cell r="A340">
            <v>17</v>
          </cell>
          <cell r="B340">
            <v>3</v>
          </cell>
          <cell r="C340" t="str">
            <v>제17호표</v>
          </cell>
          <cell r="D340" t="str">
            <v>택코팅</v>
          </cell>
          <cell r="E340" t="str">
            <v>RSC-4</v>
          </cell>
          <cell r="F340" t="str">
            <v>㎡</v>
          </cell>
          <cell r="G340">
            <v>1</v>
          </cell>
          <cell r="I340">
            <v>242</v>
          </cell>
          <cell r="K340">
            <v>43</v>
          </cell>
          <cell r="M340">
            <v>0</v>
          </cell>
          <cell r="O340">
            <v>285</v>
          </cell>
          <cell r="P340" t="str">
            <v>토12-3-1</v>
          </cell>
        </row>
        <row r="341">
          <cell r="D341" t="str">
            <v>택코팅</v>
          </cell>
          <cell r="E341" t="str">
            <v>RSC-4</v>
          </cell>
        </row>
        <row r="343">
          <cell r="D343" t="str">
            <v>1. 재료비</v>
          </cell>
          <cell r="E343" t="str">
            <v>시공량: 8000㎡=80a</v>
          </cell>
        </row>
        <row r="344">
          <cell r="D344" t="str">
            <v>택코팅</v>
          </cell>
          <cell r="E344" t="str">
            <v>80a x 30ℓ/a / 200ℓ</v>
          </cell>
          <cell r="F344" t="str">
            <v>D/M</v>
          </cell>
          <cell r="G344">
            <v>12</v>
          </cell>
          <cell r="H344">
            <v>160000</v>
          </cell>
          <cell r="I344">
            <v>1920000</v>
          </cell>
          <cell r="K344">
            <v>0</v>
          </cell>
          <cell r="M344">
            <v>0</v>
          </cell>
          <cell r="N344">
            <v>160000</v>
          </cell>
          <cell r="O344">
            <v>1920000</v>
          </cell>
        </row>
        <row r="346">
          <cell r="D346" t="str">
            <v>2. 노무비</v>
          </cell>
          <cell r="E346" t="str">
            <v>시공량 : 8000㎡</v>
          </cell>
        </row>
        <row r="347">
          <cell r="D347" t="str">
            <v>보통인부</v>
          </cell>
          <cell r="E347">
            <v>2</v>
          </cell>
          <cell r="F347" t="str">
            <v>인</v>
          </cell>
          <cell r="G347">
            <v>2</v>
          </cell>
          <cell r="J347">
            <v>81443</v>
          </cell>
          <cell r="K347">
            <v>162886</v>
          </cell>
          <cell r="N347">
            <v>81443</v>
          </cell>
          <cell r="O347">
            <v>162886</v>
          </cell>
        </row>
        <row r="350">
          <cell r="D350" t="str">
            <v>3. 기계경비</v>
          </cell>
          <cell r="E350" t="str">
            <v>시공량 : 8000㎡</v>
          </cell>
        </row>
        <row r="351">
          <cell r="D351" t="str">
            <v>아스팔트스프레이어(수동식)</v>
          </cell>
          <cell r="E351" t="str">
            <v>400ℓ</v>
          </cell>
          <cell r="F351" t="str">
            <v>대</v>
          </cell>
          <cell r="G351">
            <v>1</v>
          </cell>
        </row>
        <row r="352">
          <cell r="D352" t="str">
            <v>재료비</v>
          </cell>
          <cell r="E352" t="str">
            <v>시간당단가</v>
          </cell>
          <cell r="F352" t="str">
            <v>hr</v>
          </cell>
          <cell r="G352">
            <v>8</v>
          </cell>
          <cell r="H352">
            <v>2121</v>
          </cell>
          <cell r="I352">
            <v>16968</v>
          </cell>
          <cell r="N352">
            <v>2121</v>
          </cell>
          <cell r="O352">
            <v>16968</v>
          </cell>
          <cell r="P352" t="str">
            <v>제m10호표</v>
          </cell>
        </row>
        <row r="353">
          <cell r="D353" t="str">
            <v>노무비</v>
          </cell>
          <cell r="E353" t="str">
            <v>시간당단가</v>
          </cell>
          <cell r="F353" t="str">
            <v>hr</v>
          </cell>
          <cell r="G353">
            <v>8</v>
          </cell>
          <cell r="J353">
            <v>22648</v>
          </cell>
          <cell r="K353">
            <v>181184</v>
          </cell>
          <cell r="N353">
            <v>22648</v>
          </cell>
          <cell r="O353">
            <v>181184</v>
          </cell>
        </row>
        <row r="354">
          <cell r="D354" t="str">
            <v>경비</v>
          </cell>
          <cell r="E354" t="str">
            <v>시간당단가</v>
          </cell>
          <cell r="F354" t="str">
            <v>hr</v>
          </cell>
          <cell r="G354">
            <v>8</v>
          </cell>
          <cell r="L354">
            <v>595</v>
          </cell>
          <cell r="M354">
            <v>4760</v>
          </cell>
          <cell r="N354">
            <v>595</v>
          </cell>
          <cell r="O354">
            <v>4760</v>
          </cell>
        </row>
        <row r="356">
          <cell r="D356" t="str">
            <v>계</v>
          </cell>
          <cell r="E356" t="str">
            <v>8,000㎡</v>
          </cell>
          <cell r="I356">
            <v>1936968</v>
          </cell>
          <cell r="K356">
            <v>344070</v>
          </cell>
          <cell r="M356">
            <v>4760</v>
          </cell>
          <cell r="O356">
            <v>2285798</v>
          </cell>
        </row>
        <row r="357">
          <cell r="D357" t="str">
            <v>계</v>
          </cell>
          <cell r="E357" t="str">
            <v>㎡당</v>
          </cell>
          <cell r="F357" t="str">
            <v>㎡</v>
          </cell>
          <cell r="G357">
            <v>1.25E-4</v>
          </cell>
          <cell r="I357">
            <v>242</v>
          </cell>
          <cell r="K357">
            <v>43</v>
          </cell>
          <cell r="M357">
            <v>0.59499999999999997</v>
          </cell>
          <cell r="O357">
            <v>285</v>
          </cell>
        </row>
        <row r="359">
          <cell r="A359">
            <v>18</v>
          </cell>
          <cell r="B359">
            <v>3</v>
          </cell>
          <cell r="C359" t="str">
            <v>제18호표</v>
          </cell>
          <cell r="D359" t="str">
            <v>절삭후 아스팔트 덧씌우기</v>
          </cell>
          <cell r="E359" t="str">
            <v>불연속구간</v>
          </cell>
          <cell r="F359" t="str">
            <v>㎡</v>
          </cell>
          <cell r="G359">
            <v>1</v>
          </cell>
          <cell r="I359">
            <v>981</v>
          </cell>
          <cell r="K359">
            <v>960</v>
          </cell>
          <cell r="M359">
            <v>881</v>
          </cell>
          <cell r="O359">
            <v>2822</v>
          </cell>
          <cell r="P359" t="str">
            <v>토12-4-1(나)</v>
          </cell>
        </row>
        <row r="360">
          <cell r="D360" t="str">
            <v>절삭후 아스팔트 덧씌우기</v>
          </cell>
          <cell r="E360" t="str">
            <v>불연속구간</v>
          </cell>
        </row>
        <row r="362">
          <cell r="B362" t="str">
            <v>택코팅RSC-4</v>
          </cell>
          <cell r="D362" t="str">
            <v>택코팅</v>
          </cell>
          <cell r="E362" t="str">
            <v>RSC-4</v>
          </cell>
          <cell r="F362" t="str">
            <v>㎡</v>
          </cell>
          <cell r="G362">
            <v>2000</v>
          </cell>
          <cell r="H362">
            <v>242</v>
          </cell>
          <cell r="I362">
            <v>484000</v>
          </cell>
          <cell r="J362">
            <v>43</v>
          </cell>
          <cell r="K362">
            <v>86000</v>
          </cell>
          <cell r="L362">
            <v>0</v>
          </cell>
          <cell r="M362">
            <v>0</v>
          </cell>
          <cell r="N362">
            <v>285</v>
          </cell>
          <cell r="O362">
            <v>570000</v>
          </cell>
          <cell r="P362" t="str">
            <v>제17호표</v>
          </cell>
        </row>
        <row r="364">
          <cell r="D364" t="str">
            <v>1. 노무비</v>
          </cell>
          <cell r="E364" t="str">
            <v>시공량 : 2000㎡</v>
          </cell>
        </row>
        <row r="365">
          <cell r="D365" t="str">
            <v>포장공</v>
          </cell>
          <cell r="E365">
            <v>4</v>
          </cell>
          <cell r="F365" t="str">
            <v>인</v>
          </cell>
          <cell r="G365">
            <v>4</v>
          </cell>
          <cell r="J365">
            <v>105320</v>
          </cell>
          <cell r="K365">
            <v>421280</v>
          </cell>
          <cell r="N365">
            <v>105320</v>
          </cell>
          <cell r="O365">
            <v>421280</v>
          </cell>
        </row>
        <row r="366">
          <cell r="D366" t="str">
            <v>보통인부</v>
          </cell>
          <cell r="E366">
            <v>2</v>
          </cell>
          <cell r="F366" t="str">
            <v>인</v>
          </cell>
          <cell r="G366">
            <v>2</v>
          </cell>
          <cell r="J366">
            <v>81443</v>
          </cell>
          <cell r="K366">
            <v>162886</v>
          </cell>
          <cell r="N366">
            <v>81443</v>
          </cell>
          <cell r="O366">
            <v>162886</v>
          </cell>
        </row>
        <row r="368">
          <cell r="D368" t="str">
            <v>2. 기계경비</v>
          </cell>
          <cell r="E368" t="str">
            <v>시공량 : 2000㎡</v>
          </cell>
        </row>
        <row r="369">
          <cell r="D369" t="str">
            <v>2.1 노면파쇄기</v>
          </cell>
          <cell r="E369" t="str">
            <v>2m</v>
          </cell>
          <cell r="F369" t="str">
            <v>대</v>
          </cell>
          <cell r="G369">
            <v>1</v>
          </cell>
        </row>
        <row r="370">
          <cell r="D370" t="str">
            <v>재료비</v>
          </cell>
          <cell r="E370" t="str">
            <v>시간당단가</v>
          </cell>
          <cell r="F370" t="str">
            <v>hr</v>
          </cell>
          <cell r="G370">
            <v>8</v>
          </cell>
          <cell r="H370">
            <v>91453</v>
          </cell>
          <cell r="I370">
            <v>731624</v>
          </cell>
          <cell r="N370">
            <v>91453</v>
          </cell>
          <cell r="O370">
            <v>731624</v>
          </cell>
          <cell r="P370" t="str">
            <v>제m11호표</v>
          </cell>
        </row>
        <row r="371">
          <cell r="D371" t="str">
            <v>노무비</v>
          </cell>
          <cell r="E371" t="str">
            <v>시간당단가</v>
          </cell>
          <cell r="F371" t="str">
            <v>hr</v>
          </cell>
          <cell r="G371">
            <v>8</v>
          </cell>
          <cell r="J371">
            <v>22648</v>
          </cell>
          <cell r="K371">
            <v>181184</v>
          </cell>
          <cell r="N371">
            <v>22648</v>
          </cell>
          <cell r="O371">
            <v>181184</v>
          </cell>
        </row>
        <row r="372">
          <cell r="D372" t="str">
            <v>경비</v>
          </cell>
          <cell r="E372" t="str">
            <v>시간당단가</v>
          </cell>
          <cell r="F372" t="str">
            <v>hr</v>
          </cell>
          <cell r="G372">
            <v>8</v>
          </cell>
          <cell r="L372">
            <v>141984</v>
          </cell>
          <cell r="M372">
            <v>1135872</v>
          </cell>
          <cell r="N372">
            <v>141984</v>
          </cell>
          <cell r="O372">
            <v>1135872</v>
          </cell>
        </row>
        <row r="374">
          <cell r="D374" t="str">
            <v>2.2 로더(타이어)</v>
          </cell>
          <cell r="E374" t="str">
            <v>0.57㎥</v>
          </cell>
          <cell r="F374" t="str">
            <v>대</v>
          </cell>
          <cell r="G374">
            <v>1</v>
          </cell>
        </row>
        <row r="375">
          <cell r="D375" t="str">
            <v>재료비</v>
          </cell>
          <cell r="E375" t="str">
            <v>시간당단가</v>
          </cell>
          <cell r="F375" t="str">
            <v>hr</v>
          </cell>
          <cell r="G375">
            <v>8</v>
          </cell>
          <cell r="H375">
            <v>7539</v>
          </cell>
          <cell r="I375">
            <v>60312</v>
          </cell>
          <cell r="N375">
            <v>7539</v>
          </cell>
          <cell r="O375">
            <v>60312</v>
          </cell>
          <cell r="P375" t="str">
            <v>제m14호표</v>
          </cell>
        </row>
        <row r="376">
          <cell r="D376" t="str">
            <v>노무비</v>
          </cell>
          <cell r="E376" t="str">
            <v>시간당단가</v>
          </cell>
          <cell r="F376" t="str">
            <v>hr</v>
          </cell>
          <cell r="G376">
            <v>8</v>
          </cell>
          <cell r="J376">
            <v>22648</v>
          </cell>
          <cell r="K376">
            <v>181184</v>
          </cell>
          <cell r="N376">
            <v>22648</v>
          </cell>
          <cell r="O376">
            <v>181184</v>
          </cell>
        </row>
        <row r="377">
          <cell r="D377" t="str">
            <v>경비</v>
          </cell>
          <cell r="E377" t="str">
            <v>시간당단가</v>
          </cell>
          <cell r="F377" t="str">
            <v>hr</v>
          </cell>
          <cell r="G377">
            <v>8</v>
          </cell>
          <cell r="L377">
            <v>6785</v>
          </cell>
          <cell r="M377">
            <v>54280</v>
          </cell>
          <cell r="N377">
            <v>6785</v>
          </cell>
          <cell r="O377">
            <v>54280</v>
          </cell>
        </row>
        <row r="379">
          <cell r="D379" t="str">
            <v>2.3 아스팔트 피니셔</v>
          </cell>
          <cell r="E379" t="str">
            <v>3m</v>
          </cell>
          <cell r="F379" t="str">
            <v>대</v>
          </cell>
          <cell r="G379">
            <v>1</v>
          </cell>
        </row>
        <row r="380">
          <cell r="D380" t="str">
            <v>재료비</v>
          </cell>
          <cell r="E380" t="str">
            <v>시간당단가</v>
          </cell>
          <cell r="F380" t="str">
            <v>hr</v>
          </cell>
          <cell r="G380">
            <v>8</v>
          </cell>
          <cell r="H380">
            <v>20809</v>
          </cell>
          <cell r="I380">
            <v>166472</v>
          </cell>
          <cell r="N380">
            <v>20809</v>
          </cell>
          <cell r="O380">
            <v>166472</v>
          </cell>
          <cell r="P380" t="str">
            <v>제m4호표</v>
          </cell>
        </row>
        <row r="381">
          <cell r="D381" t="str">
            <v>노무비</v>
          </cell>
          <cell r="E381" t="str">
            <v>시간당단가</v>
          </cell>
          <cell r="F381" t="str">
            <v>hr</v>
          </cell>
          <cell r="G381">
            <v>8</v>
          </cell>
          <cell r="J381">
            <v>22648</v>
          </cell>
          <cell r="K381">
            <v>181184</v>
          </cell>
          <cell r="N381">
            <v>22648</v>
          </cell>
          <cell r="O381">
            <v>181184</v>
          </cell>
        </row>
        <row r="382">
          <cell r="D382" t="str">
            <v>경비</v>
          </cell>
          <cell r="E382" t="str">
            <v>시간당단가</v>
          </cell>
          <cell r="F382" t="str">
            <v>hr</v>
          </cell>
          <cell r="G382">
            <v>8</v>
          </cell>
          <cell r="L382">
            <v>30253</v>
          </cell>
          <cell r="M382">
            <v>242024</v>
          </cell>
          <cell r="N382">
            <v>30253</v>
          </cell>
          <cell r="O382">
            <v>242024</v>
          </cell>
        </row>
        <row r="384">
          <cell r="D384" t="str">
            <v>2.4 머캐덤롤러</v>
          </cell>
          <cell r="E384" t="str">
            <v>10~12ton</v>
          </cell>
          <cell r="F384" t="str">
            <v>대</v>
          </cell>
          <cell r="G384">
            <v>1</v>
          </cell>
        </row>
        <row r="385">
          <cell r="D385" t="str">
            <v>재료비</v>
          </cell>
          <cell r="E385" t="str">
            <v>시간당단가</v>
          </cell>
          <cell r="F385" t="str">
            <v>hr</v>
          </cell>
          <cell r="G385">
            <v>8</v>
          </cell>
          <cell r="H385">
            <v>16416</v>
          </cell>
          <cell r="I385">
            <v>131328</v>
          </cell>
          <cell r="N385">
            <v>16416</v>
          </cell>
          <cell r="O385">
            <v>131328</v>
          </cell>
          <cell r="P385" t="str">
            <v>제m8호표</v>
          </cell>
        </row>
        <row r="386">
          <cell r="D386" t="str">
            <v>노무비</v>
          </cell>
          <cell r="E386" t="str">
            <v>시간당단가</v>
          </cell>
          <cell r="F386" t="str">
            <v>hr</v>
          </cell>
          <cell r="G386">
            <v>8</v>
          </cell>
          <cell r="J386">
            <v>22648</v>
          </cell>
          <cell r="K386">
            <v>181184</v>
          </cell>
          <cell r="N386">
            <v>22648</v>
          </cell>
          <cell r="O386">
            <v>181184</v>
          </cell>
        </row>
        <row r="387">
          <cell r="D387" t="str">
            <v>경비</v>
          </cell>
          <cell r="E387" t="str">
            <v>시간당단가</v>
          </cell>
          <cell r="F387" t="str">
            <v>hr</v>
          </cell>
          <cell r="G387">
            <v>8</v>
          </cell>
          <cell r="L387">
            <v>8575</v>
          </cell>
          <cell r="M387">
            <v>68600</v>
          </cell>
          <cell r="N387">
            <v>8575</v>
          </cell>
          <cell r="O387">
            <v>68600</v>
          </cell>
        </row>
        <row r="389">
          <cell r="D389" t="str">
            <v>2.5 타이어롤러</v>
          </cell>
          <cell r="E389" t="str">
            <v>8~15ton</v>
          </cell>
          <cell r="F389" t="str">
            <v>대</v>
          </cell>
          <cell r="G389">
            <v>1</v>
          </cell>
        </row>
        <row r="390">
          <cell r="D390" t="str">
            <v>재료비</v>
          </cell>
          <cell r="E390" t="str">
            <v>시간당단가</v>
          </cell>
          <cell r="F390" t="str">
            <v>hr</v>
          </cell>
          <cell r="G390">
            <v>8</v>
          </cell>
          <cell r="H390">
            <v>14720</v>
          </cell>
          <cell r="I390">
            <v>117760</v>
          </cell>
          <cell r="N390">
            <v>14720</v>
          </cell>
          <cell r="O390">
            <v>117760</v>
          </cell>
          <cell r="P390" t="str">
            <v>제m7호표</v>
          </cell>
        </row>
        <row r="391">
          <cell r="D391" t="str">
            <v>노무비</v>
          </cell>
          <cell r="E391" t="str">
            <v>시간당단가</v>
          </cell>
          <cell r="F391" t="str">
            <v>hr</v>
          </cell>
          <cell r="G391">
            <v>8</v>
          </cell>
          <cell r="J391">
            <v>22648</v>
          </cell>
          <cell r="K391">
            <v>181184</v>
          </cell>
          <cell r="N391">
            <v>22648</v>
          </cell>
          <cell r="O391">
            <v>181184</v>
          </cell>
        </row>
        <row r="392">
          <cell r="D392" t="str">
            <v>경비</v>
          </cell>
          <cell r="E392" t="str">
            <v>시간당단가</v>
          </cell>
          <cell r="F392" t="str">
            <v>hr</v>
          </cell>
          <cell r="G392">
            <v>8</v>
          </cell>
          <cell r="L392">
            <v>11875</v>
          </cell>
          <cell r="M392">
            <v>95000</v>
          </cell>
          <cell r="N392">
            <v>11875</v>
          </cell>
          <cell r="O392">
            <v>95000</v>
          </cell>
        </row>
        <row r="394">
          <cell r="D394" t="str">
            <v>2.6 탠덤롤러</v>
          </cell>
          <cell r="E394" t="str">
            <v>5~8ton</v>
          </cell>
          <cell r="F394" t="str">
            <v>대</v>
          </cell>
          <cell r="G394">
            <v>1</v>
          </cell>
        </row>
        <row r="395">
          <cell r="D395" t="str">
            <v>재료비</v>
          </cell>
          <cell r="E395" t="str">
            <v>시간당단가</v>
          </cell>
          <cell r="F395" t="str">
            <v>hr</v>
          </cell>
          <cell r="G395">
            <v>8</v>
          </cell>
          <cell r="H395">
            <v>8826</v>
          </cell>
          <cell r="I395">
            <v>70608</v>
          </cell>
          <cell r="N395">
            <v>8826</v>
          </cell>
          <cell r="O395">
            <v>70608</v>
          </cell>
          <cell r="P395" t="str">
            <v>제m6호표</v>
          </cell>
        </row>
        <row r="396">
          <cell r="D396" t="str">
            <v>노무비</v>
          </cell>
          <cell r="E396" t="str">
            <v>시간당단가</v>
          </cell>
          <cell r="F396" t="str">
            <v>hr</v>
          </cell>
          <cell r="G396">
            <v>8</v>
          </cell>
          <cell r="J396">
            <v>22648</v>
          </cell>
          <cell r="K396">
            <v>181184</v>
          </cell>
          <cell r="N396">
            <v>22648</v>
          </cell>
          <cell r="O396">
            <v>181184</v>
          </cell>
        </row>
        <row r="397">
          <cell r="D397" t="str">
            <v>경비</v>
          </cell>
          <cell r="E397" t="str">
            <v>시간당단가</v>
          </cell>
          <cell r="F397" t="str">
            <v>hr</v>
          </cell>
          <cell r="G397">
            <v>8</v>
          </cell>
          <cell r="L397">
            <v>5877</v>
          </cell>
          <cell r="M397">
            <v>47016</v>
          </cell>
          <cell r="N397">
            <v>5877</v>
          </cell>
          <cell r="O397">
            <v>47016</v>
          </cell>
        </row>
        <row r="399">
          <cell r="D399" t="str">
            <v>2.7 살수차</v>
          </cell>
          <cell r="E399" t="str">
            <v>16,000ℓ</v>
          </cell>
          <cell r="F399" t="str">
            <v>대</v>
          </cell>
          <cell r="G399">
            <v>1</v>
          </cell>
        </row>
        <row r="400">
          <cell r="D400" t="str">
            <v xml:space="preserve">  재료비</v>
          </cell>
          <cell r="E400" t="str">
            <v>시간당단가</v>
          </cell>
          <cell r="F400" t="str">
            <v>hr</v>
          </cell>
          <cell r="G400">
            <v>8</v>
          </cell>
          <cell r="H400">
            <v>25087</v>
          </cell>
          <cell r="I400">
            <v>200696</v>
          </cell>
          <cell r="N400">
            <v>25087</v>
          </cell>
          <cell r="O400">
            <v>200696</v>
          </cell>
          <cell r="P400" t="str">
            <v>제m13호표</v>
          </cell>
        </row>
        <row r="401">
          <cell r="D401" t="str">
            <v xml:space="preserve">  노무비</v>
          </cell>
          <cell r="E401" t="str">
            <v>시간당단가</v>
          </cell>
          <cell r="F401" t="str">
            <v>hr</v>
          </cell>
          <cell r="G401">
            <v>8</v>
          </cell>
          <cell r="J401">
            <v>20522</v>
          </cell>
          <cell r="K401">
            <v>164176</v>
          </cell>
          <cell r="N401">
            <v>20522</v>
          </cell>
          <cell r="O401">
            <v>164176</v>
          </cell>
        </row>
        <row r="402">
          <cell r="D402" t="str">
            <v xml:space="preserve">  경비</v>
          </cell>
          <cell r="E402" t="str">
            <v>시간당단가</v>
          </cell>
          <cell r="F402" t="str">
            <v>hr</v>
          </cell>
          <cell r="G402">
            <v>8</v>
          </cell>
          <cell r="L402">
            <v>15005</v>
          </cell>
          <cell r="M402">
            <v>120040</v>
          </cell>
          <cell r="N402">
            <v>15005</v>
          </cell>
          <cell r="O402">
            <v>120040</v>
          </cell>
        </row>
        <row r="403">
          <cell r="D403" t="str">
            <v>계</v>
          </cell>
          <cell r="E403" t="str">
            <v>2,000㎡</v>
          </cell>
          <cell r="I403">
            <v>1962800</v>
          </cell>
          <cell r="K403">
            <v>1921446</v>
          </cell>
          <cell r="M403">
            <v>1762832</v>
          </cell>
          <cell r="O403">
            <v>5647078</v>
          </cell>
        </row>
        <row r="404">
          <cell r="D404" t="str">
            <v>계</v>
          </cell>
          <cell r="E404" t="str">
            <v>㎡당</v>
          </cell>
          <cell r="F404" t="str">
            <v>㎡</v>
          </cell>
          <cell r="G404">
            <v>5.0000000000000001E-4</v>
          </cell>
          <cell r="I404">
            <v>981</v>
          </cell>
          <cell r="K404">
            <v>960</v>
          </cell>
          <cell r="M404">
            <v>881.41600000000005</v>
          </cell>
          <cell r="O404">
            <v>2822</v>
          </cell>
        </row>
        <row r="406">
          <cell r="D406" t="str">
            <v>합계</v>
          </cell>
          <cell r="F406" t="str">
            <v>㎡</v>
          </cell>
          <cell r="G406">
            <v>1</v>
          </cell>
          <cell r="I406">
            <v>981</v>
          </cell>
          <cell r="K406">
            <v>960</v>
          </cell>
          <cell r="M406">
            <v>881</v>
          </cell>
          <cell r="O406">
            <v>2822</v>
          </cell>
        </row>
        <row r="407">
          <cell r="A407">
            <v>19</v>
          </cell>
          <cell r="B407">
            <v>3</v>
          </cell>
          <cell r="C407" t="str">
            <v>제19호표</v>
          </cell>
          <cell r="D407" t="str">
            <v>보도블럭 철거 및 복구</v>
          </cell>
          <cell r="E407" t="str">
            <v>소형고압블럭(20% 신설)</v>
          </cell>
          <cell r="F407" t="str">
            <v>㎡</v>
          </cell>
          <cell r="G407">
            <v>1</v>
          </cell>
          <cell r="I407">
            <v>1496.9802000000002</v>
          </cell>
          <cell r="K407">
            <v>3784.2209999999995</v>
          </cell>
          <cell r="M407">
            <v>853.50599999999997</v>
          </cell>
          <cell r="O407">
            <v>6134</v>
          </cell>
          <cell r="P407" t="str">
            <v>토12-3-3</v>
          </cell>
        </row>
        <row r="409">
          <cell r="D409" t="str">
            <v>보도블럭 철거 및 복구</v>
          </cell>
          <cell r="E409" t="str">
            <v>소형고압블럭(20% 신설)</v>
          </cell>
          <cell r="F409" t="str">
            <v>㎡</v>
          </cell>
          <cell r="G409">
            <v>1</v>
          </cell>
        </row>
        <row r="411">
          <cell r="D411" t="str">
            <v>소형고압블록포장(보도포장) 일당 300㎡</v>
          </cell>
        </row>
        <row r="412">
          <cell r="D412" t="str">
            <v>플레이드콤펙터</v>
          </cell>
          <cell r="E412" t="str">
            <v>1.5ton</v>
          </cell>
          <cell r="F412" t="str">
            <v>hr</v>
          </cell>
          <cell r="G412">
            <v>8</v>
          </cell>
          <cell r="H412">
            <v>2001</v>
          </cell>
          <cell r="I412">
            <v>16008</v>
          </cell>
          <cell r="J412">
            <v>17260</v>
          </cell>
          <cell r="K412">
            <v>138080</v>
          </cell>
          <cell r="L412">
            <v>479</v>
          </cell>
          <cell r="M412">
            <v>3832</v>
          </cell>
          <cell r="N412">
            <v>19740</v>
          </cell>
          <cell r="O412">
            <v>157920</v>
          </cell>
          <cell r="P412" t="str">
            <v>제m2호표</v>
          </cell>
        </row>
        <row r="413">
          <cell r="D413" t="str">
            <v>굴삭기</v>
          </cell>
          <cell r="E413" t="str">
            <v>0.6㎥</v>
          </cell>
          <cell r="F413" t="str">
            <v>hr</v>
          </cell>
          <cell r="G413">
            <v>8</v>
          </cell>
          <cell r="H413">
            <v>21517</v>
          </cell>
          <cell r="I413">
            <v>172136</v>
          </cell>
          <cell r="J413">
            <v>22648</v>
          </cell>
          <cell r="K413">
            <v>181184</v>
          </cell>
          <cell r="L413">
            <v>22085</v>
          </cell>
          <cell r="M413">
            <v>176680</v>
          </cell>
          <cell r="N413">
            <v>66250</v>
          </cell>
          <cell r="O413">
            <v>530000</v>
          </cell>
          <cell r="P413" t="str">
            <v>제m1호표</v>
          </cell>
        </row>
        <row r="414">
          <cell r="D414" t="str">
            <v>특별인부</v>
          </cell>
          <cell r="E414">
            <v>2</v>
          </cell>
          <cell r="G414">
            <v>2</v>
          </cell>
          <cell r="J414">
            <v>97951</v>
          </cell>
          <cell r="K414">
            <v>195902</v>
          </cell>
          <cell r="N414">
            <v>97951</v>
          </cell>
          <cell r="O414">
            <v>195902</v>
          </cell>
        </row>
        <row r="415">
          <cell r="D415" t="str">
            <v>보통인부</v>
          </cell>
          <cell r="E415">
            <v>4</v>
          </cell>
          <cell r="G415">
            <v>4</v>
          </cell>
          <cell r="J415">
            <v>81443</v>
          </cell>
          <cell r="K415">
            <v>325772</v>
          </cell>
          <cell r="N415">
            <v>81443</v>
          </cell>
          <cell r="O415">
            <v>325772</v>
          </cell>
        </row>
        <row r="416">
          <cell r="D416" t="str">
            <v>블록</v>
          </cell>
          <cell r="E416" t="str">
            <v>t=6cm</v>
          </cell>
          <cell r="F416" t="str">
            <v>㎡</v>
          </cell>
          <cell r="G416">
            <v>312</v>
          </cell>
          <cell r="H416">
            <v>5000</v>
          </cell>
          <cell r="I416">
            <v>1560000</v>
          </cell>
          <cell r="N416">
            <v>5000</v>
          </cell>
          <cell r="O416">
            <v>1560000</v>
          </cell>
        </row>
        <row r="417">
          <cell r="D417" t="str">
            <v>모래</v>
          </cell>
          <cell r="E417" t="str">
            <v>t=4cm</v>
          </cell>
          <cell r="F417" t="str">
            <v>㎥</v>
          </cell>
          <cell r="G417">
            <v>13.200000000000001</v>
          </cell>
          <cell r="H417">
            <v>22000</v>
          </cell>
          <cell r="I417">
            <v>290400</v>
          </cell>
          <cell r="N417">
            <v>22000</v>
          </cell>
          <cell r="O417">
            <v>290400</v>
          </cell>
        </row>
        <row r="418">
          <cell r="D418" t="str">
            <v>잡재료비</v>
          </cell>
          <cell r="E418" t="str">
            <v>노무비의 5%</v>
          </cell>
          <cell r="F418" t="str">
            <v>%</v>
          </cell>
          <cell r="G418">
            <v>5</v>
          </cell>
          <cell r="H418">
            <v>521674</v>
          </cell>
          <cell r="I418">
            <v>26083</v>
          </cell>
          <cell r="N418">
            <v>521674</v>
          </cell>
          <cell r="O418">
            <v>26083</v>
          </cell>
        </row>
        <row r="419">
          <cell r="D419" t="str">
            <v>공구손료</v>
          </cell>
          <cell r="E419" t="str">
            <v>노무비의 3%</v>
          </cell>
          <cell r="F419" t="str">
            <v>%</v>
          </cell>
          <cell r="G419">
            <v>3</v>
          </cell>
          <cell r="L419">
            <v>521674</v>
          </cell>
          <cell r="M419">
            <v>15650</v>
          </cell>
          <cell r="N419">
            <v>521674</v>
          </cell>
          <cell r="O419">
            <v>15650</v>
          </cell>
        </row>
        <row r="420">
          <cell r="D420" t="str">
            <v>계</v>
          </cell>
          <cell r="E420" t="str">
            <v>300㎡</v>
          </cell>
          <cell r="I420">
            <v>2064627</v>
          </cell>
          <cell r="K420">
            <v>840938</v>
          </cell>
          <cell r="M420">
            <v>196162</v>
          </cell>
          <cell r="O420">
            <v>3101727</v>
          </cell>
        </row>
        <row r="421">
          <cell r="D421" t="str">
            <v>계</v>
          </cell>
          <cell r="E421" t="str">
            <v xml:space="preserve">1㎡당 신설 </v>
          </cell>
          <cell r="G421">
            <v>3.0000000000000001E-3</v>
          </cell>
          <cell r="I421">
            <v>6193.8810000000003</v>
          </cell>
          <cell r="K421">
            <v>2522.8139999999999</v>
          </cell>
          <cell r="M421">
            <v>588.48599999999999</v>
          </cell>
          <cell r="O421">
            <v>9305.1810000000005</v>
          </cell>
        </row>
        <row r="422">
          <cell r="D422" t="str">
            <v>계</v>
          </cell>
          <cell r="E422" t="str">
            <v>1㎡당 신설(재료비20% 적용)</v>
          </cell>
          <cell r="F422" t="str">
            <v>㎡</v>
          </cell>
          <cell r="G422">
            <v>1</v>
          </cell>
          <cell r="I422">
            <v>1238.7762000000002</v>
          </cell>
          <cell r="K422">
            <v>2522.8139999999999</v>
          </cell>
          <cell r="M422">
            <v>588.48599999999999</v>
          </cell>
          <cell r="O422">
            <v>4350.0762000000004</v>
          </cell>
        </row>
        <row r="424">
          <cell r="D424" t="str">
            <v>보도블럭 철거</v>
          </cell>
        </row>
        <row r="425">
          <cell r="D425" t="str">
            <v>해체노무비</v>
          </cell>
          <cell r="E425" t="str">
            <v>설치노무비의 50%</v>
          </cell>
          <cell r="F425" t="str">
            <v>식</v>
          </cell>
          <cell r="G425">
            <v>0.5</v>
          </cell>
          <cell r="J425">
            <v>2522.8139999999999</v>
          </cell>
          <cell r="K425">
            <v>1261.4069999999999</v>
          </cell>
          <cell r="N425">
            <v>2522.8139999999999</v>
          </cell>
          <cell r="O425">
            <v>1261.4069999999999</v>
          </cell>
          <cell r="P425" t="str">
            <v>굴삭기노임포함</v>
          </cell>
        </row>
        <row r="426">
          <cell r="D426" t="str">
            <v>굴삭기</v>
          </cell>
          <cell r="E426" t="str">
            <v>설치비의 50%(노무비 제외)</v>
          </cell>
          <cell r="F426" t="str">
            <v>식</v>
          </cell>
          <cell r="G426">
            <v>0.5</v>
          </cell>
          <cell r="H426">
            <v>516.40800000000002</v>
          </cell>
          <cell r="I426">
            <v>258.20400000000001</v>
          </cell>
          <cell r="K426">
            <v>0</v>
          </cell>
          <cell r="L426">
            <v>530.04</v>
          </cell>
          <cell r="M426">
            <v>265.02</v>
          </cell>
          <cell r="N426">
            <v>1046.4479999999999</v>
          </cell>
          <cell r="O426">
            <v>523.22399999999993</v>
          </cell>
          <cell r="P426" t="str">
            <v>노임제외</v>
          </cell>
        </row>
        <row r="427">
          <cell r="D427" t="str">
            <v>계</v>
          </cell>
          <cell r="E427" t="str">
            <v>1㎡당</v>
          </cell>
          <cell r="I427">
            <v>258.20400000000001</v>
          </cell>
          <cell r="K427">
            <v>1261.4069999999999</v>
          </cell>
          <cell r="M427">
            <v>265.02</v>
          </cell>
          <cell r="O427">
            <v>1784.6309999999999</v>
          </cell>
        </row>
        <row r="429">
          <cell r="D429" t="str">
            <v>합계</v>
          </cell>
          <cell r="F429" t="str">
            <v>㎡</v>
          </cell>
          <cell r="G429">
            <v>1</v>
          </cell>
          <cell r="I429">
            <v>1496.9802000000002</v>
          </cell>
          <cell r="K429">
            <v>3784.2209999999995</v>
          </cell>
          <cell r="M429">
            <v>853.50599999999997</v>
          </cell>
          <cell r="O429">
            <v>6134.7071999999998</v>
          </cell>
        </row>
        <row r="430">
          <cell r="A430">
            <v>20</v>
          </cell>
          <cell r="B430">
            <v>3</v>
          </cell>
          <cell r="C430" t="str">
            <v>제20호표</v>
          </cell>
          <cell r="D430" t="str">
            <v>보도블럭 철거</v>
          </cell>
          <cell r="E430" t="str">
            <v>소형고압블럭</v>
          </cell>
          <cell r="F430" t="str">
            <v>㎡</v>
          </cell>
          <cell r="G430">
            <v>1</v>
          </cell>
          <cell r="I430">
            <v>258.20400000000001</v>
          </cell>
          <cell r="J430">
            <v>0</v>
          </cell>
          <cell r="K430">
            <v>1261.4069999999999</v>
          </cell>
          <cell r="L430">
            <v>0</v>
          </cell>
          <cell r="M430">
            <v>265.02</v>
          </cell>
          <cell r="O430">
            <v>1784</v>
          </cell>
          <cell r="P430" t="str">
            <v>토12-3-3</v>
          </cell>
        </row>
        <row r="432">
          <cell r="D432" t="str">
            <v>보도블럭 철거</v>
          </cell>
          <cell r="E432" t="str">
            <v>소형고압블럭</v>
          </cell>
          <cell r="F432" t="str">
            <v>㎡</v>
          </cell>
          <cell r="G432">
            <v>1</v>
          </cell>
        </row>
        <row r="433">
          <cell r="D433" t="str">
            <v>해체노무비</v>
          </cell>
          <cell r="E433" t="str">
            <v>설치노무비의 50%</v>
          </cell>
          <cell r="F433" t="str">
            <v>식</v>
          </cell>
          <cell r="G433">
            <v>0.5</v>
          </cell>
          <cell r="J433">
            <v>2522.8139999999999</v>
          </cell>
          <cell r="K433">
            <v>1261.4069999999999</v>
          </cell>
          <cell r="N433">
            <v>2522.8139999999999</v>
          </cell>
          <cell r="O433">
            <v>1261.4069999999999</v>
          </cell>
        </row>
        <row r="434">
          <cell r="D434" t="str">
            <v>굴삭기</v>
          </cell>
          <cell r="E434" t="str">
            <v>설치비의 50%</v>
          </cell>
          <cell r="F434" t="str">
            <v>식</v>
          </cell>
          <cell r="G434">
            <v>0.5</v>
          </cell>
          <cell r="H434">
            <v>516.40800000000002</v>
          </cell>
          <cell r="I434">
            <v>258.20400000000001</v>
          </cell>
          <cell r="J434">
            <v>0</v>
          </cell>
          <cell r="K434">
            <v>0</v>
          </cell>
          <cell r="L434">
            <v>530.04</v>
          </cell>
          <cell r="M434">
            <v>265.02</v>
          </cell>
          <cell r="N434">
            <v>1046.4479999999999</v>
          </cell>
          <cell r="O434">
            <v>523.22399999999993</v>
          </cell>
        </row>
        <row r="435">
          <cell r="D435" t="str">
            <v>계</v>
          </cell>
          <cell r="E435" t="str">
            <v>1㎡당</v>
          </cell>
          <cell r="G435">
            <v>1</v>
          </cell>
          <cell r="I435">
            <v>258.20400000000001</v>
          </cell>
          <cell r="K435">
            <v>1261.4069999999999</v>
          </cell>
          <cell r="M435">
            <v>265.02</v>
          </cell>
          <cell r="O435">
            <v>1784.6309999999999</v>
          </cell>
        </row>
        <row r="436">
          <cell r="A436">
            <v>21</v>
          </cell>
          <cell r="B436">
            <v>3</v>
          </cell>
          <cell r="C436" t="str">
            <v>제21호표</v>
          </cell>
          <cell r="D436" t="str">
            <v>보도블럭 설치</v>
          </cell>
          <cell r="E436" t="str">
            <v>소형고압블럭(신설)</v>
          </cell>
          <cell r="F436" t="str">
            <v>㎡</v>
          </cell>
          <cell r="G436">
            <v>1</v>
          </cell>
          <cell r="I436">
            <v>6193.8810000000003</v>
          </cell>
          <cell r="K436">
            <v>2522.8139999999999</v>
          </cell>
          <cell r="M436">
            <v>588.48599999999999</v>
          </cell>
          <cell r="O436">
            <v>9305</v>
          </cell>
          <cell r="P436" t="str">
            <v>토12-3-3</v>
          </cell>
        </row>
        <row r="438">
          <cell r="D438" t="str">
            <v>보도블럭 설치</v>
          </cell>
          <cell r="E438" t="str">
            <v>소형고압블럭(신설)</v>
          </cell>
          <cell r="F438" t="str">
            <v>㎡</v>
          </cell>
          <cell r="G438">
            <v>1</v>
          </cell>
        </row>
        <row r="440">
          <cell r="D440" t="str">
            <v>소형고압블록포장(보도포장) 일당 300㎡</v>
          </cell>
        </row>
        <row r="441">
          <cell r="D441" t="str">
            <v>플레이드콤펙터</v>
          </cell>
          <cell r="E441" t="str">
            <v>1.5ton</v>
          </cell>
          <cell r="F441" t="str">
            <v>hr</v>
          </cell>
          <cell r="G441">
            <v>8</v>
          </cell>
          <cell r="H441">
            <v>2001</v>
          </cell>
          <cell r="I441">
            <v>16008</v>
          </cell>
          <cell r="J441">
            <v>17260</v>
          </cell>
          <cell r="K441">
            <v>138080</v>
          </cell>
          <cell r="L441">
            <v>479</v>
          </cell>
          <cell r="M441">
            <v>3832</v>
          </cell>
          <cell r="N441">
            <v>19740</v>
          </cell>
          <cell r="O441">
            <v>157920</v>
          </cell>
          <cell r="P441" t="str">
            <v>제m2호표</v>
          </cell>
        </row>
        <row r="442">
          <cell r="D442" t="str">
            <v>굴삭기</v>
          </cell>
          <cell r="E442" t="str">
            <v>0.6㎥</v>
          </cell>
          <cell r="F442" t="str">
            <v>hr</v>
          </cell>
          <cell r="G442">
            <v>8</v>
          </cell>
          <cell r="H442">
            <v>21517</v>
          </cell>
          <cell r="I442">
            <v>172136</v>
          </cell>
          <cell r="J442">
            <v>22648</v>
          </cell>
          <cell r="K442">
            <v>181184</v>
          </cell>
          <cell r="L442">
            <v>22085</v>
          </cell>
          <cell r="M442">
            <v>176680</v>
          </cell>
          <cell r="N442">
            <v>66250</v>
          </cell>
          <cell r="O442">
            <v>530000</v>
          </cell>
          <cell r="P442" t="str">
            <v>제m1호표</v>
          </cell>
        </row>
        <row r="443">
          <cell r="D443" t="str">
            <v>특별인부</v>
          </cell>
          <cell r="E443">
            <v>2</v>
          </cell>
          <cell r="G443">
            <v>2</v>
          </cell>
          <cell r="J443">
            <v>97951</v>
          </cell>
          <cell r="K443">
            <v>195902</v>
          </cell>
          <cell r="N443">
            <v>97951</v>
          </cell>
          <cell r="O443">
            <v>195902</v>
          </cell>
        </row>
        <row r="444">
          <cell r="D444" t="str">
            <v>보통인부</v>
          </cell>
          <cell r="E444">
            <v>4</v>
          </cell>
          <cell r="G444">
            <v>4</v>
          </cell>
          <cell r="J444">
            <v>81443</v>
          </cell>
          <cell r="K444">
            <v>325772</v>
          </cell>
          <cell r="N444">
            <v>81443</v>
          </cell>
          <cell r="O444">
            <v>325772</v>
          </cell>
        </row>
        <row r="445">
          <cell r="D445" t="str">
            <v>블록</v>
          </cell>
          <cell r="E445" t="str">
            <v>t=6cm</v>
          </cell>
          <cell r="F445" t="str">
            <v>㎡</v>
          </cell>
          <cell r="G445">
            <v>312</v>
          </cell>
          <cell r="H445">
            <v>5000</v>
          </cell>
          <cell r="I445">
            <v>1560000</v>
          </cell>
          <cell r="N445">
            <v>5000</v>
          </cell>
          <cell r="O445">
            <v>1560000</v>
          </cell>
        </row>
        <row r="446">
          <cell r="D446" t="str">
            <v>모래</v>
          </cell>
          <cell r="E446" t="str">
            <v>t=4cm</v>
          </cell>
          <cell r="F446" t="str">
            <v>㎥</v>
          </cell>
          <cell r="G446">
            <v>13.2</v>
          </cell>
          <cell r="H446">
            <v>22000</v>
          </cell>
          <cell r="I446">
            <v>290400</v>
          </cell>
          <cell r="N446">
            <v>22000</v>
          </cell>
          <cell r="O446">
            <v>290400</v>
          </cell>
        </row>
        <row r="447">
          <cell r="D447" t="str">
            <v>잡재료비</v>
          </cell>
          <cell r="E447" t="str">
            <v>노무비의 5%</v>
          </cell>
          <cell r="F447" t="str">
            <v>%</v>
          </cell>
          <cell r="G447">
            <v>5</v>
          </cell>
          <cell r="H447">
            <v>521674</v>
          </cell>
          <cell r="I447">
            <v>26083</v>
          </cell>
          <cell r="N447">
            <v>521674</v>
          </cell>
          <cell r="O447">
            <v>26083</v>
          </cell>
        </row>
        <row r="448">
          <cell r="D448" t="str">
            <v>공구손료</v>
          </cell>
          <cell r="E448" t="str">
            <v>노무비의 3%</v>
          </cell>
          <cell r="F448" t="str">
            <v>%</v>
          </cell>
          <cell r="G448">
            <v>3</v>
          </cell>
          <cell r="L448">
            <v>521674</v>
          </cell>
          <cell r="M448">
            <v>15650</v>
          </cell>
          <cell r="N448">
            <v>521674</v>
          </cell>
          <cell r="O448">
            <v>15650</v>
          </cell>
        </row>
        <row r="449">
          <cell r="D449" t="str">
            <v>계</v>
          </cell>
          <cell r="E449" t="str">
            <v>300㎡</v>
          </cell>
          <cell r="F449" t="str">
            <v>㎡</v>
          </cell>
          <cell r="I449">
            <v>2064627</v>
          </cell>
          <cell r="K449">
            <v>840938</v>
          </cell>
          <cell r="M449">
            <v>196162</v>
          </cell>
          <cell r="O449">
            <v>3101727</v>
          </cell>
        </row>
        <row r="450">
          <cell r="D450" t="str">
            <v>㎡당</v>
          </cell>
          <cell r="E450" t="str">
            <v>1㎡당 신설</v>
          </cell>
          <cell r="F450" t="str">
            <v>㎡</v>
          </cell>
          <cell r="G450">
            <v>3.0000000000000001E-3</v>
          </cell>
          <cell r="I450">
            <v>6193.8810000000003</v>
          </cell>
          <cell r="K450">
            <v>2522.8139999999999</v>
          </cell>
          <cell r="M450">
            <v>588.48599999999999</v>
          </cell>
          <cell r="O450">
            <v>9305.1810000000005</v>
          </cell>
        </row>
        <row r="452">
          <cell r="D452" t="str">
            <v>합계</v>
          </cell>
          <cell r="F452" t="str">
            <v>㎡</v>
          </cell>
          <cell r="G452">
            <v>1</v>
          </cell>
          <cell r="I452">
            <v>6193.8810000000003</v>
          </cell>
          <cell r="K452">
            <v>2522.8139999999999</v>
          </cell>
          <cell r="M452">
            <v>588.48599999999999</v>
          </cell>
          <cell r="O452">
            <v>9305.1810000000005</v>
          </cell>
        </row>
        <row r="453">
          <cell r="A453">
            <v>22</v>
          </cell>
          <cell r="B453">
            <v>3</v>
          </cell>
          <cell r="C453" t="str">
            <v>제22호표</v>
          </cell>
          <cell r="D453" t="str">
            <v>보도블럭재사용 복구</v>
          </cell>
          <cell r="E453" t="str">
            <v>소형고압블럭</v>
          </cell>
          <cell r="F453" t="str">
            <v>㎡</v>
          </cell>
          <cell r="G453">
            <v>1</v>
          </cell>
          <cell r="I453">
            <v>1238.6000000000001</v>
          </cell>
          <cell r="J453">
            <v>0</v>
          </cell>
          <cell r="K453">
            <v>2522.8139999999999</v>
          </cell>
          <cell r="L453">
            <v>0</v>
          </cell>
          <cell r="M453">
            <v>588.48599999999999</v>
          </cell>
          <cell r="O453">
            <v>4349.8999999999996</v>
          </cell>
          <cell r="P453" t="str">
            <v>토12-3-3</v>
          </cell>
        </row>
        <row r="455">
          <cell r="D455" t="str">
            <v>보도블럭재사용 복구</v>
          </cell>
          <cell r="E455" t="str">
            <v>소형고압블럭</v>
          </cell>
          <cell r="F455" t="str">
            <v>㎡</v>
          </cell>
          <cell r="G455">
            <v>1</v>
          </cell>
        </row>
        <row r="457">
          <cell r="D457" t="str">
            <v>소형고압블록포장(보도포장) 일당 300㎡</v>
          </cell>
        </row>
        <row r="458">
          <cell r="D458" t="str">
            <v>플레이드콤펙터</v>
          </cell>
          <cell r="E458" t="str">
            <v>1.5ton</v>
          </cell>
          <cell r="F458" t="str">
            <v>hr</v>
          </cell>
          <cell r="G458">
            <v>8</v>
          </cell>
          <cell r="H458">
            <v>2001</v>
          </cell>
          <cell r="I458">
            <v>16008</v>
          </cell>
          <cell r="J458">
            <v>17260</v>
          </cell>
          <cell r="K458">
            <v>138080</v>
          </cell>
          <cell r="L458">
            <v>479</v>
          </cell>
          <cell r="M458">
            <v>3832</v>
          </cell>
          <cell r="N458">
            <v>19740</v>
          </cell>
          <cell r="O458">
            <v>157920</v>
          </cell>
          <cell r="P458" t="str">
            <v>제m2호표</v>
          </cell>
        </row>
        <row r="459">
          <cell r="D459" t="str">
            <v>굴삭기</v>
          </cell>
          <cell r="E459" t="str">
            <v>0.6㎥</v>
          </cell>
          <cell r="F459" t="str">
            <v>hr</v>
          </cell>
          <cell r="G459">
            <v>8</v>
          </cell>
          <cell r="H459">
            <v>21517</v>
          </cell>
          <cell r="I459">
            <v>172136</v>
          </cell>
          <cell r="J459">
            <v>22648</v>
          </cell>
          <cell r="K459">
            <v>181184</v>
          </cell>
          <cell r="L459">
            <v>22085</v>
          </cell>
          <cell r="M459">
            <v>176680</v>
          </cell>
          <cell r="N459">
            <v>66250</v>
          </cell>
          <cell r="O459">
            <v>530000</v>
          </cell>
          <cell r="P459" t="str">
            <v>제m1호표</v>
          </cell>
        </row>
        <row r="460">
          <cell r="D460" t="str">
            <v>특별인부</v>
          </cell>
          <cell r="E460">
            <v>2</v>
          </cell>
          <cell r="G460">
            <v>2</v>
          </cell>
          <cell r="I460">
            <v>0</v>
          </cell>
          <cell r="J460">
            <v>97951</v>
          </cell>
          <cell r="K460">
            <v>195902</v>
          </cell>
          <cell r="N460">
            <v>97951</v>
          </cell>
          <cell r="O460">
            <v>195902</v>
          </cell>
        </row>
        <row r="461">
          <cell r="D461" t="str">
            <v>보통인부</v>
          </cell>
          <cell r="E461">
            <v>4</v>
          </cell>
          <cell r="G461">
            <v>4</v>
          </cell>
          <cell r="I461">
            <v>0</v>
          </cell>
          <cell r="J461">
            <v>81443</v>
          </cell>
          <cell r="K461">
            <v>325772</v>
          </cell>
          <cell r="N461">
            <v>81443</v>
          </cell>
          <cell r="O461">
            <v>325772</v>
          </cell>
        </row>
        <row r="462">
          <cell r="D462" t="str">
            <v>블록</v>
          </cell>
          <cell r="E462" t="str">
            <v>t=6cm</v>
          </cell>
          <cell r="F462" t="str">
            <v>㎡</v>
          </cell>
          <cell r="G462">
            <v>312</v>
          </cell>
          <cell r="H462">
            <v>5000</v>
          </cell>
          <cell r="I462">
            <v>1560000</v>
          </cell>
          <cell r="N462">
            <v>5000</v>
          </cell>
          <cell r="O462">
            <v>1560000</v>
          </cell>
        </row>
        <row r="463">
          <cell r="D463" t="str">
            <v>모래</v>
          </cell>
          <cell r="E463" t="str">
            <v>t=4cm</v>
          </cell>
          <cell r="F463" t="str">
            <v>㎥</v>
          </cell>
          <cell r="G463">
            <v>13.2</v>
          </cell>
          <cell r="H463">
            <v>22000</v>
          </cell>
          <cell r="I463">
            <v>290400</v>
          </cell>
          <cell r="N463">
            <v>22000</v>
          </cell>
          <cell r="O463">
            <v>290400</v>
          </cell>
        </row>
        <row r="464">
          <cell r="D464" t="str">
            <v>잡재료비</v>
          </cell>
          <cell r="E464" t="str">
            <v>노무비의 5%</v>
          </cell>
          <cell r="F464" t="str">
            <v>%</v>
          </cell>
          <cell r="G464">
            <v>5</v>
          </cell>
          <cell r="H464">
            <v>521674</v>
          </cell>
          <cell r="I464">
            <v>26083</v>
          </cell>
          <cell r="N464">
            <v>521674</v>
          </cell>
          <cell r="O464">
            <v>26083</v>
          </cell>
        </row>
        <row r="465">
          <cell r="D465" t="str">
            <v>공구손료</v>
          </cell>
          <cell r="E465" t="str">
            <v>노무비의 3%</v>
          </cell>
          <cell r="F465" t="str">
            <v>%</v>
          </cell>
          <cell r="G465">
            <v>3</v>
          </cell>
          <cell r="I465">
            <v>0</v>
          </cell>
          <cell r="L465">
            <v>521674</v>
          </cell>
          <cell r="M465">
            <v>15650</v>
          </cell>
          <cell r="N465">
            <v>521674</v>
          </cell>
          <cell r="O465">
            <v>15650</v>
          </cell>
        </row>
        <row r="466">
          <cell r="D466" t="str">
            <v>계</v>
          </cell>
          <cell r="E466" t="str">
            <v>300㎡</v>
          </cell>
          <cell r="I466">
            <v>2064627</v>
          </cell>
          <cell r="K466">
            <v>840938</v>
          </cell>
          <cell r="M466">
            <v>196162</v>
          </cell>
          <cell r="O466">
            <v>3101727</v>
          </cell>
        </row>
        <row r="467">
          <cell r="D467" t="str">
            <v>계</v>
          </cell>
          <cell r="E467" t="str">
            <v>1㎡</v>
          </cell>
          <cell r="G467">
            <v>3.0000000000000001E-3</v>
          </cell>
          <cell r="I467">
            <v>6193</v>
          </cell>
          <cell r="K467">
            <v>2522.8139999999999</v>
          </cell>
          <cell r="M467">
            <v>588.48599999999999</v>
          </cell>
          <cell r="O467">
            <v>9304.3000000000011</v>
          </cell>
        </row>
        <row r="468">
          <cell r="D468" t="str">
            <v>계</v>
          </cell>
          <cell r="E468" t="str">
            <v>1㎡당 신설(재료비20% 적용)</v>
          </cell>
          <cell r="F468" t="str">
            <v>㎡</v>
          </cell>
          <cell r="G468">
            <v>1</v>
          </cell>
          <cell r="I468">
            <v>1238.6000000000001</v>
          </cell>
          <cell r="K468">
            <v>2522.8139999999999</v>
          </cell>
          <cell r="M468">
            <v>588.48599999999999</v>
          </cell>
          <cell r="O468">
            <v>4349.8999999999996</v>
          </cell>
        </row>
        <row r="470">
          <cell r="A470">
            <v>23</v>
          </cell>
          <cell r="B470">
            <v>3</v>
          </cell>
          <cell r="C470" t="str">
            <v>제23호표</v>
          </cell>
          <cell r="D470" t="str">
            <v>보차도경계석 설치</v>
          </cell>
          <cell r="E470" t="str">
            <v>200 x 300 x 1000</v>
          </cell>
          <cell r="F470" t="str">
            <v>m</v>
          </cell>
          <cell r="G470">
            <v>1</v>
          </cell>
          <cell r="I470">
            <v>28364</v>
          </cell>
          <cell r="K470">
            <v>10789</v>
          </cell>
          <cell r="M470">
            <v>1657</v>
          </cell>
          <cell r="O470">
            <v>40810</v>
          </cell>
          <cell r="P470" t="str">
            <v>토12-5-3</v>
          </cell>
        </row>
        <row r="472">
          <cell r="D472" t="str">
            <v>보차도경계석 설치</v>
          </cell>
          <cell r="E472" t="str">
            <v>200 x 300 x 1000</v>
          </cell>
          <cell r="F472" t="str">
            <v>m</v>
          </cell>
          <cell r="G472">
            <v>1</v>
          </cell>
        </row>
        <row r="473">
          <cell r="D473" t="str">
            <v>시공량 : 50m</v>
          </cell>
        </row>
        <row r="474">
          <cell r="B474" t="str">
            <v>화강석 보차도경계석200 x 300 x 1000</v>
          </cell>
          <cell r="C474" t="str">
            <v>재료비</v>
          </cell>
          <cell r="D474" t="str">
            <v>화강석 보차도경계석</v>
          </cell>
          <cell r="E474" t="str">
            <v>200 x 300 x 1000</v>
          </cell>
          <cell r="F474" t="str">
            <v>EA</v>
          </cell>
          <cell r="G474">
            <v>50</v>
          </cell>
          <cell r="H474">
            <v>26900</v>
          </cell>
          <cell r="I474">
            <v>1345000</v>
          </cell>
          <cell r="N474">
            <v>26900</v>
          </cell>
          <cell r="O474">
            <v>1345000</v>
          </cell>
        </row>
        <row r="476">
          <cell r="C476" t="str">
            <v>노무비</v>
          </cell>
          <cell r="D476" t="str">
            <v>트럭탑재형크레인</v>
          </cell>
          <cell r="E476" t="str">
            <v>5ton</v>
          </cell>
          <cell r="F476" t="str">
            <v>hr</v>
          </cell>
          <cell r="G476">
            <v>8</v>
          </cell>
          <cell r="H476">
            <v>9154</v>
          </cell>
          <cell r="I476">
            <v>73232</v>
          </cell>
          <cell r="J476">
            <v>20522</v>
          </cell>
          <cell r="K476">
            <v>164176</v>
          </cell>
          <cell r="L476">
            <v>10362</v>
          </cell>
          <cell r="M476">
            <v>82896</v>
          </cell>
          <cell r="N476">
            <v>40038</v>
          </cell>
          <cell r="O476">
            <v>320304</v>
          </cell>
        </row>
        <row r="477">
          <cell r="B477" t="str">
            <v>보통인부1</v>
          </cell>
          <cell r="D477" t="str">
            <v>보통인부</v>
          </cell>
          <cell r="E477">
            <v>1</v>
          </cell>
          <cell r="F477" t="str">
            <v>인</v>
          </cell>
          <cell r="G477">
            <v>1</v>
          </cell>
          <cell r="J477">
            <v>81443</v>
          </cell>
          <cell r="K477">
            <v>81443</v>
          </cell>
          <cell r="N477">
            <v>81443</v>
          </cell>
          <cell r="O477">
            <v>81443</v>
          </cell>
        </row>
        <row r="478">
          <cell r="D478" t="str">
            <v>특별인부</v>
          </cell>
          <cell r="E478">
            <v>3</v>
          </cell>
          <cell r="F478" t="str">
            <v>인</v>
          </cell>
          <cell r="G478">
            <v>3</v>
          </cell>
          <cell r="J478">
            <v>97951</v>
          </cell>
          <cell r="K478">
            <v>293853</v>
          </cell>
          <cell r="N478">
            <v>97951</v>
          </cell>
          <cell r="O478">
            <v>293853</v>
          </cell>
        </row>
        <row r="479">
          <cell r="D479" t="str">
            <v>계</v>
          </cell>
          <cell r="E479" t="str">
            <v>50m당</v>
          </cell>
          <cell r="I479">
            <v>1418232</v>
          </cell>
          <cell r="K479">
            <v>539472</v>
          </cell>
          <cell r="M479">
            <v>82896</v>
          </cell>
          <cell r="O479">
            <v>2040600</v>
          </cell>
        </row>
        <row r="480">
          <cell r="D480" t="str">
            <v>계</v>
          </cell>
          <cell r="E480" t="str">
            <v>1m당</v>
          </cell>
          <cell r="I480">
            <v>28364</v>
          </cell>
          <cell r="K480">
            <v>10789</v>
          </cell>
          <cell r="M480">
            <v>1657</v>
          </cell>
          <cell r="O480">
            <v>40810</v>
          </cell>
        </row>
        <row r="482">
          <cell r="A482">
            <v>24</v>
          </cell>
          <cell r="B482">
            <v>3</v>
          </cell>
          <cell r="C482" t="str">
            <v>제24호표</v>
          </cell>
          <cell r="D482" t="str">
            <v>보도(블럭) 굴착 및 복구</v>
          </cell>
          <cell r="E482" t="str">
            <v>전선관 70C, 2열 이하</v>
          </cell>
          <cell r="F482" t="str">
            <v>m</v>
          </cell>
          <cell r="G482">
            <v>1</v>
          </cell>
          <cell r="I482">
            <v>6138</v>
          </cell>
          <cell r="K482">
            <v>11086</v>
          </cell>
          <cell r="M482">
            <v>1937</v>
          </cell>
          <cell r="O482">
            <v>19161</v>
          </cell>
        </row>
        <row r="484">
          <cell r="D484" t="str">
            <v>보도(블럭) 굴착 및 복구</v>
          </cell>
          <cell r="E484" t="str">
            <v>전선관 70C, 2열 이하</v>
          </cell>
          <cell r="F484" t="str">
            <v>m</v>
          </cell>
          <cell r="G484">
            <v>1</v>
          </cell>
        </row>
        <row r="486">
          <cell r="B486" t="str">
            <v>보도블럭 철거 및 복구소형고압블럭(20% 신설)</v>
          </cell>
          <cell r="D486" t="str">
            <v>보도블럭 철거 및 복구</v>
          </cell>
          <cell r="E486" t="str">
            <v>소형고압블럭(20% 신설)</v>
          </cell>
          <cell r="F486" t="str">
            <v>㎡</v>
          </cell>
          <cell r="G486">
            <v>1.8</v>
          </cell>
          <cell r="H486">
            <v>1496.9802000000002</v>
          </cell>
          <cell r="I486">
            <v>2694</v>
          </cell>
          <cell r="J486">
            <v>3784.2209999999995</v>
          </cell>
          <cell r="K486">
            <v>6811</v>
          </cell>
          <cell r="L486">
            <v>853.50599999999997</v>
          </cell>
          <cell r="M486">
            <v>1536</v>
          </cell>
          <cell r="N486">
            <v>6134</v>
          </cell>
          <cell r="O486">
            <v>11041</v>
          </cell>
          <cell r="P486" t="str">
            <v>제19호표</v>
          </cell>
        </row>
        <row r="487">
          <cell r="B487" t="str">
            <v>터파기(경질토사)(기계70%+인력30%)</v>
          </cell>
          <cell r="D487" t="str">
            <v>터파기(경질토사)</v>
          </cell>
          <cell r="E487" t="str">
            <v>(기계70%+인력30%)</v>
          </cell>
          <cell r="F487" t="str">
            <v>㎥</v>
          </cell>
          <cell r="G487">
            <v>0.3</v>
          </cell>
          <cell r="H487">
            <v>290</v>
          </cell>
          <cell r="I487">
            <v>87</v>
          </cell>
          <cell r="J487">
            <v>6657</v>
          </cell>
          <cell r="K487">
            <v>1997</v>
          </cell>
          <cell r="L487">
            <v>298</v>
          </cell>
          <cell r="M487">
            <v>89</v>
          </cell>
          <cell r="N487">
            <v>7245</v>
          </cell>
          <cell r="O487">
            <v>2173</v>
          </cell>
          <cell r="P487" t="str">
            <v>제1호표</v>
          </cell>
        </row>
        <row r="488">
          <cell r="B488" t="str">
            <v>되메우기 및 다짐(토사)(기계90%+인력10%)</v>
          </cell>
          <cell r="D488" t="str">
            <v>되메우기 및 다짐(토사)</v>
          </cell>
          <cell r="E488" t="str">
            <v>(기계90%+인력10%)</v>
          </cell>
          <cell r="F488" t="str">
            <v>㎥</v>
          </cell>
          <cell r="G488">
            <v>0.19789999999999999</v>
          </cell>
          <cell r="H488">
            <v>560</v>
          </cell>
          <cell r="I488">
            <v>110</v>
          </cell>
          <cell r="J488">
            <v>6083</v>
          </cell>
          <cell r="K488">
            <v>1203</v>
          </cell>
          <cell r="L488">
            <v>309</v>
          </cell>
          <cell r="M488">
            <v>61</v>
          </cell>
          <cell r="N488">
            <v>6952</v>
          </cell>
          <cell r="O488">
            <v>1374</v>
          </cell>
          <cell r="P488" t="str">
            <v>제4호표</v>
          </cell>
        </row>
        <row r="489">
          <cell r="B489" t="str">
            <v>모래세사,왕사(도착도)</v>
          </cell>
          <cell r="D489" t="str">
            <v>모래</v>
          </cell>
          <cell r="E489" t="str">
            <v>세사,왕사(도착도)</v>
          </cell>
          <cell r="F489" t="str">
            <v>㎥</v>
          </cell>
          <cell r="G489">
            <v>0.13339999999999999</v>
          </cell>
          <cell r="H489">
            <v>22000</v>
          </cell>
          <cell r="I489">
            <v>2934</v>
          </cell>
          <cell r="N489">
            <v>22000</v>
          </cell>
          <cell r="O489">
            <v>2934</v>
          </cell>
        </row>
        <row r="490">
          <cell r="B490" t="str">
            <v>잔토처리(사토장)0</v>
          </cell>
          <cell r="D490" t="str">
            <v>잔토처리(사토장)</v>
          </cell>
          <cell r="E490">
            <v>0</v>
          </cell>
          <cell r="F490" t="str">
            <v>㎥</v>
          </cell>
          <cell r="G490">
            <v>0.1021</v>
          </cell>
          <cell r="H490">
            <v>3073</v>
          </cell>
          <cell r="I490">
            <v>313</v>
          </cell>
          <cell r="J490">
            <v>10537</v>
          </cell>
          <cell r="K490">
            <v>1075</v>
          </cell>
          <cell r="L490">
            <v>2462</v>
          </cell>
          <cell r="M490">
            <v>251</v>
          </cell>
          <cell r="N490">
            <v>16072</v>
          </cell>
          <cell r="O490">
            <v>1639</v>
          </cell>
          <cell r="P490" t="str">
            <v>제6호표</v>
          </cell>
        </row>
        <row r="491">
          <cell r="D491" t="str">
            <v>폐기물처리</v>
          </cell>
          <cell r="F491" t="str">
            <v>㎥</v>
          </cell>
          <cell r="G491">
            <v>2.52E-2</v>
          </cell>
          <cell r="P491" t="str">
            <v>별도처리</v>
          </cell>
        </row>
        <row r="494">
          <cell r="A494">
            <v>25</v>
          </cell>
          <cell r="B494">
            <v>3</v>
          </cell>
          <cell r="C494" t="str">
            <v>제25호표</v>
          </cell>
          <cell r="D494" t="str">
            <v>보도(투스콘) 굴착 및 복구</v>
          </cell>
          <cell r="E494" t="str">
            <v>전선관 70C, 2열 이하</v>
          </cell>
          <cell r="F494" t="str">
            <v>m</v>
          </cell>
          <cell r="G494">
            <v>1</v>
          </cell>
          <cell r="I494">
            <v>24351</v>
          </cell>
          <cell r="K494">
            <v>14904</v>
          </cell>
          <cell r="M494">
            <v>3403</v>
          </cell>
          <cell r="O494">
            <v>42658</v>
          </cell>
        </row>
        <row r="496">
          <cell r="D496" t="str">
            <v>보도(투스콘) 굴착 및 복구</v>
          </cell>
          <cell r="E496" t="str">
            <v>전선관 70C, 2열 이하</v>
          </cell>
          <cell r="F496" t="str">
            <v>m</v>
          </cell>
          <cell r="G496">
            <v>1</v>
          </cell>
        </row>
        <row r="498">
          <cell r="B498" t="str">
            <v>아스팔트,투스콘 포장절단블레이드(D = 320~400, T = 3.2mm)</v>
          </cell>
          <cell r="D498" t="str">
            <v>아스팔트,투스콘 포장절단</v>
          </cell>
          <cell r="E498" t="str">
            <v>블레이드(D = 320~400, T = 3.2mm)</v>
          </cell>
          <cell r="F498" t="str">
            <v>m</v>
          </cell>
          <cell r="G498">
            <v>2</v>
          </cell>
          <cell r="H498">
            <v>750.15428571428572</v>
          </cell>
          <cell r="I498">
            <v>1500</v>
          </cell>
          <cell r="J498">
            <v>1608.8371428571429</v>
          </cell>
          <cell r="K498">
            <v>3217</v>
          </cell>
          <cell r="L498">
            <v>212.18285714285713</v>
          </cell>
          <cell r="M498">
            <v>424</v>
          </cell>
          <cell r="N498">
            <v>2571</v>
          </cell>
          <cell r="O498">
            <v>5141</v>
          </cell>
          <cell r="P498" t="str">
            <v>제8호표</v>
          </cell>
        </row>
        <row r="499">
          <cell r="B499" t="str">
            <v>아스팔트,투스콘 포장깨기대형브레이커+굴삭기(무한궤도) 0.2㎡</v>
          </cell>
          <cell r="D499" t="str">
            <v>아스팔트,투스콘 포장깨기</v>
          </cell>
          <cell r="E499" t="str">
            <v>대형브레이커+굴삭기(무한궤도) 0.2㎡</v>
          </cell>
          <cell r="F499" t="str">
            <v>㎥</v>
          </cell>
          <cell r="G499">
            <v>0.108</v>
          </cell>
          <cell r="H499">
            <v>6190</v>
          </cell>
          <cell r="I499">
            <v>668</v>
          </cell>
          <cell r="J499">
            <v>18758</v>
          </cell>
          <cell r="K499">
            <v>2025</v>
          </cell>
          <cell r="L499">
            <v>11188</v>
          </cell>
          <cell r="M499">
            <v>1208</v>
          </cell>
          <cell r="N499">
            <v>36136</v>
          </cell>
          <cell r="O499">
            <v>3901</v>
          </cell>
          <cell r="P499" t="str">
            <v>제10호표</v>
          </cell>
        </row>
        <row r="500">
          <cell r="B500" t="str">
            <v>터파기(경질토사)(기계70%+인력30%)</v>
          </cell>
          <cell r="D500" t="str">
            <v>터파기(경질토사)</v>
          </cell>
          <cell r="E500" t="str">
            <v>(기계70%+인력30%)</v>
          </cell>
          <cell r="F500" t="str">
            <v>㎥</v>
          </cell>
          <cell r="G500">
            <v>0.33500000000000002</v>
          </cell>
          <cell r="H500">
            <v>290</v>
          </cell>
          <cell r="I500">
            <v>97</v>
          </cell>
          <cell r="J500">
            <v>6657</v>
          </cell>
          <cell r="K500">
            <v>2230</v>
          </cell>
          <cell r="L500">
            <v>298</v>
          </cell>
          <cell r="M500">
            <v>99</v>
          </cell>
          <cell r="N500">
            <v>7245</v>
          </cell>
          <cell r="O500">
            <v>2426</v>
          </cell>
          <cell r="P500" t="str">
            <v>제1호표</v>
          </cell>
        </row>
        <row r="501">
          <cell r="B501" t="str">
            <v>되메우기 및 다짐(토사)(기계90%+인력10%)</v>
          </cell>
          <cell r="D501" t="str">
            <v>되메우기 및 다짐(토사)</v>
          </cell>
          <cell r="E501" t="str">
            <v>(기계90%+인력10%)</v>
          </cell>
          <cell r="F501" t="str">
            <v>㎥</v>
          </cell>
          <cell r="G501">
            <v>0.1492</v>
          </cell>
          <cell r="H501">
            <v>560</v>
          </cell>
          <cell r="I501">
            <v>83</v>
          </cell>
          <cell r="J501">
            <v>6083</v>
          </cell>
          <cell r="K501">
            <v>907</v>
          </cell>
          <cell r="L501">
            <v>309</v>
          </cell>
          <cell r="M501">
            <v>46</v>
          </cell>
          <cell r="N501">
            <v>6952</v>
          </cell>
          <cell r="O501">
            <v>1036</v>
          </cell>
          <cell r="P501" t="str">
            <v>제4호표</v>
          </cell>
        </row>
        <row r="502">
          <cell r="B502" t="str">
            <v>보조기층 부설인력식 소규모 장비사용</v>
          </cell>
          <cell r="D502" t="str">
            <v>보조기층 부설</v>
          </cell>
          <cell r="E502" t="str">
            <v>인력식 소규모 장비사용</v>
          </cell>
          <cell r="F502" t="str">
            <v>㎥</v>
          </cell>
          <cell r="G502">
            <v>0.18</v>
          </cell>
          <cell r="H502">
            <v>18810</v>
          </cell>
          <cell r="I502">
            <v>3385</v>
          </cell>
          <cell r="J502">
            <v>5394</v>
          </cell>
          <cell r="K502">
            <v>970</v>
          </cell>
          <cell r="L502">
            <v>1678</v>
          </cell>
          <cell r="M502">
            <v>302</v>
          </cell>
          <cell r="N502">
            <v>25882</v>
          </cell>
          <cell r="O502">
            <v>4657</v>
          </cell>
          <cell r="P502" t="str">
            <v>제15호표</v>
          </cell>
        </row>
        <row r="503">
          <cell r="B503" t="str">
            <v>모래세사,왕사(도착도)</v>
          </cell>
          <cell r="D503" t="str">
            <v>모래</v>
          </cell>
          <cell r="E503" t="str">
            <v>세사,왕사(도착도)</v>
          </cell>
          <cell r="F503" t="str">
            <v>㎥</v>
          </cell>
          <cell r="G503">
            <v>0.13420000000000001</v>
          </cell>
          <cell r="H503">
            <v>22000</v>
          </cell>
          <cell r="I503">
            <v>2952</v>
          </cell>
          <cell r="N503">
            <v>22000</v>
          </cell>
          <cell r="O503">
            <v>2952</v>
          </cell>
        </row>
        <row r="504">
          <cell r="B504" t="str">
            <v>잔토처리(사토장)0</v>
          </cell>
          <cell r="D504" t="str">
            <v>잔토처리(사토장)</v>
          </cell>
          <cell r="E504">
            <v>0</v>
          </cell>
          <cell r="F504" t="str">
            <v>㎥</v>
          </cell>
          <cell r="G504">
            <v>0.18579999999999999</v>
          </cell>
          <cell r="H504">
            <v>3073</v>
          </cell>
          <cell r="I504">
            <v>570</v>
          </cell>
          <cell r="J504">
            <v>10537</v>
          </cell>
          <cell r="K504">
            <v>1957</v>
          </cell>
          <cell r="L504">
            <v>2462</v>
          </cell>
          <cell r="M504">
            <v>457</v>
          </cell>
          <cell r="N504">
            <v>16072</v>
          </cell>
          <cell r="O504">
            <v>2984</v>
          </cell>
          <cell r="P504" t="str">
            <v>제6호표</v>
          </cell>
        </row>
        <row r="505">
          <cell r="B505" t="str">
            <v>보도용 투스콘포장적색 (180Kg/㎠)</v>
          </cell>
          <cell r="D505" t="str">
            <v>보도용 투스콘포장</v>
          </cell>
          <cell r="E505" t="str">
            <v>적색 (180Kg/㎠)</v>
          </cell>
          <cell r="F505" t="str">
            <v>㎡</v>
          </cell>
          <cell r="G505">
            <v>1.8</v>
          </cell>
          <cell r="H505">
            <v>8387</v>
          </cell>
          <cell r="I505">
            <v>15096</v>
          </cell>
          <cell r="J505">
            <v>1999</v>
          </cell>
          <cell r="K505">
            <v>3598</v>
          </cell>
          <cell r="L505">
            <v>482</v>
          </cell>
          <cell r="M505">
            <v>867</v>
          </cell>
          <cell r="N505">
            <v>10868</v>
          </cell>
          <cell r="O505">
            <v>19561</v>
          </cell>
          <cell r="P505" t="str">
            <v>제16호표</v>
          </cell>
        </row>
        <row r="506">
          <cell r="D506" t="str">
            <v>폐기물처리</v>
          </cell>
          <cell r="F506" t="str">
            <v>㎥</v>
          </cell>
          <cell r="G506">
            <v>0.108</v>
          </cell>
          <cell r="P506" t="str">
            <v>별도처리</v>
          </cell>
        </row>
        <row r="508">
          <cell r="A508">
            <v>26</v>
          </cell>
          <cell r="B508">
            <v>3</v>
          </cell>
          <cell r="C508" t="str">
            <v>제26호표</v>
          </cell>
          <cell r="D508" t="str">
            <v>아스팔트 굴착 및 복구</v>
          </cell>
          <cell r="E508" t="str">
            <v>ELP 100C, 2열 이하</v>
          </cell>
          <cell r="F508" t="str">
            <v>m</v>
          </cell>
          <cell r="G508">
            <v>1</v>
          </cell>
          <cell r="I508">
            <v>36713</v>
          </cell>
          <cell r="K508">
            <v>37563</v>
          </cell>
          <cell r="M508">
            <v>6103</v>
          </cell>
          <cell r="O508">
            <v>80379</v>
          </cell>
        </row>
        <row r="510">
          <cell r="D510" t="str">
            <v>아스팔트 굴착 및 복구</v>
          </cell>
          <cell r="E510" t="str">
            <v>ELP 100C, 2열 이하</v>
          </cell>
          <cell r="F510" t="str">
            <v>m</v>
          </cell>
          <cell r="G510">
            <v>1</v>
          </cell>
        </row>
        <row r="512">
          <cell r="B512" t="str">
            <v>아스팔트,투스콘 포장절단블레이드(D = 320~400, T = 3.2mm)</v>
          </cell>
          <cell r="D512" t="str">
            <v>아스팔트,투스콘 포장절단</v>
          </cell>
          <cell r="E512" t="str">
            <v>블레이드(D = 320~400, T = 3.2mm)</v>
          </cell>
          <cell r="F512" t="str">
            <v>m</v>
          </cell>
          <cell r="G512">
            <v>2</v>
          </cell>
          <cell r="H512">
            <v>750.15428571428572</v>
          </cell>
          <cell r="I512">
            <v>1500</v>
          </cell>
          <cell r="J512">
            <v>1608.8371428571429</v>
          </cell>
          <cell r="K512">
            <v>3217</v>
          </cell>
          <cell r="L512">
            <v>212.18285714285713</v>
          </cell>
          <cell r="M512">
            <v>424</v>
          </cell>
          <cell r="N512">
            <v>2571</v>
          </cell>
          <cell r="O512">
            <v>5141</v>
          </cell>
          <cell r="P512" t="str">
            <v>제8호표</v>
          </cell>
        </row>
        <row r="513">
          <cell r="B513" t="str">
            <v>아스팔트,투스콘 포장깨기대형브레이커+굴삭기(무한궤도) 0.2㎡</v>
          </cell>
          <cell r="D513" t="str">
            <v>아스팔트,투스콘 포장깨기</v>
          </cell>
          <cell r="E513" t="str">
            <v>대형브레이커+굴삭기(무한궤도) 0.2㎡</v>
          </cell>
          <cell r="F513" t="str">
            <v>㎥</v>
          </cell>
          <cell r="G513">
            <v>0.105</v>
          </cell>
          <cell r="H513">
            <v>6190</v>
          </cell>
          <cell r="I513">
            <v>649</v>
          </cell>
          <cell r="J513">
            <v>18758</v>
          </cell>
          <cell r="K513">
            <v>1969</v>
          </cell>
          <cell r="L513">
            <v>11188</v>
          </cell>
          <cell r="M513">
            <v>1174</v>
          </cell>
          <cell r="N513">
            <v>36136</v>
          </cell>
          <cell r="O513">
            <v>3792</v>
          </cell>
          <cell r="P513" t="str">
            <v>제10호표</v>
          </cell>
        </row>
        <row r="514">
          <cell r="B514" t="str">
            <v>터파기(경질토사)(기계70%+인력30%)</v>
          </cell>
          <cell r="D514" t="str">
            <v>터파기(경질토사)</v>
          </cell>
          <cell r="E514" t="str">
            <v>(기계70%+인력30%)</v>
          </cell>
          <cell r="F514" t="str">
            <v>㎥</v>
          </cell>
          <cell r="G514">
            <v>0.83330000000000004</v>
          </cell>
          <cell r="H514">
            <v>290</v>
          </cell>
          <cell r="I514">
            <v>241</v>
          </cell>
          <cell r="J514">
            <v>6657</v>
          </cell>
          <cell r="K514">
            <v>5547</v>
          </cell>
          <cell r="L514">
            <v>298</v>
          </cell>
          <cell r="M514">
            <v>248</v>
          </cell>
          <cell r="N514">
            <v>7245</v>
          </cell>
          <cell r="O514">
            <v>6036</v>
          </cell>
          <cell r="P514" t="str">
            <v>제1호표</v>
          </cell>
        </row>
        <row r="515">
          <cell r="B515" t="str">
            <v>되메우기 및 다짐(토사)(기계90%+인력10%)</v>
          </cell>
          <cell r="D515" t="str">
            <v>되메우기 및 다짐(토사)</v>
          </cell>
          <cell r="E515" t="str">
            <v>(기계90%+인력10%)</v>
          </cell>
          <cell r="F515" t="str">
            <v>㎥</v>
          </cell>
          <cell r="G515">
            <v>0.47539999999999999</v>
          </cell>
          <cell r="H515">
            <v>560</v>
          </cell>
          <cell r="I515">
            <v>266</v>
          </cell>
          <cell r="J515">
            <v>6083</v>
          </cell>
          <cell r="K515">
            <v>2891</v>
          </cell>
          <cell r="L515">
            <v>309</v>
          </cell>
          <cell r="M515">
            <v>146</v>
          </cell>
          <cell r="N515">
            <v>6952</v>
          </cell>
          <cell r="O515">
            <v>3303</v>
          </cell>
          <cell r="P515" t="str">
            <v>제4호표</v>
          </cell>
        </row>
        <row r="516">
          <cell r="B516" t="str">
            <v>보조기층 부설인력식 소규모 장비사용</v>
          </cell>
          <cell r="D516" t="str">
            <v>보조기층 부설</v>
          </cell>
          <cell r="E516" t="str">
            <v>인력식 소규모 장비사용</v>
          </cell>
          <cell r="F516" t="str">
            <v>㎥</v>
          </cell>
          <cell r="G516">
            <v>0.13819999999999999</v>
          </cell>
          <cell r="H516">
            <v>18810</v>
          </cell>
          <cell r="I516">
            <v>2599</v>
          </cell>
          <cell r="J516">
            <v>5394</v>
          </cell>
          <cell r="K516">
            <v>745</v>
          </cell>
          <cell r="L516">
            <v>1678</v>
          </cell>
          <cell r="M516">
            <v>231</v>
          </cell>
          <cell r="N516">
            <v>25882</v>
          </cell>
          <cell r="O516">
            <v>3575</v>
          </cell>
          <cell r="P516" t="str">
            <v>제15호표</v>
          </cell>
        </row>
        <row r="517">
          <cell r="B517" t="str">
            <v>모래세사,왕사(도착도)</v>
          </cell>
          <cell r="D517" t="str">
            <v>모래</v>
          </cell>
          <cell r="E517" t="str">
            <v>세사,왕사(도착도)</v>
          </cell>
          <cell r="F517" t="str">
            <v>㎥</v>
          </cell>
          <cell r="G517">
            <v>0.11119999999999999</v>
          </cell>
          <cell r="H517">
            <v>22000</v>
          </cell>
          <cell r="I517">
            <v>2446</v>
          </cell>
          <cell r="N517">
            <v>22000</v>
          </cell>
          <cell r="O517">
            <v>2446</v>
          </cell>
        </row>
        <row r="518">
          <cell r="B518" t="str">
            <v>잔토처리(사토장)0</v>
          </cell>
          <cell r="D518" t="str">
            <v>잔토처리(사토장)</v>
          </cell>
          <cell r="E518">
            <v>0</v>
          </cell>
          <cell r="F518" t="str">
            <v>㎥</v>
          </cell>
          <cell r="G518">
            <v>0.3579</v>
          </cell>
          <cell r="H518">
            <v>3073</v>
          </cell>
          <cell r="I518">
            <v>1099</v>
          </cell>
          <cell r="J518">
            <v>10537</v>
          </cell>
          <cell r="K518">
            <v>3771</v>
          </cell>
          <cell r="L518">
            <v>2462</v>
          </cell>
          <cell r="M518">
            <v>881</v>
          </cell>
          <cell r="N518">
            <v>16072</v>
          </cell>
          <cell r="O518">
            <v>5751</v>
          </cell>
          <cell r="P518" t="str">
            <v>제6호표</v>
          </cell>
        </row>
        <row r="519">
          <cell r="B519" t="str">
            <v>소규모 포장복구기층 및 표층 포설 및 다짐</v>
          </cell>
          <cell r="D519" t="str">
            <v>소규모 포장복구</v>
          </cell>
          <cell r="E519" t="str">
            <v>기층 및 표층 포설 및 다짐</v>
          </cell>
          <cell r="F519" t="str">
            <v>㎡</v>
          </cell>
          <cell r="G519">
            <v>1</v>
          </cell>
          <cell r="H519">
            <v>27913</v>
          </cell>
          <cell r="I519">
            <v>27913</v>
          </cell>
          <cell r="J519">
            <v>19423</v>
          </cell>
          <cell r="K519">
            <v>19423</v>
          </cell>
          <cell r="L519">
            <v>2999</v>
          </cell>
          <cell r="M519">
            <v>2999</v>
          </cell>
          <cell r="N519">
            <v>50335</v>
          </cell>
          <cell r="O519">
            <v>50335</v>
          </cell>
          <cell r="P519" t="str">
            <v>제13호표</v>
          </cell>
        </row>
        <row r="520">
          <cell r="D520" t="str">
            <v>폐기물처리</v>
          </cell>
          <cell r="F520" t="str">
            <v>㎥</v>
          </cell>
          <cell r="G520">
            <v>0.255</v>
          </cell>
          <cell r="N520">
            <v>0</v>
          </cell>
          <cell r="O520">
            <v>0</v>
          </cell>
          <cell r="P520" t="str">
            <v>별도처리</v>
          </cell>
        </row>
        <row r="523">
          <cell r="A523">
            <v>27</v>
          </cell>
          <cell r="B523">
            <v>3</v>
          </cell>
          <cell r="C523" t="str">
            <v>제27호표</v>
          </cell>
          <cell r="D523" t="str">
            <v>보차도경계석,ㄴ형측구</v>
          </cell>
          <cell r="E523" t="str">
            <v>200 x 300 x 1000</v>
          </cell>
          <cell r="F523" t="str">
            <v>m</v>
          </cell>
          <cell r="G523">
            <v>1</v>
          </cell>
          <cell r="I523">
            <v>35570</v>
          </cell>
          <cell r="K523">
            <v>16384</v>
          </cell>
          <cell r="M523">
            <v>2264</v>
          </cell>
          <cell r="O523">
            <v>54218</v>
          </cell>
        </row>
        <row r="525">
          <cell r="D525" t="str">
            <v>보차도경계석,ㄴ형측구</v>
          </cell>
          <cell r="E525" t="str">
            <v>200 x 300 x 1000</v>
          </cell>
          <cell r="F525" t="str">
            <v>m</v>
          </cell>
          <cell r="G525">
            <v>1</v>
          </cell>
        </row>
        <row r="526">
          <cell r="E526" t="str">
            <v>(t=20, B=50cm)</v>
          </cell>
        </row>
        <row r="527">
          <cell r="B527" t="str">
            <v>보차도경계석 설치200 x 300 x 1000</v>
          </cell>
          <cell r="D527" t="str">
            <v>보차도경계석 설치</v>
          </cell>
          <cell r="E527" t="str">
            <v>200 x 300 x 1000</v>
          </cell>
          <cell r="F527" t="str">
            <v>m</v>
          </cell>
          <cell r="G527">
            <v>1</v>
          </cell>
          <cell r="H527">
            <v>28364</v>
          </cell>
          <cell r="I527">
            <v>28364</v>
          </cell>
          <cell r="J527">
            <v>10789</v>
          </cell>
          <cell r="K527">
            <v>10789</v>
          </cell>
          <cell r="L527">
            <v>1657</v>
          </cell>
          <cell r="M527">
            <v>1657</v>
          </cell>
          <cell r="N527">
            <v>40810</v>
          </cell>
          <cell r="O527">
            <v>40810</v>
          </cell>
          <cell r="P527" t="str">
            <v>제23호표</v>
          </cell>
        </row>
        <row r="528">
          <cell r="B528" t="str">
            <v>레미콘타설(무근 40mm,18MPa,8Cm)</v>
          </cell>
          <cell r="D528" t="str">
            <v>레미콘타설</v>
          </cell>
          <cell r="E528" t="str">
            <v>(무근 40mm,18MPa,8Cm)</v>
          </cell>
          <cell r="F528" t="str">
            <v>㎥</v>
          </cell>
          <cell r="G528">
            <v>0.1</v>
          </cell>
          <cell r="H528">
            <v>53550</v>
          </cell>
          <cell r="I528">
            <v>5355</v>
          </cell>
          <cell r="J528">
            <v>26374</v>
          </cell>
          <cell r="K528">
            <v>2637</v>
          </cell>
          <cell r="L528">
            <v>0</v>
          </cell>
          <cell r="M528">
            <v>0</v>
          </cell>
          <cell r="N528">
            <v>79924</v>
          </cell>
          <cell r="O528">
            <v>7992</v>
          </cell>
          <cell r="P528" t="str">
            <v>제30호표</v>
          </cell>
        </row>
        <row r="529">
          <cell r="B529" t="str">
            <v>합판거푸집6회</v>
          </cell>
          <cell r="D529" t="str">
            <v>합판거푸집</v>
          </cell>
          <cell r="E529" t="str">
            <v>6회</v>
          </cell>
          <cell r="F529" t="str">
            <v>㎡</v>
          </cell>
          <cell r="G529">
            <v>0.2</v>
          </cell>
          <cell r="H529">
            <v>6716</v>
          </cell>
          <cell r="I529">
            <v>1343</v>
          </cell>
          <cell r="J529">
            <v>11229</v>
          </cell>
          <cell r="K529">
            <v>2245</v>
          </cell>
          <cell r="L529">
            <v>0</v>
          </cell>
          <cell r="M529">
            <v>0</v>
          </cell>
          <cell r="N529">
            <v>17945</v>
          </cell>
          <cell r="O529">
            <v>3588</v>
          </cell>
          <cell r="P529" t="str">
            <v>제32호표</v>
          </cell>
        </row>
        <row r="530">
          <cell r="B530" t="str">
            <v>구조물 헐기대형브레이커+굴삭기(무한궤도) 0.7㎡</v>
          </cell>
          <cell r="D530" t="str">
            <v>구조물 헐기</v>
          </cell>
          <cell r="E530" t="str">
            <v>대형브레이커+굴삭기(무한궤도) 0.7㎡</v>
          </cell>
          <cell r="F530" t="str">
            <v>㎥</v>
          </cell>
          <cell r="G530">
            <v>0.1</v>
          </cell>
          <cell r="H530">
            <v>5086</v>
          </cell>
          <cell r="I530">
            <v>508</v>
          </cell>
          <cell r="J530">
            <v>7136</v>
          </cell>
          <cell r="K530">
            <v>713</v>
          </cell>
          <cell r="L530">
            <v>6074</v>
          </cell>
          <cell r="M530">
            <v>607</v>
          </cell>
          <cell r="N530">
            <v>18296</v>
          </cell>
          <cell r="O530">
            <v>1828</v>
          </cell>
          <cell r="P530" t="str">
            <v>제12호표</v>
          </cell>
        </row>
        <row r="533">
          <cell r="A533">
            <v>28</v>
          </cell>
          <cell r="B533">
            <v>3</v>
          </cell>
          <cell r="C533" t="str">
            <v>제28호표</v>
          </cell>
          <cell r="D533" t="str">
            <v>SET ANCHOR(STS304)</v>
          </cell>
          <cell r="E533" t="str">
            <v>1/2",100mm</v>
          </cell>
          <cell r="F533" t="str">
            <v>개</v>
          </cell>
          <cell r="G533">
            <v>1</v>
          </cell>
          <cell r="I533">
            <v>1250</v>
          </cell>
          <cell r="K533">
            <v>10808</v>
          </cell>
          <cell r="M533">
            <v>324</v>
          </cell>
          <cell r="O533">
            <v>12382</v>
          </cell>
          <cell r="P533" t="str">
            <v>전5-29</v>
          </cell>
        </row>
        <row r="535">
          <cell r="D535" t="str">
            <v>SET ANCHOR(STS304)</v>
          </cell>
          <cell r="E535" t="str">
            <v>1/2",100mm</v>
          </cell>
          <cell r="F535" t="str">
            <v>개</v>
          </cell>
          <cell r="G535">
            <v>1</v>
          </cell>
        </row>
        <row r="537">
          <cell r="B537" t="str">
            <v>SET ANCHOR(STS304)1/2",100mm</v>
          </cell>
          <cell r="C537" t="str">
            <v>재료비</v>
          </cell>
          <cell r="D537" t="str">
            <v>SET ANCHOR(STS304)</v>
          </cell>
          <cell r="E537" t="str">
            <v>1/2",100mm</v>
          </cell>
          <cell r="F537" t="str">
            <v>개</v>
          </cell>
          <cell r="G537">
            <v>1</v>
          </cell>
          <cell r="H537">
            <v>1250</v>
          </cell>
          <cell r="I537">
            <v>1250</v>
          </cell>
          <cell r="N537">
            <v>1250</v>
          </cell>
          <cell r="O537">
            <v>1250</v>
          </cell>
        </row>
        <row r="539">
          <cell r="D539" t="str">
            <v>내선전공</v>
          </cell>
          <cell r="E539">
            <v>0.08</v>
          </cell>
          <cell r="F539" t="str">
            <v>인</v>
          </cell>
          <cell r="G539">
            <v>0.08</v>
          </cell>
          <cell r="J539">
            <v>135106</v>
          </cell>
          <cell r="K539">
            <v>10808</v>
          </cell>
          <cell r="M539">
            <v>0</v>
          </cell>
          <cell r="N539">
            <v>135106</v>
          </cell>
          <cell r="O539">
            <v>10808</v>
          </cell>
        </row>
        <row r="540">
          <cell r="D540" t="str">
            <v>공구손료</v>
          </cell>
          <cell r="E540" t="str">
            <v>노무비의</v>
          </cell>
          <cell r="F540" t="str">
            <v>%</v>
          </cell>
          <cell r="G540">
            <v>3</v>
          </cell>
          <cell r="L540">
            <v>10808</v>
          </cell>
          <cell r="M540">
            <v>324</v>
          </cell>
          <cell r="N540">
            <v>10808</v>
          </cell>
          <cell r="O540">
            <v>324</v>
          </cell>
        </row>
        <row r="542">
          <cell r="A542">
            <v>29</v>
          </cell>
          <cell r="B542">
            <v>3</v>
          </cell>
          <cell r="C542" t="str">
            <v>제29호표</v>
          </cell>
          <cell r="D542" t="str">
            <v>레미콘타설</v>
          </cell>
          <cell r="E542" t="str">
            <v>(무근 25-180-8)</v>
          </cell>
          <cell r="F542" t="str">
            <v>㎥</v>
          </cell>
          <cell r="G542">
            <v>1</v>
          </cell>
          <cell r="I542">
            <v>53550</v>
          </cell>
          <cell r="K542">
            <v>26374</v>
          </cell>
          <cell r="M542">
            <v>0</v>
          </cell>
          <cell r="O542">
            <v>79924</v>
          </cell>
          <cell r="P542" t="str">
            <v>토6-1-1</v>
          </cell>
        </row>
        <row r="544">
          <cell r="D544" t="str">
            <v>레미콘타설</v>
          </cell>
          <cell r="E544" t="str">
            <v>(무근 25-180-8)</v>
          </cell>
        </row>
        <row r="546">
          <cell r="B546" t="str">
            <v>레미콘(무근 25mm,18MPa,8Cm)</v>
          </cell>
          <cell r="C546" t="str">
            <v>재료비</v>
          </cell>
          <cell r="D546" t="str">
            <v>레미콘</v>
          </cell>
          <cell r="E546" t="str">
            <v>(무근 25mm,18MPa,8Cm)</v>
          </cell>
          <cell r="F546" t="str">
            <v>㎥</v>
          </cell>
          <cell r="G546">
            <v>1</v>
          </cell>
          <cell r="H546">
            <v>53550</v>
          </cell>
          <cell r="I546">
            <v>53550</v>
          </cell>
          <cell r="K546">
            <v>0</v>
          </cell>
          <cell r="M546">
            <v>0</v>
          </cell>
          <cell r="N546">
            <v>53550</v>
          </cell>
          <cell r="O546">
            <v>53550</v>
          </cell>
        </row>
        <row r="548">
          <cell r="C548" t="str">
            <v>노무비</v>
          </cell>
          <cell r="D548" t="str">
            <v>콘크리트공</v>
          </cell>
          <cell r="E548">
            <v>0.12</v>
          </cell>
          <cell r="F548" t="str">
            <v>인</v>
          </cell>
          <cell r="G548">
            <v>0.12</v>
          </cell>
          <cell r="I548">
            <v>0</v>
          </cell>
          <cell r="J548">
            <v>117989</v>
          </cell>
          <cell r="K548">
            <v>14158</v>
          </cell>
          <cell r="M548">
            <v>0</v>
          </cell>
          <cell r="N548">
            <v>117989</v>
          </cell>
          <cell r="O548">
            <v>14158</v>
          </cell>
        </row>
        <row r="549">
          <cell r="D549" t="str">
            <v>보통인부</v>
          </cell>
          <cell r="E549">
            <v>0.15</v>
          </cell>
          <cell r="F549" t="str">
            <v>인</v>
          </cell>
          <cell r="G549">
            <v>0.15</v>
          </cell>
          <cell r="I549">
            <v>0</v>
          </cell>
          <cell r="J549">
            <v>81443</v>
          </cell>
          <cell r="K549">
            <v>12216</v>
          </cell>
          <cell r="M549">
            <v>0</v>
          </cell>
          <cell r="N549">
            <v>81443</v>
          </cell>
          <cell r="O549">
            <v>12216</v>
          </cell>
        </row>
        <row r="551">
          <cell r="A551">
            <v>30</v>
          </cell>
          <cell r="B551">
            <v>3</v>
          </cell>
          <cell r="C551" t="str">
            <v>제30호표</v>
          </cell>
          <cell r="D551" t="str">
            <v>레미콘타설</v>
          </cell>
          <cell r="E551" t="str">
            <v>(무근 40-180-8)</v>
          </cell>
          <cell r="F551" t="str">
            <v>㎥</v>
          </cell>
          <cell r="G551">
            <v>1</v>
          </cell>
          <cell r="I551">
            <v>53550</v>
          </cell>
          <cell r="K551">
            <v>26374</v>
          </cell>
          <cell r="M551">
            <v>0</v>
          </cell>
          <cell r="O551">
            <v>79924</v>
          </cell>
          <cell r="P551" t="str">
            <v>토6-1-1</v>
          </cell>
        </row>
        <row r="553">
          <cell r="D553" t="str">
            <v>레미콘타설</v>
          </cell>
          <cell r="E553" t="str">
            <v>(무근 40-180-8)</v>
          </cell>
        </row>
        <row r="555">
          <cell r="B555" t="str">
            <v>레미콘(무근 40mm,18MPa,8Cm)</v>
          </cell>
          <cell r="C555" t="str">
            <v>재료비</v>
          </cell>
          <cell r="D555" t="str">
            <v>레미콘</v>
          </cell>
          <cell r="E555" t="str">
            <v>(무근 40mm,18MPa,8Cm)</v>
          </cell>
          <cell r="F555" t="str">
            <v>㎥</v>
          </cell>
          <cell r="G555">
            <v>1</v>
          </cell>
          <cell r="H555">
            <v>53550</v>
          </cell>
          <cell r="I555">
            <v>53550</v>
          </cell>
          <cell r="K555">
            <v>0</v>
          </cell>
          <cell r="M555">
            <v>0</v>
          </cell>
          <cell r="N555">
            <v>53550</v>
          </cell>
          <cell r="O555">
            <v>53550</v>
          </cell>
        </row>
        <row r="557">
          <cell r="C557" t="str">
            <v>노무비</v>
          </cell>
          <cell r="D557" t="str">
            <v>콘크리트공</v>
          </cell>
          <cell r="E557">
            <v>0.12</v>
          </cell>
          <cell r="F557" t="str">
            <v>인</v>
          </cell>
          <cell r="G557">
            <v>0.12</v>
          </cell>
          <cell r="I557">
            <v>0</v>
          </cell>
          <cell r="J557">
            <v>117989</v>
          </cell>
          <cell r="K557">
            <v>14158</v>
          </cell>
          <cell r="M557">
            <v>0</v>
          </cell>
          <cell r="N557">
            <v>117989</v>
          </cell>
          <cell r="O557">
            <v>14158</v>
          </cell>
        </row>
        <row r="558">
          <cell r="D558" t="str">
            <v>보통인부</v>
          </cell>
          <cell r="E558">
            <v>0.15</v>
          </cell>
          <cell r="F558" t="str">
            <v>인</v>
          </cell>
          <cell r="G558">
            <v>0.15</v>
          </cell>
          <cell r="I558">
            <v>0</v>
          </cell>
          <cell r="J558">
            <v>81443</v>
          </cell>
          <cell r="K558">
            <v>12216</v>
          </cell>
          <cell r="M558">
            <v>0</v>
          </cell>
          <cell r="N558">
            <v>81443</v>
          </cell>
          <cell r="O558">
            <v>12216</v>
          </cell>
        </row>
        <row r="560">
          <cell r="A560">
            <v>31</v>
          </cell>
          <cell r="B560">
            <v>3</v>
          </cell>
          <cell r="C560" t="str">
            <v>제31호표</v>
          </cell>
          <cell r="D560" t="str">
            <v>인력비빔타설</v>
          </cell>
          <cell r="E560" t="str">
            <v>무근구조물25mm</v>
          </cell>
          <cell r="F560" t="str">
            <v>㎥</v>
          </cell>
          <cell r="G560">
            <v>1</v>
          </cell>
          <cell r="I560">
            <v>71890</v>
          </cell>
          <cell r="K560">
            <v>167073</v>
          </cell>
          <cell r="M560">
            <v>0</v>
          </cell>
          <cell r="O560">
            <v>238963</v>
          </cell>
          <cell r="P560" t="str">
            <v>토6-1-1</v>
          </cell>
        </row>
        <row r="562">
          <cell r="D562" t="str">
            <v>인력비빔타설</v>
          </cell>
          <cell r="E562" t="str">
            <v>무근구조물25mm</v>
          </cell>
        </row>
        <row r="564">
          <cell r="B564" t="str">
            <v>시멘트40kg</v>
          </cell>
          <cell r="C564" t="str">
            <v>재료비</v>
          </cell>
          <cell r="D564" t="str">
            <v>시멘트</v>
          </cell>
          <cell r="E564" t="str">
            <v>40kg</v>
          </cell>
          <cell r="F564" t="str">
            <v>kg</v>
          </cell>
          <cell r="G564">
            <v>346</v>
          </cell>
          <cell r="H564">
            <v>132.5</v>
          </cell>
          <cell r="I564">
            <v>45845</v>
          </cell>
          <cell r="K564">
            <v>0</v>
          </cell>
          <cell r="M564">
            <v>0</v>
          </cell>
          <cell r="N564">
            <v>132</v>
          </cell>
          <cell r="O564">
            <v>45845</v>
          </cell>
        </row>
        <row r="565">
          <cell r="B565" t="str">
            <v>모래세사,왕사(도착도)</v>
          </cell>
          <cell r="D565" t="str">
            <v>모래</v>
          </cell>
          <cell r="E565" t="str">
            <v>세사,왕사(도착도)</v>
          </cell>
          <cell r="F565" t="str">
            <v>㎥</v>
          </cell>
          <cell r="G565">
            <v>0.55200000000000005</v>
          </cell>
          <cell r="H565">
            <v>22000</v>
          </cell>
          <cell r="I565">
            <v>12144</v>
          </cell>
          <cell r="K565">
            <v>0</v>
          </cell>
          <cell r="M565">
            <v>0</v>
          </cell>
          <cell r="N565">
            <v>22000</v>
          </cell>
          <cell r="O565">
            <v>12144</v>
          </cell>
          <cell r="P565" t="str">
            <v>토1-10</v>
          </cell>
        </row>
        <row r="566">
          <cell r="B566" t="str">
            <v>자갈57, 25mm</v>
          </cell>
          <cell r="D566" t="str">
            <v>자갈</v>
          </cell>
          <cell r="E566" t="str">
            <v>57, 25mm</v>
          </cell>
          <cell r="F566" t="str">
            <v>㎥</v>
          </cell>
          <cell r="G566">
            <v>0.63187499999999996</v>
          </cell>
          <cell r="H566">
            <v>22000</v>
          </cell>
          <cell r="I566">
            <v>13901</v>
          </cell>
          <cell r="K566">
            <v>0</v>
          </cell>
          <cell r="M566">
            <v>0</v>
          </cell>
          <cell r="N566">
            <v>22000</v>
          </cell>
          <cell r="O566">
            <v>13901</v>
          </cell>
          <cell r="P566" t="str">
            <v>토1-10</v>
          </cell>
        </row>
        <row r="568">
          <cell r="C568" t="str">
            <v>노무비</v>
          </cell>
          <cell r="D568" t="str">
            <v>콘크리트공</v>
          </cell>
          <cell r="E568">
            <v>0.85</v>
          </cell>
          <cell r="F568" t="str">
            <v>인</v>
          </cell>
          <cell r="G568">
            <v>0.85</v>
          </cell>
          <cell r="I568">
            <v>0</v>
          </cell>
          <cell r="J568">
            <v>117989</v>
          </cell>
          <cell r="K568">
            <v>100290</v>
          </cell>
          <cell r="M568">
            <v>0</v>
          </cell>
          <cell r="N568">
            <v>117989</v>
          </cell>
          <cell r="O568">
            <v>100290</v>
          </cell>
        </row>
        <row r="569">
          <cell r="D569" t="str">
            <v>보통인부</v>
          </cell>
          <cell r="E569">
            <v>0.82</v>
          </cell>
          <cell r="F569" t="str">
            <v>인</v>
          </cell>
          <cell r="G569">
            <v>0.82</v>
          </cell>
          <cell r="I569">
            <v>0</v>
          </cell>
          <cell r="J569">
            <v>81443</v>
          </cell>
          <cell r="K569">
            <v>66783</v>
          </cell>
          <cell r="M569">
            <v>0</v>
          </cell>
          <cell r="N569">
            <v>81443</v>
          </cell>
          <cell r="O569">
            <v>66783</v>
          </cell>
        </row>
        <row r="571">
          <cell r="A571">
            <v>32</v>
          </cell>
          <cell r="B571">
            <v>3</v>
          </cell>
          <cell r="C571" t="str">
            <v>제32호표</v>
          </cell>
          <cell r="D571" t="str">
            <v>합판거푸집</v>
          </cell>
          <cell r="E571" t="str">
            <v>6회</v>
          </cell>
          <cell r="F571" t="str">
            <v>㎡</v>
          </cell>
          <cell r="G571">
            <v>1</v>
          </cell>
          <cell r="I571">
            <v>6716</v>
          </cell>
          <cell r="K571">
            <v>11229</v>
          </cell>
          <cell r="M571">
            <v>0</v>
          </cell>
          <cell r="O571">
            <v>17945</v>
          </cell>
          <cell r="P571" t="str">
            <v>토6-3-2</v>
          </cell>
        </row>
        <row r="573">
          <cell r="D573" t="str">
            <v>합판거푸집</v>
          </cell>
          <cell r="E573" t="str">
            <v>6회</v>
          </cell>
        </row>
        <row r="575">
          <cell r="D575" t="str">
            <v>합판거푸집</v>
          </cell>
          <cell r="E575" t="str">
            <v>1회</v>
          </cell>
          <cell r="I575">
            <v>19357</v>
          </cell>
          <cell r="K575">
            <v>35091</v>
          </cell>
          <cell r="M575">
            <v>0</v>
          </cell>
          <cell r="O575">
            <v>54448</v>
          </cell>
        </row>
        <row r="576">
          <cell r="B576" t="str">
            <v>합판내수1급 12Tx910x1820mm</v>
          </cell>
          <cell r="C576" t="str">
            <v>재료비</v>
          </cell>
          <cell r="D576" t="str">
            <v>합판</v>
          </cell>
          <cell r="E576" t="str">
            <v>내수1급 12Tx910x1820mm</v>
          </cell>
          <cell r="F576" t="str">
            <v>㎥</v>
          </cell>
          <cell r="G576">
            <v>1.03</v>
          </cell>
          <cell r="H576">
            <v>18000</v>
          </cell>
          <cell r="I576">
            <v>18540</v>
          </cell>
          <cell r="K576">
            <v>0</v>
          </cell>
          <cell r="M576">
            <v>0</v>
          </cell>
          <cell r="N576">
            <v>18000</v>
          </cell>
          <cell r="O576">
            <v>18540</v>
          </cell>
        </row>
        <row r="577">
          <cell r="B577" t="str">
            <v>각재외송</v>
          </cell>
          <cell r="D577" t="str">
            <v>각재</v>
          </cell>
          <cell r="E577" t="str">
            <v>외송</v>
          </cell>
          <cell r="F577" t="str">
            <v>㎡</v>
          </cell>
          <cell r="G577">
            <v>3.7999999999999999E-2</v>
          </cell>
          <cell r="H577">
            <v>1200</v>
          </cell>
          <cell r="I577">
            <v>45</v>
          </cell>
          <cell r="K577">
            <v>0</v>
          </cell>
          <cell r="M577">
            <v>0</v>
          </cell>
          <cell r="N577">
            <v>1200</v>
          </cell>
          <cell r="O577">
            <v>45</v>
          </cell>
        </row>
        <row r="578">
          <cell r="B578" t="str">
            <v>철선#8</v>
          </cell>
          <cell r="D578" t="str">
            <v>철선</v>
          </cell>
          <cell r="E578" t="str">
            <v>#8</v>
          </cell>
          <cell r="F578" t="str">
            <v>Kg</v>
          </cell>
          <cell r="G578">
            <v>0.28999999999999998</v>
          </cell>
          <cell r="H578">
            <v>1150</v>
          </cell>
          <cell r="I578">
            <v>333</v>
          </cell>
          <cell r="K578">
            <v>0</v>
          </cell>
          <cell r="M578">
            <v>0</v>
          </cell>
          <cell r="N578">
            <v>1150</v>
          </cell>
          <cell r="O578">
            <v>333</v>
          </cell>
        </row>
        <row r="579">
          <cell r="B579" t="str">
            <v>못N50</v>
          </cell>
          <cell r="D579" t="str">
            <v>못</v>
          </cell>
          <cell r="E579" t="str">
            <v>N50</v>
          </cell>
          <cell r="F579" t="str">
            <v>Kg</v>
          </cell>
          <cell r="G579">
            <v>0.2</v>
          </cell>
          <cell r="H579">
            <v>1012</v>
          </cell>
          <cell r="I579">
            <v>202</v>
          </cell>
          <cell r="K579">
            <v>0</v>
          </cell>
          <cell r="M579">
            <v>0</v>
          </cell>
          <cell r="N579">
            <v>1012</v>
          </cell>
          <cell r="O579">
            <v>202</v>
          </cell>
        </row>
        <row r="580">
          <cell r="B580" t="str">
            <v>박리재목재용</v>
          </cell>
          <cell r="D580" t="str">
            <v>박리재</v>
          </cell>
          <cell r="E580" t="str">
            <v>목재용</v>
          </cell>
          <cell r="F580" t="str">
            <v>ℓ</v>
          </cell>
          <cell r="G580">
            <v>0.19</v>
          </cell>
          <cell r="H580">
            <v>1250</v>
          </cell>
          <cell r="I580">
            <v>237</v>
          </cell>
          <cell r="K580">
            <v>0</v>
          </cell>
          <cell r="M580">
            <v>0</v>
          </cell>
          <cell r="N580">
            <v>1250</v>
          </cell>
          <cell r="O580">
            <v>237</v>
          </cell>
        </row>
        <row r="582">
          <cell r="C582" t="str">
            <v>노무비</v>
          </cell>
          <cell r="D582" t="str">
            <v>형틀목공</v>
          </cell>
          <cell r="E582">
            <v>0.22</v>
          </cell>
          <cell r="F582" t="str">
            <v>인</v>
          </cell>
          <cell r="G582">
            <v>0.22</v>
          </cell>
          <cell r="J582">
            <v>115082</v>
          </cell>
          <cell r="K582">
            <v>25318</v>
          </cell>
          <cell r="M582">
            <v>0</v>
          </cell>
          <cell r="N582">
            <v>115082</v>
          </cell>
          <cell r="O582">
            <v>25318</v>
          </cell>
        </row>
        <row r="583">
          <cell r="D583" t="str">
            <v>보통인부</v>
          </cell>
          <cell r="E583">
            <v>0.12</v>
          </cell>
          <cell r="F583" t="str">
            <v>인</v>
          </cell>
          <cell r="G583">
            <v>0.12</v>
          </cell>
          <cell r="J583">
            <v>81443</v>
          </cell>
          <cell r="K583">
            <v>9773</v>
          </cell>
          <cell r="M583">
            <v>0</v>
          </cell>
          <cell r="N583">
            <v>81443</v>
          </cell>
          <cell r="O583">
            <v>9773</v>
          </cell>
        </row>
        <row r="584">
          <cell r="D584" t="str">
            <v>사용고재</v>
          </cell>
          <cell r="F584" t="str">
            <v>%</v>
          </cell>
          <cell r="G584">
            <v>23</v>
          </cell>
        </row>
        <row r="585">
          <cell r="C585" t="str">
            <v>재료비</v>
          </cell>
          <cell r="D585" t="str">
            <v>1회의 34.7%</v>
          </cell>
          <cell r="E585" t="str">
            <v>6회사용시</v>
          </cell>
          <cell r="F585" t="str">
            <v>㎡</v>
          </cell>
          <cell r="G585">
            <v>0.34699999999999998</v>
          </cell>
          <cell r="H585">
            <v>19357</v>
          </cell>
          <cell r="I585">
            <v>6716</v>
          </cell>
          <cell r="K585">
            <v>0</v>
          </cell>
          <cell r="M585">
            <v>0</v>
          </cell>
          <cell r="N585">
            <v>19357</v>
          </cell>
          <cell r="O585">
            <v>6716</v>
          </cell>
        </row>
        <row r="586">
          <cell r="C586" t="str">
            <v>노무비</v>
          </cell>
          <cell r="D586" t="str">
            <v>1회의 32%</v>
          </cell>
          <cell r="E586" t="str">
            <v>6회사용시</v>
          </cell>
          <cell r="F586" t="str">
            <v>㎡</v>
          </cell>
          <cell r="G586">
            <v>0.32</v>
          </cell>
          <cell r="J586">
            <v>35091</v>
          </cell>
          <cell r="K586">
            <v>11229</v>
          </cell>
          <cell r="M586">
            <v>0</v>
          </cell>
          <cell r="N586">
            <v>35091</v>
          </cell>
          <cell r="O586">
            <v>11229</v>
          </cell>
        </row>
        <row r="588">
          <cell r="A588">
            <v>33</v>
          </cell>
          <cell r="B588">
            <v>3</v>
          </cell>
          <cell r="C588" t="str">
            <v>제33호표</v>
          </cell>
          <cell r="D588" t="str">
            <v>철근가공조립(간단)</v>
          </cell>
          <cell r="E588">
            <v>0</v>
          </cell>
          <cell r="F588" t="str">
            <v>ton</v>
          </cell>
          <cell r="G588">
            <v>1</v>
          </cell>
          <cell r="I588">
            <v>717650</v>
          </cell>
          <cell r="K588">
            <v>411108</v>
          </cell>
          <cell r="M588">
            <v>3100</v>
          </cell>
          <cell r="O588">
            <v>1131858</v>
          </cell>
          <cell r="P588" t="str">
            <v>토6-2-1</v>
          </cell>
        </row>
        <row r="590">
          <cell r="D590" t="str">
            <v>철근가공조립(간단)</v>
          </cell>
          <cell r="F590" t="str">
            <v>ton</v>
          </cell>
          <cell r="G590">
            <v>1</v>
          </cell>
        </row>
        <row r="592">
          <cell r="B592" t="str">
            <v>결속선#20</v>
          </cell>
          <cell r="C592" t="str">
            <v>재료비</v>
          </cell>
          <cell r="D592" t="str">
            <v>결속선</v>
          </cell>
          <cell r="E592" t="str">
            <v>#20</v>
          </cell>
          <cell r="F592" t="str">
            <v>Kg</v>
          </cell>
          <cell r="G592">
            <v>5</v>
          </cell>
          <cell r="H592">
            <v>1530</v>
          </cell>
          <cell r="I592">
            <v>7650</v>
          </cell>
          <cell r="N592">
            <v>1530</v>
          </cell>
          <cell r="O592">
            <v>7650</v>
          </cell>
        </row>
        <row r="593">
          <cell r="B593" t="str">
            <v>이형철근19mm</v>
          </cell>
          <cell r="D593" t="str">
            <v>이형철근</v>
          </cell>
          <cell r="E593" t="str">
            <v>19mm</v>
          </cell>
          <cell r="F593" t="str">
            <v>ton</v>
          </cell>
          <cell r="G593">
            <v>1</v>
          </cell>
          <cell r="H593">
            <v>710000</v>
          </cell>
          <cell r="I593">
            <v>710000</v>
          </cell>
          <cell r="N593">
            <v>710000</v>
          </cell>
          <cell r="O593">
            <v>710000</v>
          </cell>
        </row>
        <row r="594">
          <cell r="E594" t="str">
            <v>2.25 Kg/m</v>
          </cell>
        </row>
        <row r="598">
          <cell r="C598" t="str">
            <v>노무비</v>
          </cell>
          <cell r="D598" t="str">
            <v>철근공</v>
          </cell>
          <cell r="E598">
            <v>1.07</v>
          </cell>
          <cell r="F598" t="str">
            <v>인</v>
          </cell>
          <cell r="G598">
            <v>1.07</v>
          </cell>
          <cell r="J598">
            <v>118264</v>
          </cell>
          <cell r="K598">
            <v>126542</v>
          </cell>
          <cell r="N598">
            <v>118264</v>
          </cell>
          <cell r="O598">
            <v>126542</v>
          </cell>
          <cell r="P598">
            <v>0</v>
          </cell>
        </row>
        <row r="599">
          <cell r="D599" t="str">
            <v>보통인부</v>
          </cell>
          <cell r="E599">
            <v>0.35</v>
          </cell>
          <cell r="F599" t="str">
            <v>인</v>
          </cell>
          <cell r="G599">
            <v>0.35</v>
          </cell>
          <cell r="J599">
            <v>81443</v>
          </cell>
          <cell r="K599">
            <v>28505</v>
          </cell>
          <cell r="N599">
            <v>81443</v>
          </cell>
          <cell r="O599">
            <v>28505</v>
          </cell>
        </row>
        <row r="600">
          <cell r="D600" t="str">
            <v>공구손료</v>
          </cell>
          <cell r="E600" t="str">
            <v>노무비의</v>
          </cell>
          <cell r="F600" t="str">
            <v>%</v>
          </cell>
          <cell r="G600">
            <v>2</v>
          </cell>
          <cell r="L600">
            <v>155047</v>
          </cell>
          <cell r="M600">
            <v>3100</v>
          </cell>
          <cell r="N600">
            <v>155047</v>
          </cell>
          <cell r="O600">
            <v>3100</v>
          </cell>
        </row>
        <row r="601">
          <cell r="D601" t="str">
            <v>철근공</v>
          </cell>
          <cell r="E601">
            <v>1.69</v>
          </cell>
          <cell r="F601" t="str">
            <v>인</v>
          </cell>
          <cell r="G601">
            <v>1.69</v>
          </cell>
          <cell r="J601">
            <v>118264</v>
          </cell>
          <cell r="K601">
            <v>199866</v>
          </cell>
          <cell r="N601">
            <v>118264</v>
          </cell>
          <cell r="O601">
            <v>199866</v>
          </cell>
        </row>
        <row r="602">
          <cell r="D602" t="str">
            <v>보통인부</v>
          </cell>
          <cell r="E602">
            <v>0.69</v>
          </cell>
          <cell r="F602" t="str">
            <v>인</v>
          </cell>
          <cell r="G602">
            <v>0.69</v>
          </cell>
          <cell r="J602">
            <v>81443</v>
          </cell>
          <cell r="K602">
            <v>56195</v>
          </cell>
          <cell r="N602">
            <v>81443</v>
          </cell>
          <cell r="O602">
            <v>56195</v>
          </cell>
        </row>
        <row r="629">
          <cell r="C629" t="str">
            <v>▣ 신설공사</v>
          </cell>
        </row>
        <row r="630">
          <cell r="A630">
            <v>34</v>
          </cell>
          <cell r="B630">
            <v>3</v>
          </cell>
          <cell r="C630" t="str">
            <v>제34호표</v>
          </cell>
          <cell r="D630" t="str">
            <v>파상형PE전선관(지중)</v>
          </cell>
          <cell r="E630" t="str">
            <v>PE 54C 1열</v>
          </cell>
          <cell r="F630" t="str">
            <v>m</v>
          </cell>
          <cell r="G630">
            <v>1.03</v>
          </cell>
          <cell r="I630">
            <v>1369</v>
          </cell>
          <cell r="K630">
            <v>15812</v>
          </cell>
          <cell r="M630">
            <v>474</v>
          </cell>
          <cell r="O630">
            <v>17655</v>
          </cell>
          <cell r="P630" t="str">
            <v>전5-1</v>
          </cell>
        </row>
        <row r="632">
          <cell r="D632" t="str">
            <v>파상형PE전선관(지중)</v>
          </cell>
          <cell r="E632" t="str">
            <v>PE 54C 1열</v>
          </cell>
        </row>
        <row r="634">
          <cell r="B634" t="str">
            <v>전선관PE 54C</v>
          </cell>
          <cell r="C634" t="str">
            <v>재료비</v>
          </cell>
          <cell r="D634" t="str">
            <v>전선관</v>
          </cell>
          <cell r="E634" t="str">
            <v>PE 54C</v>
          </cell>
          <cell r="F634" t="str">
            <v>m</v>
          </cell>
          <cell r="G634">
            <v>1.03</v>
          </cell>
          <cell r="H634">
            <v>1137</v>
          </cell>
          <cell r="I634">
            <v>1171</v>
          </cell>
          <cell r="N634">
            <v>1137</v>
          </cell>
          <cell r="O634">
            <v>1171</v>
          </cell>
        </row>
        <row r="635">
          <cell r="D635" t="str">
            <v>잡재료비</v>
          </cell>
          <cell r="E635" t="str">
            <v>배관배선의</v>
          </cell>
          <cell r="F635" t="str">
            <v>%</v>
          </cell>
          <cell r="G635">
            <v>2</v>
          </cell>
          <cell r="H635">
            <v>1171</v>
          </cell>
          <cell r="I635">
            <v>23</v>
          </cell>
          <cell r="N635">
            <v>1171</v>
          </cell>
          <cell r="O635">
            <v>23</v>
          </cell>
        </row>
        <row r="636">
          <cell r="D636" t="str">
            <v>전선관 부속자재</v>
          </cell>
          <cell r="E636" t="str">
            <v>배관의</v>
          </cell>
          <cell r="F636" t="str">
            <v>%</v>
          </cell>
          <cell r="G636">
            <v>15</v>
          </cell>
          <cell r="H636">
            <v>1171</v>
          </cell>
          <cell r="I636">
            <v>175</v>
          </cell>
          <cell r="N636">
            <v>1171</v>
          </cell>
          <cell r="O636">
            <v>175</v>
          </cell>
        </row>
        <row r="638">
          <cell r="C638" t="str">
            <v>노무비</v>
          </cell>
          <cell r="D638" t="str">
            <v>내선전공</v>
          </cell>
          <cell r="E638" t="str">
            <v>(0.19*0.8)*0.7*1.1</v>
          </cell>
          <cell r="F638" t="str">
            <v>인</v>
          </cell>
          <cell r="G638">
            <v>0.11704000000000002</v>
          </cell>
          <cell r="J638">
            <v>135106</v>
          </cell>
          <cell r="K638">
            <v>15812</v>
          </cell>
          <cell r="N638">
            <v>135106</v>
          </cell>
          <cell r="O638">
            <v>15812</v>
          </cell>
        </row>
        <row r="639">
          <cell r="D639" t="str">
            <v>공구손료</v>
          </cell>
          <cell r="E639" t="str">
            <v>노무비의</v>
          </cell>
          <cell r="F639" t="str">
            <v>%</v>
          </cell>
          <cell r="G639">
            <v>3</v>
          </cell>
          <cell r="L639">
            <v>15812</v>
          </cell>
          <cell r="M639">
            <v>474</v>
          </cell>
          <cell r="N639">
            <v>15812</v>
          </cell>
          <cell r="O639">
            <v>474</v>
          </cell>
        </row>
        <row r="641">
          <cell r="A641">
            <v>35</v>
          </cell>
          <cell r="B641">
            <v>3</v>
          </cell>
          <cell r="C641" t="str">
            <v>제35호표</v>
          </cell>
          <cell r="D641" t="str">
            <v>전선관(지중)</v>
          </cell>
          <cell r="E641" t="str">
            <v>ELP 30C</v>
          </cell>
          <cell r="F641" t="str">
            <v>m</v>
          </cell>
          <cell r="G641">
            <v>1.03</v>
          </cell>
          <cell r="I641">
            <v>435</v>
          </cell>
          <cell r="K641">
            <v>4922</v>
          </cell>
          <cell r="M641">
            <v>147</v>
          </cell>
          <cell r="O641">
            <v>5504</v>
          </cell>
          <cell r="P641" t="str">
            <v>전4-31</v>
          </cell>
        </row>
        <row r="643">
          <cell r="D643" t="str">
            <v>전선관(지중)</v>
          </cell>
          <cell r="E643" t="str">
            <v>ELP 30C</v>
          </cell>
        </row>
        <row r="645">
          <cell r="B645" t="str">
            <v>전선관ELP 30C</v>
          </cell>
          <cell r="C645" t="str">
            <v>재료비</v>
          </cell>
          <cell r="D645" t="str">
            <v>전선관</v>
          </cell>
          <cell r="E645" t="str">
            <v>ELP 30C</v>
          </cell>
          <cell r="F645" t="str">
            <v>m</v>
          </cell>
          <cell r="G645">
            <v>1.03</v>
          </cell>
          <cell r="H645">
            <v>363</v>
          </cell>
          <cell r="I645">
            <v>373</v>
          </cell>
          <cell r="N645">
            <v>363</v>
          </cell>
          <cell r="O645">
            <v>373</v>
          </cell>
        </row>
        <row r="646">
          <cell r="D646" t="str">
            <v>잡재료비</v>
          </cell>
          <cell r="E646" t="str">
            <v>배관배선의</v>
          </cell>
          <cell r="F646" t="str">
            <v>%</v>
          </cell>
          <cell r="G646">
            <v>2</v>
          </cell>
          <cell r="H646">
            <v>373</v>
          </cell>
          <cell r="I646">
            <v>7</v>
          </cell>
          <cell r="N646">
            <v>373</v>
          </cell>
          <cell r="O646">
            <v>7</v>
          </cell>
        </row>
        <row r="647">
          <cell r="D647" t="str">
            <v>전선관 부속자재</v>
          </cell>
          <cell r="E647" t="str">
            <v>배관의</v>
          </cell>
          <cell r="F647" t="str">
            <v>%</v>
          </cell>
          <cell r="G647">
            <v>15</v>
          </cell>
          <cell r="H647">
            <v>373</v>
          </cell>
          <cell r="I647">
            <v>55</v>
          </cell>
          <cell r="N647">
            <v>373</v>
          </cell>
          <cell r="O647">
            <v>55</v>
          </cell>
        </row>
        <row r="648">
          <cell r="C648" t="str">
            <v>노무비</v>
          </cell>
          <cell r="D648" t="str">
            <v>배전전공</v>
          </cell>
          <cell r="E648" t="str">
            <v>0.007*1.5*1.1</v>
          </cell>
          <cell r="F648" t="str">
            <v>인</v>
          </cell>
          <cell r="G648">
            <v>1.1550000000000001E-2</v>
          </cell>
          <cell r="J648">
            <v>216877</v>
          </cell>
          <cell r="K648">
            <v>2504</v>
          </cell>
          <cell r="N648">
            <v>216877</v>
          </cell>
          <cell r="O648">
            <v>2504</v>
          </cell>
        </row>
        <row r="649">
          <cell r="D649" t="str">
            <v>보통인부</v>
          </cell>
          <cell r="E649" t="str">
            <v>0.018*1.5*1.1</v>
          </cell>
          <cell r="F649" t="str">
            <v>인</v>
          </cell>
          <cell r="G649">
            <v>2.9699999999999997E-2</v>
          </cell>
          <cell r="J649">
            <v>81443</v>
          </cell>
          <cell r="K649">
            <v>2418</v>
          </cell>
          <cell r="N649">
            <v>81443</v>
          </cell>
          <cell r="O649">
            <v>2418</v>
          </cell>
        </row>
        <row r="650">
          <cell r="D650" t="str">
            <v>공구손료</v>
          </cell>
          <cell r="E650" t="str">
            <v>노무비의</v>
          </cell>
          <cell r="F650" t="str">
            <v>%</v>
          </cell>
          <cell r="G650">
            <v>3</v>
          </cell>
          <cell r="L650">
            <v>4922</v>
          </cell>
          <cell r="M650">
            <v>147</v>
          </cell>
          <cell r="N650">
            <v>4922</v>
          </cell>
          <cell r="O650">
            <v>147</v>
          </cell>
        </row>
        <row r="652">
          <cell r="A652">
            <v>36</v>
          </cell>
          <cell r="C652" t="str">
            <v>제36호표</v>
          </cell>
          <cell r="D652" t="str">
            <v>파상형경질폴리에틸렌전선관(지중)</v>
          </cell>
          <cell r="E652" t="str">
            <v>ELP 50C 1열</v>
          </cell>
          <cell r="F652" t="str">
            <v>m</v>
          </cell>
          <cell r="G652">
            <v>1.03</v>
          </cell>
          <cell r="I652">
            <v>821</v>
          </cell>
          <cell r="K652">
            <v>4922</v>
          </cell>
          <cell r="M652">
            <v>147</v>
          </cell>
          <cell r="O652">
            <v>5890</v>
          </cell>
          <cell r="P652" t="str">
            <v>전4-31</v>
          </cell>
        </row>
        <row r="654">
          <cell r="D654" t="str">
            <v>파상형경질폴리에틸렌전선관(지중)</v>
          </cell>
          <cell r="E654" t="str">
            <v>ELP 50C 1열</v>
          </cell>
        </row>
        <row r="656">
          <cell r="B656" t="str">
            <v>전선관ELP 50C</v>
          </cell>
          <cell r="C656" t="str">
            <v>재료비</v>
          </cell>
          <cell r="D656" t="str">
            <v>전선관</v>
          </cell>
          <cell r="E656" t="str">
            <v>ELP 50C</v>
          </cell>
          <cell r="F656" t="str">
            <v>m</v>
          </cell>
          <cell r="G656">
            <v>1.03</v>
          </cell>
          <cell r="H656">
            <v>682</v>
          </cell>
          <cell r="I656">
            <v>702</v>
          </cell>
          <cell r="N656">
            <v>682</v>
          </cell>
          <cell r="O656">
            <v>702</v>
          </cell>
        </row>
        <row r="657">
          <cell r="D657" t="str">
            <v>잡재료비</v>
          </cell>
          <cell r="E657" t="str">
            <v>배관배선의</v>
          </cell>
          <cell r="F657" t="str">
            <v>%</v>
          </cell>
          <cell r="G657">
            <v>2</v>
          </cell>
          <cell r="H657">
            <v>702</v>
          </cell>
          <cell r="I657">
            <v>14</v>
          </cell>
          <cell r="N657">
            <v>702</v>
          </cell>
          <cell r="O657">
            <v>14</v>
          </cell>
        </row>
        <row r="658">
          <cell r="D658" t="str">
            <v>전선관 부속자재</v>
          </cell>
          <cell r="E658" t="str">
            <v>배관의</v>
          </cell>
          <cell r="F658" t="str">
            <v>%</v>
          </cell>
          <cell r="G658">
            <v>15</v>
          </cell>
          <cell r="H658">
            <v>702</v>
          </cell>
          <cell r="I658">
            <v>105</v>
          </cell>
          <cell r="N658">
            <v>702</v>
          </cell>
          <cell r="O658">
            <v>105</v>
          </cell>
        </row>
        <row r="660">
          <cell r="C660" t="str">
            <v>노무비</v>
          </cell>
          <cell r="D660" t="str">
            <v>배전전공</v>
          </cell>
          <cell r="E660" t="str">
            <v>(0.007*1.5)*1.1</v>
          </cell>
          <cell r="F660" t="str">
            <v>인</v>
          </cell>
          <cell r="G660">
            <v>1.1550000000000001E-2</v>
          </cell>
          <cell r="J660">
            <v>216877</v>
          </cell>
          <cell r="K660">
            <v>2504</v>
          </cell>
          <cell r="N660">
            <v>216877</v>
          </cell>
          <cell r="O660">
            <v>2504</v>
          </cell>
        </row>
        <row r="661">
          <cell r="D661" t="str">
            <v>보통인부</v>
          </cell>
          <cell r="E661" t="str">
            <v>(0.018*1.5)*1.1</v>
          </cell>
          <cell r="F661" t="str">
            <v>인</v>
          </cell>
          <cell r="G661">
            <v>2.9699999999999997E-2</v>
          </cell>
          <cell r="J661">
            <v>81443</v>
          </cell>
          <cell r="K661">
            <v>2418</v>
          </cell>
          <cell r="N661">
            <v>81443</v>
          </cell>
          <cell r="O661">
            <v>2418</v>
          </cell>
        </row>
        <row r="662">
          <cell r="D662" t="str">
            <v>공구손료</v>
          </cell>
          <cell r="E662" t="str">
            <v>노무비의</v>
          </cell>
          <cell r="F662" t="str">
            <v>%</v>
          </cell>
          <cell r="G662">
            <v>3</v>
          </cell>
          <cell r="L662">
            <v>4922</v>
          </cell>
          <cell r="M662">
            <v>147</v>
          </cell>
          <cell r="N662">
            <v>4922</v>
          </cell>
          <cell r="O662">
            <v>147</v>
          </cell>
        </row>
        <row r="665">
          <cell r="A665">
            <v>37</v>
          </cell>
          <cell r="C665" t="str">
            <v>제37호표</v>
          </cell>
          <cell r="D665" t="str">
            <v>파상형경질폴리에틸렌전선관(지중)</v>
          </cell>
          <cell r="E665" t="str">
            <v>ELP 100C 1열</v>
          </cell>
          <cell r="F665" t="str">
            <v>m</v>
          </cell>
          <cell r="G665">
            <v>1.03</v>
          </cell>
          <cell r="I665">
            <v>2372</v>
          </cell>
          <cell r="K665">
            <v>9131</v>
          </cell>
          <cell r="M665">
            <v>273</v>
          </cell>
          <cell r="O665">
            <v>11776</v>
          </cell>
          <cell r="P665" t="str">
            <v>전4-31</v>
          </cell>
        </row>
        <row r="667">
          <cell r="D667" t="str">
            <v>파상형경질폴리에틸렌전선관(지중)</v>
          </cell>
          <cell r="E667" t="str">
            <v>ELP 100C 1열</v>
          </cell>
        </row>
        <row r="669">
          <cell r="B669" t="str">
            <v>전선관ELP 100C</v>
          </cell>
          <cell r="C669" t="str">
            <v>재료비</v>
          </cell>
          <cell r="D669" t="str">
            <v>전선관</v>
          </cell>
          <cell r="E669" t="str">
            <v>ELP 100C</v>
          </cell>
          <cell r="F669" t="str">
            <v>m</v>
          </cell>
          <cell r="G669">
            <v>1.03</v>
          </cell>
          <cell r="H669">
            <v>1969</v>
          </cell>
          <cell r="I669">
            <v>2028</v>
          </cell>
          <cell r="N669">
            <v>1969</v>
          </cell>
          <cell r="O669">
            <v>2028</v>
          </cell>
        </row>
        <row r="670">
          <cell r="D670" t="str">
            <v>잡재료비</v>
          </cell>
          <cell r="E670" t="str">
            <v>배관배선의</v>
          </cell>
          <cell r="F670" t="str">
            <v>%</v>
          </cell>
          <cell r="G670">
            <v>2</v>
          </cell>
          <cell r="H670">
            <v>2028</v>
          </cell>
          <cell r="I670">
            <v>40</v>
          </cell>
          <cell r="N670">
            <v>2028</v>
          </cell>
          <cell r="O670">
            <v>40</v>
          </cell>
        </row>
        <row r="671">
          <cell r="D671" t="str">
            <v>전선관 부속자재</v>
          </cell>
          <cell r="E671" t="str">
            <v>배관의</v>
          </cell>
          <cell r="F671" t="str">
            <v>%</v>
          </cell>
          <cell r="G671">
            <v>15</v>
          </cell>
          <cell r="H671">
            <v>2028</v>
          </cell>
          <cell r="I671">
            <v>304</v>
          </cell>
          <cell r="N671">
            <v>2028</v>
          </cell>
          <cell r="O671">
            <v>304</v>
          </cell>
        </row>
        <row r="673">
          <cell r="C673" t="str">
            <v>노무비</v>
          </cell>
          <cell r="D673" t="str">
            <v>배전전공</v>
          </cell>
          <cell r="E673" t="str">
            <v>(0.012*1.5)*1.1</v>
          </cell>
          <cell r="F673" t="str">
            <v>인</v>
          </cell>
          <cell r="G673">
            <v>1.9800000000000005E-2</v>
          </cell>
          <cell r="J673">
            <v>216877</v>
          </cell>
          <cell r="K673">
            <v>4294</v>
          </cell>
          <cell r="N673">
            <v>216877</v>
          </cell>
          <cell r="O673">
            <v>4294</v>
          </cell>
        </row>
        <row r="674">
          <cell r="D674" t="str">
            <v>보통인부</v>
          </cell>
          <cell r="E674" t="str">
            <v>(0.036*1.5)*1.1</v>
          </cell>
          <cell r="F674" t="str">
            <v>인</v>
          </cell>
          <cell r="G674">
            <v>5.9399999999999994E-2</v>
          </cell>
          <cell r="J674">
            <v>81443</v>
          </cell>
          <cell r="K674">
            <v>4837</v>
          </cell>
          <cell r="N674">
            <v>81443</v>
          </cell>
          <cell r="O674">
            <v>4837</v>
          </cell>
        </row>
        <row r="675">
          <cell r="D675" t="str">
            <v>공구손료</v>
          </cell>
          <cell r="E675" t="str">
            <v>노무비의</v>
          </cell>
          <cell r="F675" t="str">
            <v>%</v>
          </cell>
          <cell r="G675">
            <v>3</v>
          </cell>
          <cell r="L675">
            <v>9131</v>
          </cell>
          <cell r="M675">
            <v>273</v>
          </cell>
          <cell r="N675">
            <v>9131</v>
          </cell>
          <cell r="O675">
            <v>273</v>
          </cell>
        </row>
        <row r="677">
          <cell r="A677">
            <v>38</v>
          </cell>
          <cell r="C677" t="str">
            <v>제38호표</v>
          </cell>
          <cell r="D677" t="str">
            <v>파상형경질폴리에틸렌전선관(지중)</v>
          </cell>
          <cell r="E677" t="str">
            <v>ELP 100C 2열</v>
          </cell>
          <cell r="F677" t="str">
            <v>m</v>
          </cell>
          <cell r="G677">
            <v>1</v>
          </cell>
          <cell r="I677">
            <v>4745</v>
          </cell>
          <cell r="K677">
            <v>16436</v>
          </cell>
          <cell r="M677">
            <v>493</v>
          </cell>
          <cell r="O677">
            <v>21674</v>
          </cell>
          <cell r="P677" t="str">
            <v>전4-31</v>
          </cell>
        </row>
        <row r="679">
          <cell r="D679" t="str">
            <v>파상형경질폴리에틸렌전선관(지중)</v>
          </cell>
          <cell r="E679" t="str">
            <v>ELP 100C 2열</v>
          </cell>
        </row>
        <row r="681">
          <cell r="B681" t="str">
            <v>전선관ELP 100C</v>
          </cell>
          <cell r="C681" t="str">
            <v>재료비</v>
          </cell>
          <cell r="D681" t="str">
            <v>전선관</v>
          </cell>
          <cell r="E681" t="str">
            <v>ELP 100C</v>
          </cell>
          <cell r="F681" t="str">
            <v>m</v>
          </cell>
          <cell r="G681">
            <v>2.06</v>
          </cell>
          <cell r="H681">
            <v>1969</v>
          </cell>
          <cell r="I681">
            <v>4056</v>
          </cell>
          <cell r="N681">
            <v>1969</v>
          </cell>
          <cell r="O681">
            <v>4056</v>
          </cell>
        </row>
        <row r="682">
          <cell r="D682" t="str">
            <v>잡재료비</v>
          </cell>
          <cell r="E682" t="str">
            <v>배관배선의</v>
          </cell>
          <cell r="F682" t="str">
            <v>%</v>
          </cell>
          <cell r="G682">
            <v>2</v>
          </cell>
          <cell r="H682">
            <v>4056</v>
          </cell>
          <cell r="I682">
            <v>81</v>
          </cell>
          <cell r="N682">
            <v>4056</v>
          </cell>
          <cell r="O682">
            <v>81</v>
          </cell>
        </row>
        <row r="683">
          <cell r="D683" t="str">
            <v>전선관 부속자재</v>
          </cell>
          <cell r="E683" t="str">
            <v>배관의</v>
          </cell>
          <cell r="F683" t="str">
            <v>%</v>
          </cell>
          <cell r="G683">
            <v>15</v>
          </cell>
          <cell r="H683">
            <v>4056</v>
          </cell>
          <cell r="I683">
            <v>608</v>
          </cell>
          <cell r="N683">
            <v>4056</v>
          </cell>
          <cell r="O683">
            <v>608</v>
          </cell>
        </row>
        <row r="685">
          <cell r="C685" t="str">
            <v>노무비</v>
          </cell>
          <cell r="D685" t="str">
            <v>배전전공</v>
          </cell>
          <cell r="E685" t="str">
            <v>((0.012*1.5)*1.1)*1.8</v>
          </cell>
          <cell r="F685" t="str">
            <v>인</v>
          </cell>
          <cell r="G685">
            <v>3.5640000000000012E-2</v>
          </cell>
          <cell r="J685">
            <v>216877</v>
          </cell>
          <cell r="K685">
            <v>7729</v>
          </cell>
          <cell r="N685">
            <v>216877</v>
          </cell>
          <cell r="O685">
            <v>7729</v>
          </cell>
        </row>
        <row r="686">
          <cell r="D686" t="str">
            <v>보통인부</v>
          </cell>
          <cell r="E686" t="str">
            <v>((0.036*1.5)*1.1)*1.8</v>
          </cell>
          <cell r="F686" t="str">
            <v>인</v>
          </cell>
          <cell r="G686">
            <v>0.10691999999999999</v>
          </cell>
          <cell r="J686">
            <v>81443</v>
          </cell>
          <cell r="K686">
            <v>8707</v>
          </cell>
          <cell r="N686">
            <v>81443</v>
          </cell>
          <cell r="O686">
            <v>8707</v>
          </cell>
        </row>
        <row r="687">
          <cell r="D687" t="str">
            <v>공구손료</v>
          </cell>
          <cell r="E687" t="str">
            <v>노무비의</v>
          </cell>
          <cell r="F687" t="str">
            <v>%</v>
          </cell>
          <cell r="G687">
            <v>3</v>
          </cell>
          <cell r="L687">
            <v>16436</v>
          </cell>
          <cell r="M687">
            <v>493</v>
          </cell>
          <cell r="N687">
            <v>16436</v>
          </cell>
          <cell r="O687">
            <v>493</v>
          </cell>
        </row>
        <row r="690">
          <cell r="A690">
            <v>39</v>
          </cell>
          <cell r="B690">
            <v>3</v>
          </cell>
          <cell r="C690" t="str">
            <v>제39호표</v>
          </cell>
          <cell r="D690" t="str">
            <v>후강전선관(노출)</v>
          </cell>
          <cell r="E690" t="str">
            <v>ST 36C 1열</v>
          </cell>
          <cell r="F690" t="str">
            <v>m</v>
          </cell>
          <cell r="G690">
            <v>1.05</v>
          </cell>
          <cell r="I690">
            <v>5637</v>
          </cell>
          <cell r="K690">
            <v>29723</v>
          </cell>
          <cell r="M690">
            <v>891</v>
          </cell>
          <cell r="O690">
            <v>36251</v>
          </cell>
          <cell r="P690" t="str">
            <v>전5-1</v>
          </cell>
        </row>
        <row r="692">
          <cell r="D692" t="str">
            <v>후강전선관(노출)</v>
          </cell>
          <cell r="E692" t="str">
            <v>ST 36C 1열</v>
          </cell>
        </row>
        <row r="694">
          <cell r="B694" t="str">
            <v>전선관ST 36C</v>
          </cell>
          <cell r="C694" t="str">
            <v>재료비</v>
          </cell>
          <cell r="D694" t="str">
            <v>전선관</v>
          </cell>
          <cell r="E694" t="str">
            <v>ST 36C</v>
          </cell>
          <cell r="F694" t="str">
            <v>m</v>
          </cell>
          <cell r="G694">
            <v>1.05</v>
          </cell>
          <cell r="H694">
            <v>4590</v>
          </cell>
          <cell r="I694">
            <v>4819</v>
          </cell>
          <cell r="N694">
            <v>4590</v>
          </cell>
          <cell r="O694">
            <v>4819</v>
          </cell>
        </row>
        <row r="695">
          <cell r="D695" t="str">
            <v>잡재료비</v>
          </cell>
          <cell r="E695" t="str">
            <v>배관배선의</v>
          </cell>
          <cell r="F695" t="str">
            <v>%</v>
          </cell>
          <cell r="G695">
            <v>2</v>
          </cell>
          <cell r="H695">
            <v>4819</v>
          </cell>
          <cell r="I695">
            <v>96</v>
          </cell>
          <cell r="N695">
            <v>4819</v>
          </cell>
          <cell r="O695">
            <v>96</v>
          </cell>
        </row>
        <row r="696">
          <cell r="D696" t="str">
            <v>전선관 부속자재</v>
          </cell>
          <cell r="E696" t="str">
            <v>배관의</v>
          </cell>
          <cell r="F696" t="str">
            <v>%</v>
          </cell>
          <cell r="G696">
            <v>15</v>
          </cell>
          <cell r="H696">
            <v>4819</v>
          </cell>
          <cell r="I696">
            <v>722</v>
          </cell>
          <cell r="N696">
            <v>4819</v>
          </cell>
          <cell r="O696">
            <v>722</v>
          </cell>
        </row>
        <row r="698">
          <cell r="C698" t="str">
            <v>노무비</v>
          </cell>
          <cell r="D698" t="str">
            <v>내선전공</v>
          </cell>
          <cell r="E698" t="str">
            <v>0.2*1.1</v>
          </cell>
          <cell r="F698" t="str">
            <v>인</v>
          </cell>
          <cell r="G698">
            <v>0.22000000000000003</v>
          </cell>
          <cell r="J698">
            <v>135106</v>
          </cell>
          <cell r="K698">
            <v>29723</v>
          </cell>
          <cell r="M698">
            <v>0</v>
          </cell>
          <cell r="N698">
            <v>135106</v>
          </cell>
          <cell r="O698">
            <v>29723</v>
          </cell>
        </row>
        <row r="699">
          <cell r="D699" t="str">
            <v>공구손료</v>
          </cell>
          <cell r="E699" t="str">
            <v>노무비의</v>
          </cell>
          <cell r="F699" t="str">
            <v>%</v>
          </cell>
          <cell r="G699">
            <v>3</v>
          </cell>
          <cell r="L699">
            <v>29723</v>
          </cell>
          <cell r="M699">
            <v>891</v>
          </cell>
          <cell r="N699">
            <v>29723</v>
          </cell>
          <cell r="O699">
            <v>891</v>
          </cell>
        </row>
        <row r="701">
          <cell r="A701">
            <v>40</v>
          </cell>
          <cell r="B701">
            <v>3</v>
          </cell>
          <cell r="C701" t="str">
            <v>제40호표</v>
          </cell>
          <cell r="D701" t="str">
            <v>케이블 신설(지중)</v>
          </cell>
          <cell r="E701" t="str">
            <v>600V F-CV 2C/4㎟</v>
          </cell>
          <cell r="F701" t="str">
            <v>m</v>
          </cell>
          <cell r="G701">
            <v>1.03</v>
          </cell>
          <cell r="I701">
            <v>1781</v>
          </cell>
          <cell r="K701">
            <v>2735</v>
          </cell>
          <cell r="M701">
            <v>82</v>
          </cell>
          <cell r="O701">
            <v>4598</v>
          </cell>
          <cell r="P701" t="str">
            <v>전4-34</v>
          </cell>
        </row>
        <row r="703">
          <cell r="D703" t="str">
            <v>케이블 신설(지중)</v>
          </cell>
          <cell r="E703" t="str">
            <v>600V F-CV 2C/4㎟</v>
          </cell>
        </row>
        <row r="705">
          <cell r="B705" t="str">
            <v>케이블600V F-CV 2C/4㎟</v>
          </cell>
          <cell r="C705" t="str">
            <v>재료비</v>
          </cell>
          <cell r="D705" t="str">
            <v>케이블</v>
          </cell>
          <cell r="E705" t="str">
            <v>600V F-CV 2C/4㎟</v>
          </cell>
          <cell r="F705" t="str">
            <v>m</v>
          </cell>
          <cell r="G705">
            <v>1.03</v>
          </cell>
          <cell r="H705">
            <v>1697</v>
          </cell>
          <cell r="I705">
            <v>1747</v>
          </cell>
          <cell r="K705">
            <v>0</v>
          </cell>
          <cell r="M705">
            <v>0</v>
          </cell>
          <cell r="N705">
            <v>1697</v>
          </cell>
          <cell r="O705">
            <v>1747</v>
          </cell>
        </row>
        <row r="706">
          <cell r="D706" t="str">
            <v>잡재료비</v>
          </cell>
          <cell r="E706" t="str">
            <v>배관배선의</v>
          </cell>
          <cell r="F706" t="str">
            <v>%</v>
          </cell>
          <cell r="G706">
            <v>2</v>
          </cell>
          <cell r="H706">
            <v>1747</v>
          </cell>
          <cell r="I706">
            <v>34</v>
          </cell>
          <cell r="N706">
            <v>1747</v>
          </cell>
          <cell r="O706">
            <v>34</v>
          </cell>
        </row>
        <row r="707">
          <cell r="C707" t="str">
            <v>노무비</v>
          </cell>
          <cell r="D707" t="str">
            <v>저압케이블공</v>
          </cell>
          <cell r="E707" t="str">
            <v>0.00462*1.4*1.5*1.15</v>
          </cell>
          <cell r="F707" t="str">
            <v>인</v>
          </cell>
          <cell r="G707">
            <v>1.1157299999999998E-2</v>
          </cell>
          <cell r="J707">
            <v>163808</v>
          </cell>
          <cell r="K707">
            <v>1827</v>
          </cell>
          <cell r="M707">
            <v>0</v>
          </cell>
          <cell r="N707">
            <v>163808</v>
          </cell>
          <cell r="O707">
            <v>1827</v>
          </cell>
        </row>
        <row r="708">
          <cell r="D708" t="str">
            <v>보통인부</v>
          </cell>
          <cell r="E708" t="str">
            <v>0.00462*1.4*1.5*1.15</v>
          </cell>
          <cell r="F708" t="str">
            <v>인</v>
          </cell>
          <cell r="G708">
            <v>1.1157299999999998E-2</v>
          </cell>
          <cell r="J708">
            <v>81443</v>
          </cell>
          <cell r="K708">
            <v>908</v>
          </cell>
          <cell r="M708">
            <v>0</v>
          </cell>
          <cell r="N708">
            <v>81443</v>
          </cell>
          <cell r="O708">
            <v>908</v>
          </cell>
        </row>
        <row r="709">
          <cell r="D709" t="str">
            <v>공구손료</v>
          </cell>
          <cell r="E709" t="str">
            <v>노무비의</v>
          </cell>
          <cell r="F709" t="str">
            <v>%</v>
          </cell>
          <cell r="G709">
            <v>3</v>
          </cell>
          <cell r="L709">
            <v>2735</v>
          </cell>
          <cell r="M709">
            <v>82</v>
          </cell>
          <cell r="N709">
            <v>2735</v>
          </cell>
          <cell r="O709">
            <v>82</v>
          </cell>
        </row>
        <row r="711">
          <cell r="A711">
            <v>41</v>
          </cell>
          <cell r="B711">
            <v>3</v>
          </cell>
          <cell r="C711" t="str">
            <v>제41호표</v>
          </cell>
          <cell r="D711" t="str">
            <v>케이블 신설(가공)</v>
          </cell>
          <cell r="E711" t="str">
            <v>600V F-CV 2C/4㎟</v>
          </cell>
          <cell r="F711" t="str">
            <v>m</v>
          </cell>
          <cell r="G711">
            <v>1.03</v>
          </cell>
          <cell r="I711">
            <v>1781</v>
          </cell>
          <cell r="K711">
            <v>3401</v>
          </cell>
          <cell r="M711">
            <v>102</v>
          </cell>
          <cell r="O711">
            <v>5284</v>
          </cell>
          <cell r="P711" t="str">
            <v>전4-34</v>
          </cell>
        </row>
        <row r="713">
          <cell r="D713" t="str">
            <v>케이블 신설(가공)</v>
          </cell>
          <cell r="E713" t="str">
            <v>600V F-CV 2C/4㎟</v>
          </cell>
        </row>
        <row r="715">
          <cell r="B715" t="str">
            <v>케이블600V F-CV 2C/4㎟</v>
          </cell>
          <cell r="C715" t="str">
            <v>재료비</v>
          </cell>
          <cell r="D715" t="str">
            <v>케이블</v>
          </cell>
          <cell r="E715" t="str">
            <v>600V F-CV 2C/4㎟</v>
          </cell>
          <cell r="F715" t="str">
            <v>m</v>
          </cell>
          <cell r="G715">
            <v>1.03</v>
          </cell>
          <cell r="H715">
            <v>1697</v>
          </cell>
          <cell r="I715">
            <v>1747</v>
          </cell>
          <cell r="K715">
            <v>0</v>
          </cell>
          <cell r="M715">
            <v>0</v>
          </cell>
          <cell r="N715">
            <v>1697</v>
          </cell>
          <cell r="O715">
            <v>1747</v>
          </cell>
        </row>
        <row r="716">
          <cell r="D716" t="str">
            <v>잡재료비</v>
          </cell>
          <cell r="E716" t="str">
            <v>배관배선의</v>
          </cell>
          <cell r="F716" t="str">
            <v>%</v>
          </cell>
          <cell r="G716">
            <v>2</v>
          </cell>
          <cell r="H716">
            <v>1747</v>
          </cell>
          <cell r="I716">
            <v>34</v>
          </cell>
          <cell r="N716">
            <v>1747</v>
          </cell>
          <cell r="O716">
            <v>34</v>
          </cell>
        </row>
        <row r="718">
          <cell r="C718" t="str">
            <v>노무비</v>
          </cell>
          <cell r="D718" t="str">
            <v>저압케이블공</v>
          </cell>
          <cell r="E718" t="str">
            <v>0.00462*1.4*1.5*1.1*1.3</v>
          </cell>
          <cell r="F718" t="str">
            <v>인</v>
          </cell>
          <cell r="G718">
            <v>1.387386E-2</v>
          </cell>
          <cell r="J718">
            <v>163808</v>
          </cell>
          <cell r="K718">
            <v>2272</v>
          </cell>
          <cell r="M718">
            <v>0</v>
          </cell>
          <cell r="N718">
            <v>163808</v>
          </cell>
          <cell r="O718">
            <v>2272</v>
          </cell>
        </row>
        <row r="719">
          <cell r="D719" t="str">
            <v>보통인부</v>
          </cell>
          <cell r="E719" t="str">
            <v>0.00462*1.4*1.5*1.1*1.3</v>
          </cell>
          <cell r="F719" t="str">
            <v>인</v>
          </cell>
          <cell r="G719">
            <v>1.387386E-2</v>
          </cell>
          <cell r="J719">
            <v>81443</v>
          </cell>
          <cell r="K719">
            <v>1129</v>
          </cell>
          <cell r="M719">
            <v>0</v>
          </cell>
          <cell r="N719">
            <v>81443</v>
          </cell>
          <cell r="O719">
            <v>1129</v>
          </cell>
        </row>
        <row r="720">
          <cell r="D720" t="str">
            <v>공구손료</v>
          </cell>
          <cell r="E720" t="str">
            <v>노무비의</v>
          </cell>
          <cell r="F720" t="str">
            <v>%</v>
          </cell>
          <cell r="G720">
            <v>3</v>
          </cell>
          <cell r="L720">
            <v>3401</v>
          </cell>
          <cell r="M720">
            <v>102</v>
          </cell>
          <cell r="N720">
            <v>3401</v>
          </cell>
          <cell r="O720">
            <v>102</v>
          </cell>
        </row>
        <row r="721">
          <cell r="A721">
            <v>42</v>
          </cell>
          <cell r="B721">
            <v>3</v>
          </cell>
          <cell r="C721" t="str">
            <v>제42호표</v>
          </cell>
          <cell r="D721" t="str">
            <v>케이블 신설(지중)</v>
          </cell>
          <cell r="E721" t="str">
            <v>600V F-CV 2C/6㎟</v>
          </cell>
          <cell r="F721" t="str">
            <v>m</v>
          </cell>
          <cell r="G721">
            <v>1.03</v>
          </cell>
          <cell r="I721">
            <v>2080</v>
          </cell>
          <cell r="K721">
            <v>2735</v>
          </cell>
          <cell r="M721">
            <v>82</v>
          </cell>
          <cell r="O721">
            <v>4897</v>
          </cell>
          <cell r="P721" t="str">
            <v>전4-34</v>
          </cell>
        </row>
        <row r="723">
          <cell r="D723" t="str">
            <v>케이블 신설(지중)</v>
          </cell>
          <cell r="E723" t="str">
            <v>600V F-CV 2C/6㎟</v>
          </cell>
        </row>
        <row r="725">
          <cell r="B725" t="str">
            <v>케이블600V F-CV 2C/6㎟</v>
          </cell>
          <cell r="C725" t="str">
            <v>재료비</v>
          </cell>
          <cell r="D725" t="str">
            <v>케이블</v>
          </cell>
          <cell r="E725" t="str">
            <v>600V F-CV 2C/6㎟</v>
          </cell>
          <cell r="F725" t="str">
            <v>m</v>
          </cell>
          <cell r="G725">
            <v>1.03</v>
          </cell>
          <cell r="H725">
            <v>1981</v>
          </cell>
          <cell r="I725">
            <v>2040</v>
          </cell>
          <cell r="K725">
            <v>0</v>
          </cell>
          <cell r="M725">
            <v>0</v>
          </cell>
          <cell r="N725">
            <v>1981</v>
          </cell>
          <cell r="O725">
            <v>2040</v>
          </cell>
        </row>
        <row r="726">
          <cell r="D726" t="str">
            <v>잡재료비</v>
          </cell>
          <cell r="E726" t="str">
            <v>배관배선의</v>
          </cell>
          <cell r="F726" t="str">
            <v>%</v>
          </cell>
          <cell r="G726">
            <v>2</v>
          </cell>
          <cell r="H726">
            <v>2040</v>
          </cell>
          <cell r="I726">
            <v>40</v>
          </cell>
          <cell r="N726">
            <v>2040</v>
          </cell>
          <cell r="O726">
            <v>40</v>
          </cell>
        </row>
        <row r="728">
          <cell r="C728" t="str">
            <v>노무비</v>
          </cell>
          <cell r="D728" t="str">
            <v>저압케이블공</v>
          </cell>
          <cell r="E728" t="str">
            <v>0.00462*1.4*1.5*1.15</v>
          </cell>
          <cell r="F728" t="str">
            <v>인</v>
          </cell>
          <cell r="G728">
            <v>1.1157299999999998E-2</v>
          </cell>
          <cell r="J728">
            <v>163808</v>
          </cell>
          <cell r="K728">
            <v>1827</v>
          </cell>
          <cell r="M728">
            <v>0</v>
          </cell>
          <cell r="N728">
            <v>163808</v>
          </cell>
          <cell r="O728">
            <v>1827</v>
          </cell>
        </row>
        <row r="729">
          <cell r="D729" t="str">
            <v>보통인부</v>
          </cell>
          <cell r="E729" t="str">
            <v>0.00462*1.4*1.5*1.15</v>
          </cell>
          <cell r="F729" t="str">
            <v>인</v>
          </cell>
          <cell r="G729">
            <v>1.1157299999999998E-2</v>
          </cell>
          <cell r="J729">
            <v>81443</v>
          </cell>
          <cell r="K729">
            <v>908</v>
          </cell>
          <cell r="M729">
            <v>0</v>
          </cell>
          <cell r="N729">
            <v>81443</v>
          </cell>
          <cell r="O729">
            <v>908</v>
          </cell>
        </row>
        <row r="730">
          <cell r="D730" t="str">
            <v>공구손료</v>
          </cell>
          <cell r="E730" t="str">
            <v>노무비의</v>
          </cell>
          <cell r="F730" t="str">
            <v>%</v>
          </cell>
          <cell r="G730">
            <v>3</v>
          </cell>
          <cell r="L730">
            <v>2735</v>
          </cell>
          <cell r="M730">
            <v>82</v>
          </cell>
          <cell r="N730">
            <v>2735</v>
          </cell>
          <cell r="O730">
            <v>82</v>
          </cell>
        </row>
        <row r="732">
          <cell r="A732">
            <v>43</v>
          </cell>
          <cell r="B732">
            <v>3</v>
          </cell>
          <cell r="C732" t="str">
            <v>제43호표</v>
          </cell>
          <cell r="D732" t="str">
            <v>케이블 신설(가공)</v>
          </cell>
          <cell r="E732" t="str">
            <v>600V F-CV 2C/6㎟</v>
          </cell>
          <cell r="F732" t="str">
            <v>m</v>
          </cell>
          <cell r="G732">
            <v>1.03</v>
          </cell>
          <cell r="I732">
            <v>2080</v>
          </cell>
          <cell r="K732">
            <v>3401</v>
          </cell>
          <cell r="M732">
            <v>102</v>
          </cell>
          <cell r="O732">
            <v>5583</v>
          </cell>
          <cell r="P732" t="str">
            <v>전4-34</v>
          </cell>
        </row>
        <row r="734">
          <cell r="D734" t="str">
            <v>케이블 신설(가공)</v>
          </cell>
          <cell r="E734" t="str">
            <v>600V F-CV 2C/6㎟</v>
          </cell>
        </row>
        <row r="736">
          <cell r="B736" t="str">
            <v>케이블600V F-CV 2C/6㎟</v>
          </cell>
          <cell r="C736" t="str">
            <v>재료비</v>
          </cell>
          <cell r="D736" t="str">
            <v>케이블</v>
          </cell>
          <cell r="E736" t="str">
            <v>600V F-CV 2C/6㎟</v>
          </cell>
          <cell r="F736" t="str">
            <v>m</v>
          </cell>
          <cell r="G736">
            <v>1.03</v>
          </cell>
          <cell r="H736">
            <v>1981</v>
          </cell>
          <cell r="I736">
            <v>2040</v>
          </cell>
          <cell r="K736">
            <v>0</v>
          </cell>
          <cell r="M736">
            <v>0</v>
          </cell>
          <cell r="N736">
            <v>1981</v>
          </cell>
          <cell r="O736">
            <v>2040</v>
          </cell>
        </row>
        <row r="737">
          <cell r="D737" t="str">
            <v>잡재료비</v>
          </cell>
          <cell r="E737" t="str">
            <v>배관배선의</v>
          </cell>
          <cell r="F737" t="str">
            <v>%</v>
          </cell>
          <cell r="G737">
            <v>2</v>
          </cell>
          <cell r="H737">
            <v>2040</v>
          </cell>
          <cell r="I737">
            <v>40</v>
          </cell>
          <cell r="N737">
            <v>2040</v>
          </cell>
          <cell r="O737">
            <v>40</v>
          </cell>
        </row>
        <row r="738">
          <cell r="C738" t="str">
            <v>노무비</v>
          </cell>
          <cell r="D738" t="str">
            <v>저압케이블공</v>
          </cell>
          <cell r="E738" t="str">
            <v>0.00462*1.4*1.5*1.1*1.3</v>
          </cell>
          <cell r="F738" t="str">
            <v>인</v>
          </cell>
          <cell r="G738">
            <v>1.387386E-2</v>
          </cell>
          <cell r="J738">
            <v>163808</v>
          </cell>
          <cell r="K738">
            <v>2272</v>
          </cell>
          <cell r="M738">
            <v>0</v>
          </cell>
          <cell r="N738">
            <v>163808</v>
          </cell>
          <cell r="O738">
            <v>2272</v>
          </cell>
        </row>
        <row r="739">
          <cell r="D739" t="str">
            <v>보통인부</v>
          </cell>
          <cell r="E739" t="str">
            <v>0.00462*1.4*1.5*1.1*1.3</v>
          </cell>
          <cell r="F739" t="str">
            <v>인</v>
          </cell>
          <cell r="G739">
            <v>1.387386E-2</v>
          </cell>
          <cell r="J739">
            <v>81443</v>
          </cell>
          <cell r="K739">
            <v>1129</v>
          </cell>
          <cell r="M739">
            <v>0</v>
          </cell>
          <cell r="N739">
            <v>81443</v>
          </cell>
          <cell r="O739">
            <v>1129</v>
          </cell>
        </row>
        <row r="740">
          <cell r="D740" t="str">
            <v>공구손료</v>
          </cell>
          <cell r="E740" t="str">
            <v>노무비의</v>
          </cell>
          <cell r="F740" t="str">
            <v>%</v>
          </cell>
          <cell r="G740">
            <v>3</v>
          </cell>
          <cell r="L740">
            <v>3401</v>
          </cell>
          <cell r="M740">
            <v>102</v>
          </cell>
          <cell r="N740">
            <v>3401</v>
          </cell>
          <cell r="O740">
            <v>102</v>
          </cell>
        </row>
        <row r="742">
          <cell r="A742">
            <v>44</v>
          </cell>
          <cell r="B742">
            <v>3</v>
          </cell>
          <cell r="C742" t="str">
            <v>제44호표</v>
          </cell>
          <cell r="D742" t="str">
            <v>케이블 신설(지중)</v>
          </cell>
          <cell r="E742" t="str">
            <v>F-CVV 5C/1.5㎟</v>
          </cell>
          <cell r="F742" t="str">
            <v>m</v>
          </cell>
          <cell r="G742">
            <v>1.03</v>
          </cell>
          <cell r="I742">
            <v>2001</v>
          </cell>
          <cell r="K742">
            <v>6028</v>
          </cell>
          <cell r="M742">
            <v>180</v>
          </cell>
          <cell r="O742">
            <v>8209</v>
          </cell>
          <cell r="P742" t="str">
            <v>전5-13</v>
          </cell>
        </row>
        <row r="744">
          <cell r="D744" t="str">
            <v>케이블 신설(지중)</v>
          </cell>
          <cell r="E744" t="str">
            <v>F-CVV 5C/1.5㎟</v>
          </cell>
        </row>
        <row r="746">
          <cell r="B746" t="str">
            <v>케이블F-CVV 5C/1.5㎟</v>
          </cell>
          <cell r="C746" t="str">
            <v>재료비</v>
          </cell>
          <cell r="D746" t="str">
            <v>케이블</v>
          </cell>
          <cell r="E746" t="str">
            <v>F-CVV 5C/1.5㎟</v>
          </cell>
          <cell r="F746" t="str">
            <v>m</v>
          </cell>
          <cell r="G746">
            <v>1.03</v>
          </cell>
          <cell r="H746">
            <v>1905</v>
          </cell>
          <cell r="I746">
            <v>1962</v>
          </cell>
          <cell r="N746">
            <v>1905</v>
          </cell>
          <cell r="O746">
            <v>1962</v>
          </cell>
        </row>
        <row r="747">
          <cell r="D747" t="str">
            <v>잡재료비</v>
          </cell>
          <cell r="E747" t="str">
            <v>배관배선의</v>
          </cell>
          <cell r="F747" t="str">
            <v>%</v>
          </cell>
          <cell r="G747">
            <v>2</v>
          </cell>
          <cell r="H747">
            <v>1962</v>
          </cell>
          <cell r="I747">
            <v>39</v>
          </cell>
          <cell r="N747">
            <v>1962</v>
          </cell>
          <cell r="O747">
            <v>39</v>
          </cell>
        </row>
        <row r="748">
          <cell r="C748" t="str">
            <v>노무비</v>
          </cell>
          <cell r="D748" t="str">
            <v>저압케이블공</v>
          </cell>
          <cell r="E748" t="str">
            <v>0.032*1.15</v>
          </cell>
          <cell r="F748" t="str">
            <v>인</v>
          </cell>
          <cell r="G748">
            <v>3.6799999999999999E-2</v>
          </cell>
          <cell r="J748">
            <v>163808</v>
          </cell>
          <cell r="K748">
            <v>6028</v>
          </cell>
          <cell r="M748">
            <v>0</v>
          </cell>
          <cell r="N748">
            <v>163808</v>
          </cell>
          <cell r="O748">
            <v>6028</v>
          </cell>
        </row>
        <row r="749">
          <cell r="D749" t="str">
            <v>공구손료</v>
          </cell>
          <cell r="E749" t="str">
            <v>노무비의</v>
          </cell>
          <cell r="F749" t="str">
            <v>%</v>
          </cell>
          <cell r="G749">
            <v>3</v>
          </cell>
          <cell r="L749">
            <v>6028</v>
          </cell>
          <cell r="M749">
            <v>180</v>
          </cell>
          <cell r="N749">
            <v>6028</v>
          </cell>
          <cell r="O749">
            <v>180</v>
          </cell>
        </row>
        <row r="751">
          <cell r="A751">
            <v>45</v>
          </cell>
          <cell r="B751">
            <v>3</v>
          </cell>
          <cell r="C751" t="str">
            <v>제45호표</v>
          </cell>
          <cell r="D751" t="str">
            <v>케이블 신설(가공)</v>
          </cell>
          <cell r="E751" t="str">
            <v>F-CVV 5C/1.5㎟</v>
          </cell>
          <cell r="F751" t="str">
            <v>m</v>
          </cell>
          <cell r="G751">
            <v>1.03</v>
          </cell>
          <cell r="I751">
            <v>2001</v>
          </cell>
          <cell r="K751">
            <v>7495</v>
          </cell>
          <cell r="M751">
            <v>224</v>
          </cell>
          <cell r="O751">
            <v>9720</v>
          </cell>
          <cell r="P751" t="str">
            <v>전5-13</v>
          </cell>
        </row>
        <row r="753">
          <cell r="D753" t="str">
            <v>케이블 신설(가공)</v>
          </cell>
          <cell r="E753" t="str">
            <v>F-CVV 5C/1.5㎟</v>
          </cell>
        </row>
        <row r="755">
          <cell r="B755" t="str">
            <v>케이블F-CVV 5C/1.5㎟</v>
          </cell>
          <cell r="C755" t="str">
            <v>재료비</v>
          </cell>
          <cell r="D755" t="str">
            <v>케이블</v>
          </cell>
          <cell r="E755" t="str">
            <v>F-CVV 5C/1.5㎟</v>
          </cell>
          <cell r="F755" t="str">
            <v>m</v>
          </cell>
          <cell r="G755">
            <v>1.03</v>
          </cell>
          <cell r="H755">
            <v>1905</v>
          </cell>
          <cell r="I755">
            <v>1962</v>
          </cell>
          <cell r="N755">
            <v>1905</v>
          </cell>
          <cell r="O755">
            <v>1962</v>
          </cell>
        </row>
        <row r="756">
          <cell r="D756" t="str">
            <v>잡재료비</v>
          </cell>
          <cell r="E756" t="str">
            <v>배관배선의</v>
          </cell>
          <cell r="F756" t="str">
            <v>%</v>
          </cell>
          <cell r="G756">
            <v>2</v>
          </cell>
          <cell r="H756">
            <v>1962</v>
          </cell>
          <cell r="I756">
            <v>39</v>
          </cell>
          <cell r="N756">
            <v>1962</v>
          </cell>
          <cell r="O756">
            <v>39</v>
          </cell>
        </row>
        <row r="757">
          <cell r="C757" t="str">
            <v>노무비</v>
          </cell>
          <cell r="D757" t="str">
            <v>저압케이블공</v>
          </cell>
          <cell r="E757" t="str">
            <v>0.032*1.1*1.3</v>
          </cell>
          <cell r="F757" t="str">
            <v>인</v>
          </cell>
          <cell r="G757">
            <v>4.5760000000000009E-2</v>
          </cell>
          <cell r="J757">
            <v>163808</v>
          </cell>
          <cell r="K757">
            <v>7495</v>
          </cell>
          <cell r="M757">
            <v>0</v>
          </cell>
          <cell r="N757">
            <v>163808</v>
          </cell>
          <cell r="O757">
            <v>7495</v>
          </cell>
        </row>
        <row r="758">
          <cell r="D758" t="str">
            <v>공구손료</v>
          </cell>
          <cell r="E758" t="str">
            <v>노무비의</v>
          </cell>
          <cell r="F758" t="str">
            <v>%</v>
          </cell>
          <cell r="G758">
            <v>3</v>
          </cell>
          <cell r="L758">
            <v>7495</v>
          </cell>
          <cell r="M758">
            <v>224</v>
          </cell>
          <cell r="N758">
            <v>7495</v>
          </cell>
          <cell r="O758">
            <v>224</v>
          </cell>
        </row>
        <row r="759">
          <cell r="A759">
            <v>46</v>
          </cell>
          <cell r="B759">
            <v>3</v>
          </cell>
          <cell r="C759" t="str">
            <v>제46호표</v>
          </cell>
          <cell r="D759" t="str">
            <v>접지선 신설(지중)</v>
          </cell>
          <cell r="E759" t="str">
            <v>F-GV 4㎟</v>
          </cell>
          <cell r="F759" t="str">
            <v>m</v>
          </cell>
          <cell r="G759">
            <v>1.05</v>
          </cell>
          <cell r="I759">
            <v>771</v>
          </cell>
          <cell r="K759">
            <v>1587</v>
          </cell>
          <cell r="M759">
            <v>47</v>
          </cell>
          <cell r="O759">
            <v>2405</v>
          </cell>
          <cell r="P759" t="str">
            <v>전 4-34</v>
          </cell>
        </row>
        <row r="761">
          <cell r="D761" t="str">
            <v>접지선 신설(지중)</v>
          </cell>
          <cell r="E761" t="str">
            <v>F-GV 4㎟</v>
          </cell>
        </row>
        <row r="763">
          <cell r="B763" t="str">
            <v>전선F-GV 4㎟</v>
          </cell>
          <cell r="C763" t="str">
            <v>재료비</v>
          </cell>
          <cell r="D763" t="str">
            <v>전선</v>
          </cell>
          <cell r="E763" t="str">
            <v>F-GV 4㎟</v>
          </cell>
          <cell r="F763" t="str">
            <v>m</v>
          </cell>
          <cell r="G763">
            <v>1.05</v>
          </cell>
          <cell r="H763">
            <v>720</v>
          </cell>
          <cell r="I763">
            <v>756</v>
          </cell>
          <cell r="J763">
            <v>0</v>
          </cell>
          <cell r="L763">
            <v>0</v>
          </cell>
          <cell r="N763">
            <v>720</v>
          </cell>
          <cell r="O763">
            <v>756</v>
          </cell>
        </row>
        <row r="764">
          <cell r="D764" t="str">
            <v>잡재료비</v>
          </cell>
          <cell r="E764" t="str">
            <v>배관배선의</v>
          </cell>
          <cell r="F764" t="str">
            <v>%</v>
          </cell>
          <cell r="G764">
            <v>2</v>
          </cell>
          <cell r="H764">
            <v>756</v>
          </cell>
          <cell r="I764">
            <v>15</v>
          </cell>
          <cell r="N764">
            <v>756</v>
          </cell>
          <cell r="O764">
            <v>15</v>
          </cell>
        </row>
        <row r="766">
          <cell r="C766" t="str">
            <v>노무비</v>
          </cell>
          <cell r="D766" t="str">
            <v>저압케이블공</v>
          </cell>
          <cell r="E766" t="str">
            <v>0.00462*1.15</v>
          </cell>
          <cell r="F766" t="str">
            <v>인</v>
          </cell>
          <cell r="G766">
            <v>5.3129999999999991E-3</v>
          </cell>
          <cell r="I766">
            <v>0</v>
          </cell>
          <cell r="J766">
            <v>163808</v>
          </cell>
          <cell r="K766">
            <v>870</v>
          </cell>
          <cell r="M766">
            <v>0</v>
          </cell>
          <cell r="N766">
            <v>163808</v>
          </cell>
          <cell r="O766">
            <v>870</v>
          </cell>
          <cell r="P766">
            <v>0</v>
          </cell>
        </row>
        <row r="767">
          <cell r="D767" t="str">
            <v>내선전공</v>
          </cell>
          <cell r="E767" t="str">
            <v>0.00462*1.15</v>
          </cell>
          <cell r="F767" t="str">
            <v>인</v>
          </cell>
          <cell r="G767">
            <v>5.3129999999999991E-3</v>
          </cell>
          <cell r="J767">
            <v>135106</v>
          </cell>
          <cell r="K767">
            <v>717</v>
          </cell>
          <cell r="N767">
            <v>135106</v>
          </cell>
          <cell r="O767">
            <v>717</v>
          </cell>
        </row>
        <row r="768">
          <cell r="D768" t="str">
            <v>공구손료</v>
          </cell>
          <cell r="E768" t="str">
            <v>노무비의</v>
          </cell>
          <cell r="F768" t="str">
            <v>%</v>
          </cell>
          <cell r="G768">
            <v>3</v>
          </cell>
          <cell r="I768">
            <v>0</v>
          </cell>
          <cell r="L768">
            <v>1587</v>
          </cell>
          <cell r="M768">
            <v>47</v>
          </cell>
          <cell r="N768">
            <v>1587</v>
          </cell>
          <cell r="O768">
            <v>47</v>
          </cell>
        </row>
        <row r="773">
          <cell r="A773">
            <v>47</v>
          </cell>
          <cell r="B773">
            <v>3</v>
          </cell>
          <cell r="C773" t="str">
            <v>제47호표</v>
          </cell>
          <cell r="D773" t="str">
            <v>접지선 신설(지중)</v>
          </cell>
          <cell r="E773" t="str">
            <v>F-GV 10㎟</v>
          </cell>
          <cell r="F773" t="str">
            <v>m</v>
          </cell>
          <cell r="G773">
            <v>1.05</v>
          </cell>
          <cell r="I773">
            <v>1486</v>
          </cell>
          <cell r="K773">
            <v>1662</v>
          </cell>
          <cell r="M773">
            <v>49</v>
          </cell>
          <cell r="O773">
            <v>3197</v>
          </cell>
          <cell r="P773" t="str">
            <v>전 4-34</v>
          </cell>
        </row>
        <row r="775">
          <cell r="D775" t="str">
            <v>접지선 신설(지중)</v>
          </cell>
          <cell r="E775" t="str">
            <v>F-GV 10㎟</v>
          </cell>
        </row>
        <row r="777">
          <cell r="B777" t="str">
            <v>전선F-GV 10㎟</v>
          </cell>
          <cell r="C777" t="str">
            <v>재료비</v>
          </cell>
          <cell r="D777" t="str">
            <v>전선</v>
          </cell>
          <cell r="E777" t="str">
            <v>F-GV 10㎟</v>
          </cell>
          <cell r="F777" t="str">
            <v>m</v>
          </cell>
          <cell r="G777">
            <v>1.05</v>
          </cell>
          <cell r="H777">
            <v>1388</v>
          </cell>
          <cell r="I777">
            <v>1457</v>
          </cell>
          <cell r="J777">
            <v>0</v>
          </cell>
          <cell r="L777">
            <v>0</v>
          </cell>
          <cell r="N777">
            <v>1388</v>
          </cell>
          <cell r="O777">
            <v>1457</v>
          </cell>
        </row>
        <row r="778">
          <cell r="D778" t="str">
            <v>잡재료비</v>
          </cell>
          <cell r="E778" t="str">
            <v>배관배선의</v>
          </cell>
          <cell r="F778" t="str">
            <v>%</v>
          </cell>
          <cell r="G778">
            <v>2</v>
          </cell>
          <cell r="H778">
            <v>1457</v>
          </cell>
          <cell r="I778">
            <v>29</v>
          </cell>
          <cell r="N778">
            <v>1457</v>
          </cell>
          <cell r="O778">
            <v>29</v>
          </cell>
        </row>
        <row r="780">
          <cell r="C780" t="str">
            <v>노무비</v>
          </cell>
          <cell r="D780" t="str">
            <v>저압케이블공</v>
          </cell>
          <cell r="E780" t="str">
            <v>0.00484*1.15</v>
          </cell>
          <cell r="F780" t="str">
            <v>인</v>
          </cell>
          <cell r="G780">
            <v>5.5659999999999989E-3</v>
          </cell>
          <cell r="I780">
            <v>0</v>
          </cell>
          <cell r="J780">
            <v>163808</v>
          </cell>
          <cell r="K780">
            <v>911</v>
          </cell>
          <cell r="M780">
            <v>0</v>
          </cell>
          <cell r="N780">
            <v>163808</v>
          </cell>
          <cell r="O780">
            <v>911</v>
          </cell>
          <cell r="P780">
            <v>0</v>
          </cell>
        </row>
        <row r="781">
          <cell r="D781" t="str">
            <v>내선전공</v>
          </cell>
          <cell r="E781" t="str">
            <v>0.00484*1.15</v>
          </cell>
          <cell r="F781" t="str">
            <v>인</v>
          </cell>
          <cell r="G781">
            <v>5.5659999999999989E-3</v>
          </cell>
          <cell r="J781">
            <v>135106</v>
          </cell>
          <cell r="K781">
            <v>751</v>
          </cell>
          <cell r="N781">
            <v>135106</v>
          </cell>
          <cell r="O781">
            <v>751</v>
          </cell>
        </row>
        <row r="782">
          <cell r="D782" t="str">
            <v>공구손료</v>
          </cell>
          <cell r="E782" t="str">
            <v>노무비의</v>
          </cell>
          <cell r="F782" t="str">
            <v>%</v>
          </cell>
          <cell r="G782">
            <v>3</v>
          </cell>
          <cell r="I782">
            <v>0</v>
          </cell>
          <cell r="L782">
            <v>1662</v>
          </cell>
          <cell r="M782">
            <v>49</v>
          </cell>
          <cell r="N782">
            <v>1662</v>
          </cell>
          <cell r="O782">
            <v>49</v>
          </cell>
        </row>
        <row r="784">
          <cell r="A784">
            <v>48</v>
          </cell>
          <cell r="B784">
            <v>3</v>
          </cell>
          <cell r="C784" t="str">
            <v>제48호표</v>
          </cell>
          <cell r="D784" t="str">
            <v>핸드홀 신설(보도블럭)</v>
          </cell>
          <cell r="E784" t="str">
            <v>800x800x800</v>
          </cell>
          <cell r="F784" t="str">
            <v>개소</v>
          </cell>
          <cell r="G784">
            <v>1</v>
          </cell>
          <cell r="I784">
            <v>254410</v>
          </cell>
          <cell r="K784">
            <v>20883</v>
          </cell>
          <cell r="M784">
            <v>2755</v>
          </cell>
          <cell r="O784">
            <v>278048</v>
          </cell>
        </row>
        <row r="786">
          <cell r="D786" t="str">
            <v>핸드홀 신설(보도블럭)</v>
          </cell>
          <cell r="E786" t="str">
            <v>800x800x800</v>
          </cell>
        </row>
        <row r="788">
          <cell r="B788" t="str">
            <v>터파기(경질토사)(기계70%+인력30%)</v>
          </cell>
          <cell r="D788" t="str">
            <v>터파기(경질토사)</v>
          </cell>
          <cell r="E788" t="str">
            <v>(기계70%+인력30%)</v>
          </cell>
          <cell r="F788" t="str">
            <v>㎥</v>
          </cell>
          <cell r="G788">
            <v>1.1155999999999999</v>
          </cell>
          <cell r="H788">
            <v>290</v>
          </cell>
          <cell r="I788">
            <v>323</v>
          </cell>
          <cell r="J788">
            <v>6657</v>
          </cell>
          <cell r="K788">
            <v>7426</v>
          </cell>
          <cell r="L788">
            <v>298</v>
          </cell>
          <cell r="M788">
            <v>332</v>
          </cell>
          <cell r="N788">
            <v>7245</v>
          </cell>
          <cell r="O788">
            <v>8081</v>
          </cell>
          <cell r="P788" t="str">
            <v>제1호표</v>
          </cell>
        </row>
        <row r="789">
          <cell r="B789" t="str">
            <v>되메우기 및 다짐(토사)(기계90%+인력10%)</v>
          </cell>
          <cell r="D789" t="str">
            <v>되메우기 및 다짐(토사)</v>
          </cell>
          <cell r="E789" t="str">
            <v>(기계90%+인력10%)</v>
          </cell>
          <cell r="F789" t="str">
            <v>㎥</v>
          </cell>
          <cell r="G789">
            <v>0.60360000000000003</v>
          </cell>
          <cell r="H789">
            <v>560</v>
          </cell>
          <cell r="I789">
            <v>338</v>
          </cell>
          <cell r="J789">
            <v>6083</v>
          </cell>
          <cell r="K789">
            <v>3671</v>
          </cell>
          <cell r="L789">
            <v>309</v>
          </cell>
          <cell r="M789">
            <v>186</v>
          </cell>
          <cell r="N789">
            <v>6952</v>
          </cell>
          <cell r="O789">
            <v>4195</v>
          </cell>
          <cell r="P789" t="str">
            <v>제4호표</v>
          </cell>
        </row>
        <row r="790">
          <cell r="B790" t="str">
            <v>모래세사,왕사(도착도)</v>
          </cell>
          <cell r="D790" t="str">
            <v>모래</v>
          </cell>
          <cell r="E790" t="str">
            <v>세사,왕사(도착도)</v>
          </cell>
          <cell r="F790" t="str">
            <v>㎥</v>
          </cell>
          <cell r="G790">
            <v>2.7E-2</v>
          </cell>
          <cell r="H790">
            <v>22000</v>
          </cell>
          <cell r="I790">
            <v>594</v>
          </cell>
          <cell r="N790">
            <v>22000</v>
          </cell>
          <cell r="O790">
            <v>594</v>
          </cell>
        </row>
        <row r="791">
          <cell r="B791" t="str">
            <v>잔토처리(사토장)0</v>
          </cell>
          <cell r="D791" t="str">
            <v>잔토처리(사토장)</v>
          </cell>
          <cell r="E791">
            <v>0</v>
          </cell>
          <cell r="F791" t="str">
            <v>㎥</v>
          </cell>
          <cell r="G791">
            <v>0.51200000000000001</v>
          </cell>
          <cell r="H791">
            <v>3073</v>
          </cell>
          <cell r="I791">
            <v>1573</v>
          </cell>
          <cell r="J791">
            <v>10537</v>
          </cell>
          <cell r="K791">
            <v>5394</v>
          </cell>
          <cell r="L791">
            <v>2462</v>
          </cell>
          <cell r="M791">
            <v>1260</v>
          </cell>
          <cell r="N791">
            <v>16072</v>
          </cell>
          <cell r="O791">
            <v>8227</v>
          </cell>
          <cell r="P791" t="str">
            <v>제6호표</v>
          </cell>
        </row>
        <row r="792">
          <cell r="B792" t="str">
            <v>핸드홀(800x800x800)주물뚜껑포함</v>
          </cell>
          <cell r="D792" t="str">
            <v>핸드홀(800x800x800)</v>
          </cell>
          <cell r="E792" t="str">
            <v>주물뚜껑포함</v>
          </cell>
          <cell r="F792" t="str">
            <v>개</v>
          </cell>
          <cell r="G792">
            <v>1</v>
          </cell>
          <cell r="H792">
            <v>250000</v>
          </cell>
          <cell r="I792">
            <v>250000</v>
          </cell>
          <cell r="K792">
            <v>0</v>
          </cell>
          <cell r="M792">
            <v>0</v>
          </cell>
          <cell r="N792">
            <v>250000</v>
          </cell>
          <cell r="O792">
            <v>250000</v>
          </cell>
        </row>
        <row r="793">
          <cell r="B793" t="str">
            <v>보도블럭 철거소형고압블럭</v>
          </cell>
          <cell r="D793" t="str">
            <v>보도블럭 철거</v>
          </cell>
          <cell r="E793" t="str">
            <v>소형고압블럭</v>
          </cell>
          <cell r="F793" t="str">
            <v>㎡</v>
          </cell>
          <cell r="G793">
            <v>1.5875999999999999</v>
          </cell>
          <cell r="H793">
            <v>258.20400000000001</v>
          </cell>
          <cell r="I793">
            <v>409</v>
          </cell>
          <cell r="J793">
            <v>1261.4069999999999</v>
          </cell>
          <cell r="K793">
            <v>2002</v>
          </cell>
          <cell r="L793">
            <v>265.02</v>
          </cell>
          <cell r="M793">
            <v>420</v>
          </cell>
          <cell r="N793">
            <v>1784</v>
          </cell>
          <cell r="O793">
            <v>2831</v>
          </cell>
          <cell r="P793" t="str">
            <v>제20호표</v>
          </cell>
        </row>
        <row r="794">
          <cell r="B794" t="str">
            <v>보도블럭재사용 복구소형고압블럭</v>
          </cell>
          <cell r="D794" t="str">
            <v>보도블럭재사용 복구</v>
          </cell>
          <cell r="E794" t="str">
            <v>소형고압블럭</v>
          </cell>
          <cell r="F794" t="str">
            <v>㎡</v>
          </cell>
          <cell r="G794">
            <v>0.9476</v>
          </cell>
          <cell r="H794">
            <v>1238.6000000000001</v>
          </cell>
          <cell r="I794">
            <v>1173</v>
          </cell>
          <cell r="J794">
            <v>2522.8139999999999</v>
          </cell>
          <cell r="K794">
            <v>2390</v>
          </cell>
          <cell r="L794">
            <v>588.48599999999999</v>
          </cell>
          <cell r="M794">
            <v>557</v>
          </cell>
          <cell r="N794">
            <v>4349</v>
          </cell>
          <cell r="O794">
            <v>4120</v>
          </cell>
          <cell r="P794" t="str">
            <v>제22호표</v>
          </cell>
        </row>
        <row r="795">
          <cell r="D795" t="str">
            <v>폐기물처리(보도블럭)</v>
          </cell>
          <cell r="F795" t="str">
            <v>㎥</v>
          </cell>
          <cell r="G795">
            <v>4.48E-2</v>
          </cell>
          <cell r="P795" t="str">
            <v>별도처리</v>
          </cell>
        </row>
        <row r="798">
          <cell r="A798">
            <v>49</v>
          </cell>
          <cell r="B798">
            <v>3</v>
          </cell>
          <cell r="C798" t="str">
            <v>제49호표</v>
          </cell>
          <cell r="D798" t="str">
            <v>핸드홀 신설(투스콘)</v>
          </cell>
          <cell r="E798" t="str">
            <v>800x800x800</v>
          </cell>
          <cell r="F798" t="str">
            <v>개소</v>
          </cell>
          <cell r="G798">
            <v>1</v>
          </cell>
          <cell r="I798">
            <v>266924</v>
          </cell>
          <cell r="K798">
            <v>28785</v>
          </cell>
          <cell r="M798">
            <v>4523</v>
          </cell>
          <cell r="O798">
            <v>300232</v>
          </cell>
        </row>
        <row r="800">
          <cell r="D800" t="str">
            <v>핸드홀 신설(투스콘)</v>
          </cell>
          <cell r="E800" t="str">
            <v>800x800x800</v>
          </cell>
        </row>
        <row r="802">
          <cell r="B802" t="str">
            <v>터파기(경질토사)(기계70%+인력30%)</v>
          </cell>
          <cell r="D802" t="str">
            <v>터파기(경질토사)</v>
          </cell>
          <cell r="E802" t="str">
            <v>(기계70%+인력30%)</v>
          </cell>
          <cell r="F802" t="str">
            <v>㎥</v>
          </cell>
          <cell r="G802">
            <v>1.1155999999999999</v>
          </cell>
          <cell r="H802">
            <v>290</v>
          </cell>
          <cell r="I802">
            <v>323</v>
          </cell>
          <cell r="J802">
            <v>6657</v>
          </cell>
          <cell r="K802">
            <v>7426</v>
          </cell>
          <cell r="L802">
            <v>298</v>
          </cell>
          <cell r="M802">
            <v>332</v>
          </cell>
          <cell r="N802">
            <v>7245</v>
          </cell>
          <cell r="O802">
            <v>8081</v>
          </cell>
          <cell r="P802" t="str">
            <v>제1호표</v>
          </cell>
        </row>
        <row r="803">
          <cell r="B803" t="str">
            <v>되메우기 및 다짐(토사)(기계90%+인력10%)</v>
          </cell>
          <cell r="D803" t="str">
            <v>되메우기 및 다짐(토사)</v>
          </cell>
          <cell r="E803" t="str">
            <v>(기계90%+인력10%)</v>
          </cell>
          <cell r="F803" t="str">
            <v>㎥</v>
          </cell>
          <cell r="G803">
            <v>0.60360000000000003</v>
          </cell>
          <cell r="H803">
            <v>560</v>
          </cell>
          <cell r="I803">
            <v>338</v>
          </cell>
          <cell r="J803">
            <v>6083</v>
          </cell>
          <cell r="K803">
            <v>3671</v>
          </cell>
          <cell r="L803">
            <v>309</v>
          </cell>
          <cell r="M803">
            <v>186</v>
          </cell>
          <cell r="N803">
            <v>6952</v>
          </cell>
          <cell r="O803">
            <v>4195</v>
          </cell>
          <cell r="P803" t="str">
            <v>제4호표</v>
          </cell>
        </row>
        <row r="804">
          <cell r="B804" t="str">
            <v>보조기층 부설인력식 소규모 장비사용</v>
          </cell>
          <cell r="D804" t="str">
            <v>보조기층 부설</v>
          </cell>
          <cell r="E804" t="str">
            <v>인력식 소규모 장비사용</v>
          </cell>
          <cell r="F804" t="str">
            <v>㎥</v>
          </cell>
          <cell r="G804">
            <v>9.4700000000000006E-2</v>
          </cell>
          <cell r="H804">
            <v>18810</v>
          </cell>
          <cell r="I804">
            <v>1781</v>
          </cell>
          <cell r="J804">
            <v>5394</v>
          </cell>
          <cell r="K804">
            <v>510</v>
          </cell>
          <cell r="L804">
            <v>1678</v>
          </cell>
          <cell r="M804">
            <v>158</v>
          </cell>
          <cell r="N804">
            <v>25882</v>
          </cell>
          <cell r="O804">
            <v>2449</v>
          </cell>
          <cell r="P804" t="str">
            <v>제15호표</v>
          </cell>
        </row>
        <row r="805">
          <cell r="B805" t="str">
            <v>모래세사,왕사(도착도)</v>
          </cell>
          <cell r="D805" t="str">
            <v>모래</v>
          </cell>
          <cell r="E805" t="str">
            <v>세사,왕사(도착도)</v>
          </cell>
          <cell r="F805" t="str">
            <v>㎥</v>
          </cell>
          <cell r="G805">
            <v>2.7E-2</v>
          </cell>
          <cell r="H805">
            <v>22000</v>
          </cell>
          <cell r="I805">
            <v>594</v>
          </cell>
          <cell r="N805">
            <v>22000</v>
          </cell>
          <cell r="O805">
            <v>594</v>
          </cell>
        </row>
        <row r="806">
          <cell r="B806" t="str">
            <v>잔토처리(사토장)0</v>
          </cell>
          <cell r="D806" t="str">
            <v>잔토처리(사토장)</v>
          </cell>
          <cell r="E806">
            <v>0</v>
          </cell>
          <cell r="F806" t="str">
            <v>㎥</v>
          </cell>
          <cell r="G806">
            <v>0.51200000000000001</v>
          </cell>
          <cell r="H806">
            <v>3073</v>
          </cell>
          <cell r="I806">
            <v>1573</v>
          </cell>
          <cell r="J806">
            <v>10537</v>
          </cell>
          <cell r="K806">
            <v>5394</v>
          </cell>
          <cell r="L806">
            <v>2462</v>
          </cell>
          <cell r="M806">
            <v>1260</v>
          </cell>
          <cell r="N806">
            <v>16072</v>
          </cell>
          <cell r="O806">
            <v>8227</v>
          </cell>
          <cell r="P806" t="str">
            <v>제6호표</v>
          </cell>
        </row>
        <row r="807">
          <cell r="B807" t="str">
            <v>핸드홀(800x800x800)주물뚜껑포함</v>
          </cell>
          <cell r="D807" t="str">
            <v>핸드홀(800x800x800)</v>
          </cell>
          <cell r="E807" t="str">
            <v>주물뚜껑포함</v>
          </cell>
          <cell r="F807" t="str">
            <v>개</v>
          </cell>
          <cell r="G807">
            <v>1</v>
          </cell>
          <cell r="H807">
            <v>250000</v>
          </cell>
          <cell r="I807">
            <v>250000</v>
          </cell>
          <cell r="K807">
            <v>0</v>
          </cell>
          <cell r="M807">
            <v>0</v>
          </cell>
          <cell r="N807">
            <v>250000</v>
          </cell>
          <cell r="O807">
            <v>250000</v>
          </cell>
        </row>
        <row r="808">
          <cell r="B808" t="str">
            <v>아스팔트,투스콘 포장절단블레이드(D = 320~400, T = 3.2mm)</v>
          </cell>
          <cell r="D808" t="str">
            <v>아스팔트,투스콘 포장절단</v>
          </cell>
          <cell r="E808" t="str">
            <v>블레이드(D = 320~400, T = 3.2mm)</v>
          </cell>
          <cell r="F808" t="str">
            <v>m</v>
          </cell>
          <cell r="G808">
            <v>5.04</v>
          </cell>
          <cell r="H808">
            <v>750.15428571428572</v>
          </cell>
          <cell r="I808">
            <v>3780</v>
          </cell>
          <cell r="J808">
            <v>1608.8371428571429</v>
          </cell>
          <cell r="K808">
            <v>8108</v>
          </cell>
          <cell r="L808">
            <v>212.18285714285713</v>
          </cell>
          <cell r="M808">
            <v>1069</v>
          </cell>
          <cell r="N808">
            <v>2571</v>
          </cell>
          <cell r="O808">
            <v>12957</v>
          </cell>
          <cell r="P808" t="str">
            <v>제8호표</v>
          </cell>
        </row>
        <row r="809">
          <cell r="B809" t="str">
            <v>아스팔트,투스콘 포장깨기대형브레이커+굴삭기(무한궤도) 0.2㎡</v>
          </cell>
          <cell r="D809" t="str">
            <v>아스팔트,투스콘 포장깨기</v>
          </cell>
          <cell r="E809" t="str">
            <v>대형브레이커+굴삭기(무한궤도) 0.2㎡</v>
          </cell>
          <cell r="F809" t="str">
            <v>㎥</v>
          </cell>
          <cell r="G809">
            <v>9.5000000000000001E-2</v>
          </cell>
          <cell r="H809">
            <v>6190</v>
          </cell>
          <cell r="I809">
            <v>588</v>
          </cell>
          <cell r="J809">
            <v>18758</v>
          </cell>
          <cell r="K809">
            <v>1782</v>
          </cell>
          <cell r="L809">
            <v>11188</v>
          </cell>
          <cell r="M809">
            <v>1062</v>
          </cell>
          <cell r="N809">
            <v>36136</v>
          </cell>
          <cell r="O809">
            <v>3432</v>
          </cell>
          <cell r="P809" t="str">
            <v>제10호표</v>
          </cell>
        </row>
        <row r="810">
          <cell r="B810" t="str">
            <v>보도용 투스콘포장적색 (180Kg/㎠)</v>
          </cell>
          <cell r="D810" t="str">
            <v>보도용 투스콘포장</v>
          </cell>
          <cell r="E810" t="str">
            <v>적색 (180Kg/㎠)</v>
          </cell>
          <cell r="F810" t="str">
            <v>㎡</v>
          </cell>
          <cell r="G810">
            <v>0.9476</v>
          </cell>
          <cell r="H810">
            <v>8387</v>
          </cell>
          <cell r="I810">
            <v>7947</v>
          </cell>
          <cell r="J810">
            <v>1999</v>
          </cell>
          <cell r="K810">
            <v>1894</v>
          </cell>
          <cell r="L810">
            <v>482</v>
          </cell>
          <cell r="M810">
            <v>456</v>
          </cell>
          <cell r="N810">
            <v>10868</v>
          </cell>
          <cell r="O810">
            <v>10297</v>
          </cell>
          <cell r="P810" t="str">
            <v>제16호표</v>
          </cell>
        </row>
        <row r="811">
          <cell r="D811" t="str">
            <v>폐기물처리(투스콘)</v>
          </cell>
          <cell r="F811" t="str">
            <v>㎥</v>
          </cell>
          <cell r="G811">
            <v>9.5000000000000001E-2</v>
          </cell>
          <cell r="P811" t="str">
            <v>별도처리</v>
          </cell>
        </row>
        <row r="813">
          <cell r="A813">
            <v>50</v>
          </cell>
          <cell r="B813">
            <v>3</v>
          </cell>
          <cell r="C813" t="str">
            <v>제50호표</v>
          </cell>
          <cell r="D813" t="str">
            <v>철주기초 설치(보도블럭)</v>
          </cell>
          <cell r="E813" t="str">
            <v>800 x 1400 x 2000(Ø300)</v>
          </cell>
          <cell r="F813" t="str">
            <v>개소</v>
          </cell>
          <cell r="G813">
            <v>1</v>
          </cell>
          <cell r="I813">
            <v>1009274</v>
          </cell>
          <cell r="K813">
            <v>389898</v>
          </cell>
          <cell r="M813">
            <v>17103</v>
          </cell>
          <cell r="O813">
            <v>1416275</v>
          </cell>
        </row>
        <row r="815">
          <cell r="D815" t="str">
            <v>철주기초 설치(보도블럭)</v>
          </cell>
          <cell r="E815" t="str">
            <v>800 x 1400 x 2000(Ø300)</v>
          </cell>
        </row>
        <row r="816">
          <cell r="B816" t="str">
            <v>철주기초앙카Ø300</v>
          </cell>
          <cell r="D816" t="str">
            <v>철주기초앙카</v>
          </cell>
          <cell r="E816" t="str">
            <v>Ø300</v>
          </cell>
          <cell r="F816" t="str">
            <v>개</v>
          </cell>
          <cell r="G816">
            <v>1</v>
          </cell>
          <cell r="H816">
            <v>700000</v>
          </cell>
          <cell r="I816">
            <v>700000</v>
          </cell>
          <cell r="N816">
            <v>700000</v>
          </cell>
          <cell r="O816">
            <v>700000</v>
          </cell>
        </row>
        <row r="817">
          <cell r="B817" t="str">
            <v>터파기(경질토사)(기계70%+인력30%)</v>
          </cell>
          <cell r="D817" t="str">
            <v>터파기(경질토사)</v>
          </cell>
          <cell r="E817" t="str">
            <v>(기계70%+인력30%)</v>
          </cell>
          <cell r="F817" t="str">
            <v>㎥</v>
          </cell>
          <cell r="G817">
            <v>7.2240000000000002</v>
          </cell>
          <cell r="H817">
            <v>290</v>
          </cell>
          <cell r="I817">
            <v>2094</v>
          </cell>
          <cell r="J817">
            <v>6657</v>
          </cell>
          <cell r="K817">
            <v>48090</v>
          </cell>
          <cell r="L817">
            <v>298</v>
          </cell>
          <cell r="M817">
            <v>2152</v>
          </cell>
          <cell r="N817">
            <v>7245</v>
          </cell>
          <cell r="O817">
            <v>52336</v>
          </cell>
          <cell r="P817" t="str">
            <v>제1호표</v>
          </cell>
        </row>
        <row r="818">
          <cell r="B818" t="str">
            <v>되메우기 및 다짐(토사)(기계90%+인력10%)</v>
          </cell>
          <cell r="D818" t="str">
            <v>되메우기 및 다짐(토사)</v>
          </cell>
          <cell r="E818" t="str">
            <v>(기계90%+인력10%)</v>
          </cell>
          <cell r="F818" t="str">
            <v>㎥</v>
          </cell>
          <cell r="G818">
            <v>3.7989999999999999</v>
          </cell>
          <cell r="H818">
            <v>560</v>
          </cell>
          <cell r="I818">
            <v>2127</v>
          </cell>
          <cell r="J818">
            <v>6083</v>
          </cell>
          <cell r="K818">
            <v>23109</v>
          </cell>
          <cell r="L818">
            <v>309</v>
          </cell>
          <cell r="M818">
            <v>1173</v>
          </cell>
          <cell r="N818">
            <v>6952</v>
          </cell>
          <cell r="O818">
            <v>26409</v>
          </cell>
          <cell r="P818" t="str">
            <v>제4호표</v>
          </cell>
        </row>
        <row r="819">
          <cell r="B819" t="str">
            <v>모래세사,왕사(도착도)</v>
          </cell>
          <cell r="D819" t="str">
            <v>모래</v>
          </cell>
          <cell r="E819" t="str">
            <v>세사,왕사(도착도)</v>
          </cell>
          <cell r="F819" t="str">
            <v>㎥</v>
          </cell>
          <cell r="G819">
            <v>0.121</v>
          </cell>
          <cell r="H819">
            <v>22000</v>
          </cell>
          <cell r="I819">
            <v>2662</v>
          </cell>
          <cell r="N819">
            <v>22000</v>
          </cell>
          <cell r="O819">
            <v>2662</v>
          </cell>
        </row>
        <row r="820">
          <cell r="B820" t="str">
            <v>잔토처리(사토장)0</v>
          </cell>
          <cell r="D820" t="str">
            <v>잔토처리(사토장)</v>
          </cell>
          <cell r="E820">
            <v>0</v>
          </cell>
          <cell r="F820" t="str">
            <v>㎥</v>
          </cell>
          <cell r="G820">
            <v>3.4249999999999998</v>
          </cell>
          <cell r="H820">
            <v>3073</v>
          </cell>
          <cell r="I820">
            <v>10525</v>
          </cell>
          <cell r="J820">
            <v>10537</v>
          </cell>
          <cell r="K820">
            <v>36089</v>
          </cell>
          <cell r="L820">
            <v>2462</v>
          </cell>
          <cell r="M820">
            <v>8432</v>
          </cell>
          <cell r="N820">
            <v>16072</v>
          </cell>
          <cell r="O820">
            <v>55046</v>
          </cell>
          <cell r="P820" t="str">
            <v>제6호표</v>
          </cell>
        </row>
        <row r="821">
          <cell r="B821" t="str">
            <v>레미콘타설(무근 25-180-8)</v>
          </cell>
          <cell r="D821" t="str">
            <v>레미콘타설</v>
          </cell>
          <cell r="E821" t="str">
            <v>(무근 25-180-8)</v>
          </cell>
          <cell r="F821" t="str">
            <v>㎥</v>
          </cell>
          <cell r="G821">
            <v>3.4249999999999998</v>
          </cell>
          <cell r="H821">
            <v>53550</v>
          </cell>
          <cell r="I821">
            <v>183408</v>
          </cell>
          <cell r="J821">
            <v>26374</v>
          </cell>
          <cell r="K821">
            <v>90330</v>
          </cell>
          <cell r="L821">
            <v>0</v>
          </cell>
          <cell r="M821">
            <v>0</v>
          </cell>
          <cell r="N821">
            <v>79924</v>
          </cell>
          <cell r="O821">
            <v>273738</v>
          </cell>
          <cell r="P821" t="str">
            <v>제29호표</v>
          </cell>
        </row>
        <row r="822">
          <cell r="B822" t="str">
            <v>합판거푸집6회</v>
          </cell>
          <cell r="D822" t="str">
            <v>합판거푸집</v>
          </cell>
          <cell r="E822" t="str">
            <v>6회</v>
          </cell>
          <cell r="F822" t="str">
            <v>㎡</v>
          </cell>
          <cell r="G822">
            <v>10.32</v>
          </cell>
          <cell r="H822">
            <v>6716</v>
          </cell>
          <cell r="I822">
            <v>69309</v>
          </cell>
          <cell r="J822">
            <v>11229</v>
          </cell>
          <cell r="K822">
            <v>115883</v>
          </cell>
          <cell r="L822">
            <v>0</v>
          </cell>
          <cell r="M822">
            <v>0</v>
          </cell>
          <cell r="N822">
            <v>17945</v>
          </cell>
          <cell r="O822">
            <v>185192</v>
          </cell>
          <cell r="P822" t="str">
            <v>제32호표</v>
          </cell>
        </row>
        <row r="823">
          <cell r="B823" t="str">
            <v>철근가공조립(간단)0</v>
          </cell>
          <cell r="D823" t="str">
            <v>철근가공조립(간단)</v>
          </cell>
          <cell r="E823">
            <v>0</v>
          </cell>
          <cell r="F823" t="str">
            <v>ton</v>
          </cell>
          <cell r="G823">
            <v>2.07E-2</v>
          </cell>
          <cell r="H823">
            <v>717650</v>
          </cell>
          <cell r="I823">
            <v>14855</v>
          </cell>
          <cell r="J823">
            <v>411108</v>
          </cell>
          <cell r="K823">
            <v>8509</v>
          </cell>
          <cell r="L823">
            <v>3100</v>
          </cell>
          <cell r="M823">
            <v>64</v>
          </cell>
          <cell r="N823">
            <v>1131858</v>
          </cell>
          <cell r="O823">
            <v>23428</v>
          </cell>
          <cell r="P823" t="str">
            <v>제33호표</v>
          </cell>
        </row>
        <row r="824">
          <cell r="B824" t="str">
            <v>보도블럭 철거소형고압블럭</v>
          </cell>
          <cell r="D824" t="str">
            <v>보도블럭 철거</v>
          </cell>
          <cell r="E824" t="str">
            <v>소형고압블럭</v>
          </cell>
          <cell r="F824" t="str">
            <v>㎡</v>
          </cell>
          <cell r="G824">
            <v>4.84</v>
          </cell>
          <cell r="H824">
            <v>258.20400000000001</v>
          </cell>
          <cell r="I824">
            <v>1249</v>
          </cell>
          <cell r="J824">
            <v>1261.4069999999999</v>
          </cell>
          <cell r="K824">
            <v>6105</v>
          </cell>
          <cell r="L824">
            <v>265.02</v>
          </cell>
          <cell r="M824">
            <v>1282</v>
          </cell>
          <cell r="N824">
            <v>1784</v>
          </cell>
          <cell r="O824">
            <v>8636</v>
          </cell>
          <cell r="P824" t="str">
            <v>제20호표</v>
          </cell>
        </row>
        <row r="825">
          <cell r="B825" t="str">
            <v>보도블럭재사용 복구소형고압블럭</v>
          </cell>
          <cell r="D825" t="str">
            <v>보도블럭재사용 복구</v>
          </cell>
          <cell r="E825" t="str">
            <v>소형고압블럭</v>
          </cell>
          <cell r="F825" t="str">
            <v>㎡</v>
          </cell>
          <cell r="G825">
            <v>4.2</v>
          </cell>
          <cell r="H825">
            <v>1238.6000000000001</v>
          </cell>
          <cell r="I825">
            <v>5202</v>
          </cell>
          <cell r="J825">
            <v>2522.8139999999999</v>
          </cell>
          <cell r="K825">
            <v>10595</v>
          </cell>
          <cell r="L825">
            <v>588.48599999999999</v>
          </cell>
          <cell r="M825">
            <v>2471</v>
          </cell>
          <cell r="N825">
            <v>4349</v>
          </cell>
          <cell r="O825">
            <v>18268</v>
          </cell>
          <cell r="P825" t="str">
            <v>제22호표</v>
          </cell>
        </row>
        <row r="826">
          <cell r="B826" t="str">
            <v>전선관(지중)ELP 30C</v>
          </cell>
          <cell r="D826" t="str">
            <v>전선관(지중)</v>
          </cell>
          <cell r="E826" t="str">
            <v>ELP 30C</v>
          </cell>
          <cell r="F826" t="str">
            <v>m</v>
          </cell>
          <cell r="G826">
            <v>2</v>
          </cell>
          <cell r="H826">
            <v>435</v>
          </cell>
          <cell r="I826">
            <v>870</v>
          </cell>
          <cell r="J826">
            <v>4922</v>
          </cell>
          <cell r="K826">
            <v>9844</v>
          </cell>
          <cell r="L826">
            <v>147</v>
          </cell>
          <cell r="M826">
            <v>294</v>
          </cell>
          <cell r="N826">
            <v>5504</v>
          </cell>
          <cell r="O826">
            <v>11008</v>
          </cell>
          <cell r="P826" t="str">
            <v>제35호표</v>
          </cell>
        </row>
        <row r="827">
          <cell r="B827" t="str">
            <v>접지선 신설(지중)F-GV 10㎟</v>
          </cell>
          <cell r="D827" t="str">
            <v>접지선 신설(지중)</v>
          </cell>
          <cell r="E827" t="str">
            <v>F-GV 10㎟</v>
          </cell>
          <cell r="F827" t="str">
            <v>m</v>
          </cell>
          <cell r="G827">
            <v>5.5</v>
          </cell>
          <cell r="H827">
            <v>1486</v>
          </cell>
          <cell r="I827">
            <v>8173</v>
          </cell>
          <cell r="J827">
            <v>1662</v>
          </cell>
          <cell r="K827">
            <v>9141</v>
          </cell>
          <cell r="L827">
            <v>49</v>
          </cell>
          <cell r="M827">
            <v>269</v>
          </cell>
          <cell r="N827">
            <v>3197</v>
          </cell>
          <cell r="O827">
            <v>17583</v>
          </cell>
          <cell r="P827" t="str">
            <v>제47호표</v>
          </cell>
        </row>
        <row r="828">
          <cell r="B828" t="str">
            <v>접지봉설치(2본)CU 14Ø x 1000L</v>
          </cell>
          <cell r="D828" t="str">
            <v>접지봉설치(2본)</v>
          </cell>
          <cell r="E828" t="str">
            <v>CU 14Ø x 1000L</v>
          </cell>
          <cell r="F828" t="str">
            <v>개소</v>
          </cell>
          <cell r="G828">
            <v>1</v>
          </cell>
          <cell r="H828">
            <v>8800</v>
          </cell>
          <cell r="I828">
            <v>8800</v>
          </cell>
          <cell r="J828">
            <v>32203</v>
          </cell>
          <cell r="K828">
            <v>32203</v>
          </cell>
          <cell r="L828">
            <v>966</v>
          </cell>
          <cell r="M828">
            <v>966</v>
          </cell>
          <cell r="N828">
            <v>41969</v>
          </cell>
          <cell r="O828">
            <v>41969</v>
          </cell>
          <cell r="P828" t="str">
            <v>제63호표</v>
          </cell>
        </row>
        <row r="829">
          <cell r="D829" t="str">
            <v>폐기물처리(보도블럭)</v>
          </cell>
          <cell r="F829" t="str">
            <v>㎥</v>
          </cell>
          <cell r="G829">
            <v>4.48E-2</v>
          </cell>
          <cell r="P829" t="str">
            <v>별도처리</v>
          </cell>
        </row>
        <row r="832">
          <cell r="A832">
            <v>51</v>
          </cell>
          <cell r="B832">
            <v>3</v>
          </cell>
          <cell r="C832" t="str">
            <v>제51호표</v>
          </cell>
          <cell r="D832" t="str">
            <v>철주기초 설치(투스콘)</v>
          </cell>
          <cell r="E832" t="str">
            <v>800 x 1400 x 2000(Ø300)</v>
          </cell>
          <cell r="F832" t="str">
            <v>개소</v>
          </cell>
          <cell r="G832">
            <v>1</v>
          </cell>
          <cell r="I832">
            <v>1054346</v>
          </cell>
          <cell r="K832">
            <v>403462</v>
          </cell>
          <cell r="M832">
            <v>21193</v>
          </cell>
          <cell r="O832">
            <v>1479001</v>
          </cell>
        </row>
        <row r="834">
          <cell r="D834" t="str">
            <v>철주기초 설치(투스콘)</v>
          </cell>
          <cell r="E834" t="str">
            <v>800 x 1400 x 2000(Ø300)</v>
          </cell>
        </row>
        <row r="835">
          <cell r="B835" t="str">
            <v>철주기초앙카Ø300</v>
          </cell>
          <cell r="D835" t="str">
            <v>철주기초앙카</v>
          </cell>
          <cell r="E835" t="str">
            <v>Ø300</v>
          </cell>
          <cell r="F835" t="str">
            <v>개</v>
          </cell>
          <cell r="G835">
            <v>1</v>
          </cell>
          <cell r="H835">
            <v>700000</v>
          </cell>
          <cell r="I835">
            <v>700000</v>
          </cell>
          <cell r="N835">
            <v>700000</v>
          </cell>
          <cell r="O835">
            <v>700000</v>
          </cell>
        </row>
        <row r="836">
          <cell r="B836" t="str">
            <v>터파기(경질토사)(기계70%+인력30%)</v>
          </cell>
          <cell r="D836" t="str">
            <v>터파기(경질토사)</v>
          </cell>
          <cell r="E836" t="str">
            <v>(기계70%+인력30%)</v>
          </cell>
          <cell r="F836" t="str">
            <v>㎥</v>
          </cell>
          <cell r="G836">
            <v>7.2240000000000002</v>
          </cell>
          <cell r="H836">
            <v>290</v>
          </cell>
          <cell r="I836">
            <v>2094</v>
          </cell>
          <cell r="J836">
            <v>6657</v>
          </cell>
          <cell r="K836">
            <v>48090</v>
          </cell>
          <cell r="L836">
            <v>298</v>
          </cell>
          <cell r="M836">
            <v>2152</v>
          </cell>
          <cell r="N836">
            <v>7245</v>
          </cell>
          <cell r="O836">
            <v>52336</v>
          </cell>
          <cell r="P836" t="str">
            <v>제1호표</v>
          </cell>
        </row>
        <row r="837">
          <cell r="B837" t="str">
            <v>되메우기 및 다짐(토사)(기계90%+인력10%)</v>
          </cell>
          <cell r="D837" t="str">
            <v>되메우기 및 다짐(토사)</v>
          </cell>
          <cell r="E837" t="str">
            <v>(기계90%+인력10%)</v>
          </cell>
          <cell r="F837" t="str">
            <v>㎥</v>
          </cell>
          <cell r="G837">
            <v>3.7989999999999999</v>
          </cell>
          <cell r="H837">
            <v>560</v>
          </cell>
          <cell r="I837">
            <v>2127</v>
          </cell>
          <cell r="J837">
            <v>6083</v>
          </cell>
          <cell r="K837">
            <v>23109</v>
          </cell>
          <cell r="L837">
            <v>309</v>
          </cell>
          <cell r="M837">
            <v>1173</v>
          </cell>
          <cell r="N837">
            <v>6952</v>
          </cell>
          <cell r="O837">
            <v>26409</v>
          </cell>
          <cell r="P837" t="str">
            <v>제4호표</v>
          </cell>
        </row>
        <row r="838">
          <cell r="B838" t="str">
            <v>모래세사,왕사(도착도)</v>
          </cell>
          <cell r="D838" t="str">
            <v>모래</v>
          </cell>
          <cell r="E838" t="str">
            <v>세사,왕사(도착도)</v>
          </cell>
          <cell r="F838" t="str">
            <v>㎥</v>
          </cell>
          <cell r="G838">
            <v>0.121</v>
          </cell>
          <cell r="H838">
            <v>22000</v>
          </cell>
          <cell r="I838">
            <v>2662</v>
          </cell>
          <cell r="N838">
            <v>22000</v>
          </cell>
          <cell r="O838">
            <v>2662</v>
          </cell>
        </row>
        <row r="839">
          <cell r="B839" t="str">
            <v>잔토처리(사토장)0</v>
          </cell>
          <cell r="D839" t="str">
            <v>잔토처리(사토장)</v>
          </cell>
          <cell r="E839">
            <v>0</v>
          </cell>
          <cell r="F839" t="str">
            <v>㎥</v>
          </cell>
          <cell r="G839">
            <v>3.4249999999999998</v>
          </cell>
          <cell r="H839">
            <v>3073</v>
          </cell>
          <cell r="I839">
            <v>10525</v>
          </cell>
          <cell r="J839">
            <v>10537</v>
          </cell>
          <cell r="K839">
            <v>36089</v>
          </cell>
          <cell r="L839">
            <v>2462</v>
          </cell>
          <cell r="M839">
            <v>8432</v>
          </cell>
          <cell r="N839">
            <v>16072</v>
          </cell>
          <cell r="O839">
            <v>55046</v>
          </cell>
          <cell r="P839" t="str">
            <v>제6호표</v>
          </cell>
        </row>
        <row r="840">
          <cell r="B840" t="str">
            <v>레미콘타설(무근 25-180-8)</v>
          </cell>
          <cell r="D840" t="str">
            <v>레미콘타설</v>
          </cell>
          <cell r="E840" t="str">
            <v>(무근 25-180-8)</v>
          </cell>
          <cell r="F840" t="str">
            <v>㎥</v>
          </cell>
          <cell r="G840">
            <v>3.4249999999999998</v>
          </cell>
          <cell r="H840">
            <v>53550</v>
          </cell>
          <cell r="I840">
            <v>183408</v>
          </cell>
          <cell r="J840">
            <v>26374</v>
          </cell>
          <cell r="K840">
            <v>90330</v>
          </cell>
          <cell r="L840">
            <v>0</v>
          </cell>
          <cell r="M840">
            <v>0</v>
          </cell>
          <cell r="N840">
            <v>79924</v>
          </cell>
          <cell r="O840">
            <v>273738</v>
          </cell>
          <cell r="P840" t="str">
            <v>제29호표</v>
          </cell>
        </row>
        <row r="841">
          <cell r="B841" t="str">
            <v>합판거푸집6회</v>
          </cell>
          <cell r="D841" t="str">
            <v>합판거푸집</v>
          </cell>
          <cell r="E841" t="str">
            <v>6회</v>
          </cell>
          <cell r="F841" t="str">
            <v>㎡</v>
          </cell>
          <cell r="G841">
            <v>10.32</v>
          </cell>
          <cell r="H841">
            <v>6716</v>
          </cell>
          <cell r="I841">
            <v>69309</v>
          </cell>
          <cell r="J841">
            <v>11229</v>
          </cell>
          <cell r="K841">
            <v>115883</v>
          </cell>
          <cell r="L841">
            <v>0</v>
          </cell>
          <cell r="M841">
            <v>0</v>
          </cell>
          <cell r="N841">
            <v>17945</v>
          </cell>
          <cell r="O841">
            <v>185192</v>
          </cell>
          <cell r="P841" t="str">
            <v>제32호표</v>
          </cell>
        </row>
        <row r="842">
          <cell r="B842" t="str">
            <v>철근가공조립(간단)0</v>
          </cell>
          <cell r="D842" t="str">
            <v>철근가공조립(간단)</v>
          </cell>
          <cell r="E842">
            <v>0</v>
          </cell>
          <cell r="F842" t="str">
            <v>ton</v>
          </cell>
          <cell r="G842">
            <v>2.07E-2</v>
          </cell>
          <cell r="H842">
            <v>717650</v>
          </cell>
          <cell r="I842">
            <v>14855</v>
          </cell>
          <cell r="J842">
            <v>411108</v>
          </cell>
          <cell r="K842">
            <v>8509</v>
          </cell>
          <cell r="L842">
            <v>3100</v>
          </cell>
          <cell r="M842">
            <v>64</v>
          </cell>
          <cell r="N842">
            <v>1131858</v>
          </cell>
          <cell r="O842">
            <v>23428</v>
          </cell>
          <cell r="P842" t="str">
            <v>제33호표</v>
          </cell>
        </row>
        <row r="843">
          <cell r="B843" t="str">
            <v>보조기층 부설인력식 소규모 장비사용</v>
          </cell>
          <cell r="D843" t="str">
            <v>보조기층 부설</v>
          </cell>
          <cell r="E843" t="str">
            <v>인력식 소규모 장비사용</v>
          </cell>
          <cell r="F843" t="str">
            <v>㎥</v>
          </cell>
          <cell r="G843">
            <v>0.42</v>
          </cell>
          <cell r="H843">
            <v>18810</v>
          </cell>
          <cell r="I843">
            <v>7900</v>
          </cell>
          <cell r="J843">
            <v>5394</v>
          </cell>
          <cell r="K843">
            <v>2265</v>
          </cell>
          <cell r="L843">
            <v>1678</v>
          </cell>
          <cell r="M843">
            <v>704</v>
          </cell>
          <cell r="N843">
            <v>25882</v>
          </cell>
          <cell r="O843">
            <v>10869</v>
          </cell>
          <cell r="P843" t="str">
            <v>제15호표</v>
          </cell>
        </row>
        <row r="844">
          <cell r="B844" t="str">
            <v>아스팔트,투스콘 포장절단블레이드(D = 320~400, T = 3.2mm)</v>
          </cell>
          <cell r="D844" t="str">
            <v>아스팔트,투스콘 포장절단</v>
          </cell>
          <cell r="E844" t="str">
            <v>블레이드(D = 320~400, T = 3.2mm)</v>
          </cell>
          <cell r="F844" t="str">
            <v>m</v>
          </cell>
          <cell r="G844">
            <v>8.8000000000000007</v>
          </cell>
          <cell r="H844">
            <v>750.15428571428572</v>
          </cell>
          <cell r="I844">
            <v>6601</v>
          </cell>
          <cell r="J844">
            <v>1608.8371428571429</v>
          </cell>
          <cell r="K844">
            <v>14157</v>
          </cell>
          <cell r="L844">
            <v>212.18285714285713</v>
          </cell>
          <cell r="M844">
            <v>1867</v>
          </cell>
          <cell r="N844">
            <v>2571</v>
          </cell>
          <cell r="O844">
            <v>22625</v>
          </cell>
          <cell r="P844" t="str">
            <v>제8호표</v>
          </cell>
        </row>
        <row r="845">
          <cell r="B845" t="str">
            <v>아스팔트,투스콘 포장깨기대형브레이커+굴삭기(무한궤도) 0.2㎡</v>
          </cell>
          <cell r="D845" t="str">
            <v>아스팔트,투스콘 포장깨기</v>
          </cell>
          <cell r="E845" t="str">
            <v>대형브레이커+굴삭기(무한궤도) 0.2㎡</v>
          </cell>
          <cell r="F845" t="str">
            <v>㎥</v>
          </cell>
          <cell r="G845">
            <v>0.29039999999999999</v>
          </cell>
          <cell r="H845">
            <v>6190</v>
          </cell>
          <cell r="I845">
            <v>1797</v>
          </cell>
          <cell r="J845">
            <v>18758</v>
          </cell>
          <cell r="K845">
            <v>5447</v>
          </cell>
          <cell r="L845">
            <v>11188</v>
          </cell>
          <cell r="M845">
            <v>3248</v>
          </cell>
          <cell r="N845">
            <v>36136</v>
          </cell>
          <cell r="O845">
            <v>10492</v>
          </cell>
          <cell r="P845" t="str">
            <v>제10호표</v>
          </cell>
        </row>
        <row r="846">
          <cell r="B846" t="str">
            <v>보도용 투스콘포장적색 (180Kg/㎠)</v>
          </cell>
          <cell r="D846" t="str">
            <v>보도용 투스콘포장</v>
          </cell>
          <cell r="E846" t="str">
            <v>적색 (180Kg/㎠)</v>
          </cell>
          <cell r="F846" t="str">
            <v>㎡</v>
          </cell>
          <cell r="G846">
            <v>4.2</v>
          </cell>
          <cell r="H846">
            <v>8387</v>
          </cell>
          <cell r="I846">
            <v>35225</v>
          </cell>
          <cell r="J846">
            <v>1999</v>
          </cell>
          <cell r="K846">
            <v>8395</v>
          </cell>
          <cell r="L846">
            <v>482</v>
          </cell>
          <cell r="M846">
            <v>2024</v>
          </cell>
          <cell r="N846">
            <v>10868</v>
          </cell>
          <cell r="O846">
            <v>45644</v>
          </cell>
          <cell r="P846" t="str">
            <v>제16호표</v>
          </cell>
        </row>
        <row r="847">
          <cell r="B847" t="str">
            <v>전선관(지중)ELP 30C</v>
          </cell>
          <cell r="D847" t="str">
            <v>전선관(지중)</v>
          </cell>
          <cell r="E847" t="str">
            <v>ELP 30C</v>
          </cell>
          <cell r="F847" t="str">
            <v>m</v>
          </cell>
          <cell r="G847">
            <v>2</v>
          </cell>
          <cell r="H847">
            <v>435</v>
          </cell>
          <cell r="I847">
            <v>870</v>
          </cell>
          <cell r="J847">
            <v>4922</v>
          </cell>
          <cell r="K847">
            <v>9844</v>
          </cell>
          <cell r="L847">
            <v>147</v>
          </cell>
          <cell r="M847">
            <v>294</v>
          </cell>
          <cell r="N847">
            <v>5504</v>
          </cell>
          <cell r="O847">
            <v>11008</v>
          </cell>
          <cell r="P847" t="str">
            <v>제35호표</v>
          </cell>
        </row>
        <row r="848">
          <cell r="B848" t="str">
            <v>접지선 신설(지중)F-GV 10㎟</v>
          </cell>
          <cell r="D848" t="str">
            <v>접지선 신설(지중)</v>
          </cell>
          <cell r="E848" t="str">
            <v>F-GV 10㎟</v>
          </cell>
          <cell r="F848" t="str">
            <v>m</v>
          </cell>
          <cell r="G848">
            <v>5.5</v>
          </cell>
          <cell r="H848">
            <v>1486</v>
          </cell>
          <cell r="I848">
            <v>8173</v>
          </cell>
          <cell r="J848">
            <v>1662</v>
          </cell>
          <cell r="K848">
            <v>9141</v>
          </cell>
          <cell r="L848">
            <v>49</v>
          </cell>
          <cell r="M848">
            <v>269</v>
          </cell>
          <cell r="N848">
            <v>3197</v>
          </cell>
          <cell r="O848">
            <v>17583</v>
          </cell>
          <cell r="P848" t="str">
            <v>제47호표</v>
          </cell>
        </row>
        <row r="849">
          <cell r="B849" t="str">
            <v>접지봉설치(2본)CU 14Ø x 1000L</v>
          </cell>
          <cell r="D849" t="str">
            <v>접지봉설치(2본)</v>
          </cell>
          <cell r="E849" t="str">
            <v>CU 14Ø x 1000L</v>
          </cell>
          <cell r="F849" t="str">
            <v>개소</v>
          </cell>
          <cell r="G849">
            <v>1</v>
          </cell>
          <cell r="H849">
            <v>8800</v>
          </cell>
          <cell r="I849">
            <v>8800</v>
          </cell>
          <cell r="J849">
            <v>32203</v>
          </cell>
          <cell r="K849">
            <v>32203</v>
          </cell>
          <cell r="L849">
            <v>966</v>
          </cell>
          <cell r="M849">
            <v>966</v>
          </cell>
          <cell r="N849">
            <v>41969</v>
          </cell>
          <cell r="O849">
            <v>41969</v>
          </cell>
          <cell r="P849" t="str">
            <v>제63호표</v>
          </cell>
        </row>
        <row r="850">
          <cell r="D850" t="str">
            <v>폐기물처리(투스콘)</v>
          </cell>
          <cell r="F850" t="str">
            <v>㎥</v>
          </cell>
          <cell r="G850">
            <v>0.29039999999999999</v>
          </cell>
          <cell r="P850" t="str">
            <v>별도처리</v>
          </cell>
        </row>
        <row r="852">
          <cell r="A852">
            <v>52</v>
          </cell>
          <cell r="B852">
            <v>3</v>
          </cell>
          <cell r="C852" t="str">
            <v>제52호표</v>
          </cell>
          <cell r="D852" t="str">
            <v>철주기초 설치(보도블럭)</v>
          </cell>
          <cell r="E852" t="str">
            <v>800 x 1400 x 1800(Ø250)</v>
          </cell>
          <cell r="F852" t="str">
            <v>개소</v>
          </cell>
          <cell r="G852">
            <v>1</v>
          </cell>
          <cell r="I852">
            <v>697150</v>
          </cell>
          <cell r="K852">
            <v>361486</v>
          </cell>
          <cell r="M852">
            <v>16005</v>
          </cell>
          <cell r="O852">
            <v>1074641</v>
          </cell>
        </row>
        <row r="854">
          <cell r="D854" t="str">
            <v>철주기초 설치(보도블럭)</v>
          </cell>
          <cell r="E854" t="str">
            <v>800 x 1400 x 1800(Ø250)</v>
          </cell>
        </row>
        <row r="855">
          <cell r="B855" t="str">
            <v>철주기초앙카Ø250</v>
          </cell>
          <cell r="D855" t="str">
            <v>철주기초앙카</v>
          </cell>
          <cell r="E855" t="str">
            <v>Ø250</v>
          </cell>
          <cell r="F855" t="str">
            <v>개</v>
          </cell>
          <cell r="G855">
            <v>1</v>
          </cell>
          <cell r="H855">
            <v>420000</v>
          </cell>
          <cell r="I855">
            <v>420000</v>
          </cell>
          <cell r="N855">
            <v>420000</v>
          </cell>
          <cell r="O855">
            <v>420000</v>
          </cell>
        </row>
        <row r="856">
          <cell r="B856" t="str">
            <v>터파기(경질토사)(기계70%+인력30%)</v>
          </cell>
          <cell r="D856" t="str">
            <v>터파기(경질토사)</v>
          </cell>
          <cell r="E856" t="str">
            <v>(기계70%+인력30%)</v>
          </cell>
          <cell r="F856" t="str">
            <v>㎥</v>
          </cell>
          <cell r="G856">
            <v>7.0759999999999996</v>
          </cell>
          <cell r="H856">
            <v>290</v>
          </cell>
          <cell r="I856">
            <v>2052</v>
          </cell>
          <cell r="J856">
            <v>6657</v>
          </cell>
          <cell r="K856">
            <v>47104</v>
          </cell>
          <cell r="L856">
            <v>298</v>
          </cell>
          <cell r="M856">
            <v>2108</v>
          </cell>
          <cell r="N856">
            <v>7245</v>
          </cell>
          <cell r="O856">
            <v>51264</v>
          </cell>
          <cell r="P856" t="str">
            <v>제1호표</v>
          </cell>
        </row>
        <row r="857">
          <cell r="B857" t="str">
            <v>되메우기 및 다짐(토사)(기계90%+인력10%)</v>
          </cell>
          <cell r="D857" t="str">
            <v>되메우기 및 다짐(토사)</v>
          </cell>
          <cell r="E857" t="str">
            <v>(기계90%+인력10%)</v>
          </cell>
          <cell r="F857" t="str">
            <v>㎥</v>
          </cell>
          <cell r="G857">
            <v>4.0460000000000003</v>
          </cell>
          <cell r="H857">
            <v>560</v>
          </cell>
          <cell r="I857">
            <v>2265</v>
          </cell>
          <cell r="J857">
            <v>6083</v>
          </cell>
          <cell r="K857">
            <v>24611</v>
          </cell>
          <cell r="L857">
            <v>309</v>
          </cell>
          <cell r="M857">
            <v>1250</v>
          </cell>
          <cell r="N857">
            <v>6952</v>
          </cell>
          <cell r="O857">
            <v>28126</v>
          </cell>
          <cell r="P857" t="str">
            <v>제4호표</v>
          </cell>
        </row>
        <row r="858">
          <cell r="B858" t="str">
            <v>모래세사,왕사(도착도)</v>
          </cell>
          <cell r="D858" t="str">
            <v>모래</v>
          </cell>
          <cell r="E858" t="str">
            <v>세사,왕사(도착도)</v>
          </cell>
          <cell r="F858" t="str">
            <v>㎥</v>
          </cell>
          <cell r="G858">
            <v>0.115</v>
          </cell>
          <cell r="H858">
            <v>22000</v>
          </cell>
          <cell r="I858">
            <v>2530</v>
          </cell>
          <cell r="N858">
            <v>22000</v>
          </cell>
          <cell r="O858">
            <v>2530</v>
          </cell>
        </row>
        <row r="859">
          <cell r="B859" t="str">
            <v>잔토처리(사토장)0</v>
          </cell>
          <cell r="D859" t="str">
            <v>잔토처리(사토장)</v>
          </cell>
          <cell r="E859">
            <v>0</v>
          </cell>
          <cell r="F859" t="str">
            <v>㎥</v>
          </cell>
          <cell r="G859">
            <v>3.03</v>
          </cell>
          <cell r="H859">
            <v>3073</v>
          </cell>
          <cell r="I859">
            <v>9311</v>
          </cell>
          <cell r="J859">
            <v>10537</v>
          </cell>
          <cell r="K859">
            <v>31927</v>
          </cell>
          <cell r="L859">
            <v>2462</v>
          </cell>
          <cell r="M859">
            <v>7459</v>
          </cell>
          <cell r="N859">
            <v>16072</v>
          </cell>
          <cell r="O859">
            <v>48697</v>
          </cell>
          <cell r="P859" t="str">
            <v>제6호표</v>
          </cell>
        </row>
        <row r="860">
          <cell r="B860" t="str">
            <v>레미콘타설(무근 25-180-8)</v>
          </cell>
          <cell r="D860" t="str">
            <v>레미콘타설</v>
          </cell>
          <cell r="E860" t="str">
            <v>(무근 25-180-8)</v>
          </cell>
          <cell r="F860" t="str">
            <v>㎥</v>
          </cell>
          <cell r="G860">
            <v>3.03</v>
          </cell>
          <cell r="H860">
            <v>53550</v>
          </cell>
          <cell r="I860">
            <v>162256</v>
          </cell>
          <cell r="J860">
            <v>26374</v>
          </cell>
          <cell r="K860">
            <v>79913</v>
          </cell>
          <cell r="L860">
            <v>0</v>
          </cell>
          <cell r="M860">
            <v>0</v>
          </cell>
          <cell r="N860">
            <v>79924</v>
          </cell>
          <cell r="O860">
            <v>242169</v>
          </cell>
          <cell r="P860" t="str">
            <v>제29호표</v>
          </cell>
        </row>
        <row r="861">
          <cell r="B861" t="str">
            <v>합판거푸집6회</v>
          </cell>
          <cell r="D861" t="str">
            <v>합판거푸집</v>
          </cell>
          <cell r="E861" t="str">
            <v>6회</v>
          </cell>
          <cell r="F861" t="str">
            <v>㎡</v>
          </cell>
          <cell r="G861">
            <v>9.1999999999999993</v>
          </cell>
          <cell r="H861">
            <v>6716</v>
          </cell>
          <cell r="I861">
            <v>61787</v>
          </cell>
          <cell r="J861">
            <v>11229</v>
          </cell>
          <cell r="K861">
            <v>103306</v>
          </cell>
          <cell r="L861">
            <v>0</v>
          </cell>
          <cell r="M861">
            <v>0</v>
          </cell>
          <cell r="N861">
            <v>17945</v>
          </cell>
          <cell r="O861">
            <v>165093</v>
          </cell>
          <cell r="P861" t="str">
            <v>제32호표</v>
          </cell>
        </row>
        <row r="862">
          <cell r="B862" t="str">
            <v>철근가공조립(간단)0</v>
          </cell>
          <cell r="D862" t="str">
            <v>철근가공조립(간단)</v>
          </cell>
          <cell r="E862">
            <v>0</v>
          </cell>
          <cell r="F862" t="str">
            <v>ton</v>
          </cell>
          <cell r="G862">
            <v>1.7999999999999999E-2</v>
          </cell>
          <cell r="H862">
            <v>717650</v>
          </cell>
          <cell r="I862">
            <v>12917</v>
          </cell>
          <cell r="J862">
            <v>411108</v>
          </cell>
          <cell r="K862">
            <v>7399</v>
          </cell>
          <cell r="L862">
            <v>3100</v>
          </cell>
          <cell r="M862">
            <v>55</v>
          </cell>
          <cell r="N862">
            <v>1131858</v>
          </cell>
          <cell r="O862">
            <v>20371</v>
          </cell>
          <cell r="P862" t="str">
            <v>제33호표</v>
          </cell>
        </row>
        <row r="863">
          <cell r="B863" t="str">
            <v>보도블럭 철거소형고압블럭</v>
          </cell>
          <cell r="D863" t="str">
            <v>보도블럭 철거</v>
          </cell>
          <cell r="E863" t="str">
            <v>소형고압블럭</v>
          </cell>
          <cell r="F863" t="str">
            <v>㎡</v>
          </cell>
          <cell r="G863">
            <v>4.665</v>
          </cell>
          <cell r="H863">
            <v>258.20400000000001</v>
          </cell>
          <cell r="I863">
            <v>1204</v>
          </cell>
          <cell r="J863">
            <v>1261.4069999999999</v>
          </cell>
          <cell r="K863">
            <v>5884</v>
          </cell>
          <cell r="L863">
            <v>265.02</v>
          </cell>
          <cell r="M863">
            <v>1236</v>
          </cell>
          <cell r="N863">
            <v>1784</v>
          </cell>
          <cell r="O863">
            <v>8324</v>
          </cell>
          <cell r="P863" t="str">
            <v>제20호표</v>
          </cell>
        </row>
        <row r="864">
          <cell r="B864" t="str">
            <v>보도블럭재사용 복구소형고압블럭</v>
          </cell>
          <cell r="D864" t="str">
            <v>보도블럭재사용 복구</v>
          </cell>
          <cell r="E864" t="str">
            <v>소형고압블럭</v>
          </cell>
          <cell r="F864" t="str">
            <v>㎡</v>
          </cell>
          <cell r="G864">
            <v>4.0250000000000004</v>
          </cell>
          <cell r="H864">
            <v>1238.6000000000001</v>
          </cell>
          <cell r="I864">
            <v>4985</v>
          </cell>
          <cell r="J864">
            <v>2522.8139999999999</v>
          </cell>
          <cell r="K864">
            <v>10154</v>
          </cell>
          <cell r="L864">
            <v>588.48599999999999</v>
          </cell>
          <cell r="M864">
            <v>2368</v>
          </cell>
          <cell r="N864">
            <v>4349</v>
          </cell>
          <cell r="O864">
            <v>17507</v>
          </cell>
          <cell r="P864" t="str">
            <v>제22호표</v>
          </cell>
        </row>
        <row r="865">
          <cell r="B865" t="str">
            <v>전선관(지중)ELP 30C</v>
          </cell>
          <cell r="D865" t="str">
            <v>전선관(지중)</v>
          </cell>
          <cell r="E865" t="str">
            <v>ELP 30C</v>
          </cell>
          <cell r="F865" t="str">
            <v>m</v>
          </cell>
          <cell r="G865">
            <v>2</v>
          </cell>
          <cell r="H865">
            <v>435</v>
          </cell>
          <cell r="I865">
            <v>870</v>
          </cell>
          <cell r="J865">
            <v>4922</v>
          </cell>
          <cell r="K865">
            <v>9844</v>
          </cell>
          <cell r="L865">
            <v>147</v>
          </cell>
          <cell r="M865">
            <v>294</v>
          </cell>
          <cell r="N865">
            <v>5504</v>
          </cell>
          <cell r="O865">
            <v>11008</v>
          </cell>
          <cell r="P865" t="str">
            <v>제35호표</v>
          </cell>
        </row>
        <row r="866">
          <cell r="B866" t="str">
            <v>접지선 신설(지중)F-GV 10㎟</v>
          </cell>
          <cell r="D866" t="str">
            <v>접지선 신설(지중)</v>
          </cell>
          <cell r="E866" t="str">
            <v>F-GV 10㎟</v>
          </cell>
          <cell r="F866" t="str">
            <v>m</v>
          </cell>
          <cell r="G866">
            <v>5.5</v>
          </cell>
          <cell r="H866">
            <v>1486</v>
          </cell>
          <cell r="I866">
            <v>8173</v>
          </cell>
          <cell r="J866">
            <v>1662</v>
          </cell>
          <cell r="K866">
            <v>9141</v>
          </cell>
          <cell r="L866">
            <v>49</v>
          </cell>
          <cell r="M866">
            <v>269</v>
          </cell>
          <cell r="N866">
            <v>3197</v>
          </cell>
          <cell r="O866">
            <v>17583</v>
          </cell>
          <cell r="P866" t="str">
            <v>제47호표</v>
          </cell>
        </row>
        <row r="867">
          <cell r="B867" t="str">
            <v>접지봉설치(2본)CU 14Ø x 1000L</v>
          </cell>
          <cell r="D867" t="str">
            <v>접지봉설치(2본)</v>
          </cell>
          <cell r="E867" t="str">
            <v>CU 14Ø x 1000L</v>
          </cell>
          <cell r="F867" t="str">
            <v>개소</v>
          </cell>
          <cell r="G867">
            <v>1</v>
          </cell>
          <cell r="H867">
            <v>8800</v>
          </cell>
          <cell r="I867">
            <v>8800</v>
          </cell>
          <cell r="J867">
            <v>32203</v>
          </cell>
          <cell r="K867">
            <v>32203</v>
          </cell>
          <cell r="L867">
            <v>966</v>
          </cell>
          <cell r="M867">
            <v>966</v>
          </cell>
          <cell r="N867">
            <v>41969</v>
          </cell>
          <cell r="O867">
            <v>41969</v>
          </cell>
          <cell r="P867" t="str">
            <v>제63호표</v>
          </cell>
        </row>
        <row r="868">
          <cell r="D868" t="str">
            <v>폐기물처리(보도블럭)</v>
          </cell>
          <cell r="F868" t="str">
            <v>㎥</v>
          </cell>
          <cell r="G868">
            <v>4.48E-2</v>
          </cell>
          <cell r="P868" t="str">
            <v>별도처리</v>
          </cell>
        </row>
        <row r="870">
          <cell r="A870">
            <v>53</v>
          </cell>
          <cell r="B870">
            <v>3</v>
          </cell>
          <cell r="C870" t="str">
            <v>제53호표</v>
          </cell>
          <cell r="D870" t="str">
            <v>철주기초 설치(투스콘)</v>
          </cell>
          <cell r="E870" t="str">
            <v>800 x 1400 x 1800(Ø250)</v>
          </cell>
          <cell r="F870" t="str">
            <v>개소</v>
          </cell>
          <cell r="G870">
            <v>1</v>
          </cell>
          <cell r="I870">
            <v>740493</v>
          </cell>
          <cell r="K870">
            <v>374813</v>
          </cell>
          <cell r="M870">
            <v>19980</v>
          </cell>
          <cell r="O870">
            <v>1135286</v>
          </cell>
        </row>
        <row r="872">
          <cell r="D872" t="str">
            <v>철주기초 설치(투스콘)</v>
          </cell>
          <cell r="E872" t="str">
            <v>800 x 1400 x 1800(Ø250)</v>
          </cell>
        </row>
        <row r="873">
          <cell r="B873" t="str">
            <v>철주기초앙카Ø250</v>
          </cell>
          <cell r="D873" t="str">
            <v>철주기초앙카</v>
          </cell>
          <cell r="E873" t="str">
            <v>Ø250</v>
          </cell>
          <cell r="F873" t="str">
            <v>개</v>
          </cell>
          <cell r="G873">
            <v>1</v>
          </cell>
          <cell r="H873">
            <v>420000</v>
          </cell>
          <cell r="I873">
            <v>420000</v>
          </cell>
          <cell r="N873">
            <v>420000</v>
          </cell>
          <cell r="O873">
            <v>420000</v>
          </cell>
        </row>
        <row r="874">
          <cell r="B874" t="str">
            <v>터파기(경질토사)(기계70%+인력30%)</v>
          </cell>
          <cell r="D874" t="str">
            <v>터파기(경질토사)</v>
          </cell>
          <cell r="E874" t="str">
            <v>(기계70%+인력30%)</v>
          </cell>
          <cell r="F874" t="str">
            <v>㎥</v>
          </cell>
          <cell r="G874">
            <v>7.0759999999999996</v>
          </cell>
          <cell r="H874">
            <v>290</v>
          </cell>
          <cell r="I874">
            <v>2052</v>
          </cell>
          <cell r="J874">
            <v>6657</v>
          </cell>
          <cell r="K874">
            <v>47104</v>
          </cell>
          <cell r="L874">
            <v>298</v>
          </cell>
          <cell r="M874">
            <v>2108</v>
          </cell>
          <cell r="N874">
            <v>7245</v>
          </cell>
          <cell r="O874">
            <v>51264</v>
          </cell>
          <cell r="P874" t="str">
            <v>제1호표</v>
          </cell>
        </row>
        <row r="875">
          <cell r="B875" t="str">
            <v>되메우기 및 다짐(토사)(기계90%+인력10%)</v>
          </cell>
          <cell r="D875" t="str">
            <v>되메우기 및 다짐(토사)</v>
          </cell>
          <cell r="E875" t="str">
            <v>(기계90%+인력10%)</v>
          </cell>
          <cell r="F875" t="str">
            <v>㎥</v>
          </cell>
          <cell r="G875">
            <v>4.0460000000000003</v>
          </cell>
          <cell r="H875">
            <v>560</v>
          </cell>
          <cell r="I875">
            <v>2265</v>
          </cell>
          <cell r="J875">
            <v>6083</v>
          </cell>
          <cell r="K875">
            <v>24611</v>
          </cell>
          <cell r="L875">
            <v>309</v>
          </cell>
          <cell r="M875">
            <v>1250</v>
          </cell>
          <cell r="N875">
            <v>6952</v>
          </cell>
          <cell r="O875">
            <v>28126</v>
          </cell>
          <cell r="P875" t="str">
            <v>제4호표</v>
          </cell>
        </row>
        <row r="876">
          <cell r="B876" t="str">
            <v>모래세사,왕사(도착도)</v>
          </cell>
          <cell r="D876" t="str">
            <v>모래</v>
          </cell>
          <cell r="E876" t="str">
            <v>세사,왕사(도착도)</v>
          </cell>
          <cell r="F876" t="str">
            <v>㎥</v>
          </cell>
          <cell r="G876">
            <v>0.115</v>
          </cell>
          <cell r="H876">
            <v>22000</v>
          </cell>
          <cell r="I876">
            <v>2530</v>
          </cell>
          <cell r="N876">
            <v>22000</v>
          </cell>
          <cell r="O876">
            <v>2530</v>
          </cell>
        </row>
        <row r="877">
          <cell r="B877" t="str">
            <v>잔토처리(사토장)0</v>
          </cell>
          <cell r="D877" t="str">
            <v>잔토처리(사토장)</v>
          </cell>
          <cell r="E877">
            <v>0</v>
          </cell>
          <cell r="F877" t="str">
            <v>㎥</v>
          </cell>
          <cell r="G877">
            <v>3.03</v>
          </cell>
          <cell r="H877">
            <v>3073</v>
          </cell>
          <cell r="I877">
            <v>9311</v>
          </cell>
          <cell r="J877">
            <v>10537</v>
          </cell>
          <cell r="K877">
            <v>31927</v>
          </cell>
          <cell r="L877">
            <v>2462</v>
          </cell>
          <cell r="M877">
            <v>7459</v>
          </cell>
          <cell r="N877">
            <v>16072</v>
          </cell>
          <cell r="O877">
            <v>48697</v>
          </cell>
          <cell r="P877" t="str">
            <v>제6호표</v>
          </cell>
        </row>
        <row r="878">
          <cell r="B878" t="str">
            <v>레미콘타설(무근 25-180-8)</v>
          </cell>
          <cell r="D878" t="str">
            <v>레미콘타설</v>
          </cell>
          <cell r="E878" t="str">
            <v>(무근 25-180-8)</v>
          </cell>
          <cell r="F878" t="str">
            <v>㎥</v>
          </cell>
          <cell r="G878">
            <v>3.03</v>
          </cell>
          <cell r="H878">
            <v>53550</v>
          </cell>
          <cell r="I878">
            <v>162256</v>
          </cell>
          <cell r="J878">
            <v>26374</v>
          </cell>
          <cell r="K878">
            <v>79913</v>
          </cell>
          <cell r="L878">
            <v>0</v>
          </cell>
          <cell r="M878">
            <v>0</v>
          </cell>
          <cell r="N878">
            <v>79924</v>
          </cell>
          <cell r="O878">
            <v>242169</v>
          </cell>
          <cell r="P878" t="str">
            <v>제29호표</v>
          </cell>
        </row>
        <row r="879">
          <cell r="B879" t="str">
            <v>합판거푸집6회</v>
          </cell>
          <cell r="D879" t="str">
            <v>합판거푸집</v>
          </cell>
          <cell r="E879" t="str">
            <v>6회</v>
          </cell>
          <cell r="F879" t="str">
            <v>㎡</v>
          </cell>
          <cell r="G879">
            <v>9.1999999999999993</v>
          </cell>
          <cell r="H879">
            <v>6716</v>
          </cell>
          <cell r="I879">
            <v>61787</v>
          </cell>
          <cell r="J879">
            <v>11229</v>
          </cell>
          <cell r="K879">
            <v>103306</v>
          </cell>
          <cell r="L879">
            <v>0</v>
          </cell>
          <cell r="M879">
            <v>0</v>
          </cell>
          <cell r="N879">
            <v>17945</v>
          </cell>
          <cell r="O879">
            <v>165093</v>
          </cell>
          <cell r="P879" t="str">
            <v>제32호표</v>
          </cell>
        </row>
        <row r="880">
          <cell r="B880" t="str">
            <v>철근가공조립(간단)0</v>
          </cell>
          <cell r="D880" t="str">
            <v>철근가공조립(간단)</v>
          </cell>
          <cell r="E880">
            <v>0</v>
          </cell>
          <cell r="F880" t="str">
            <v>ton</v>
          </cell>
          <cell r="G880">
            <v>1.7999999999999999E-2</v>
          </cell>
          <cell r="H880">
            <v>717650</v>
          </cell>
          <cell r="I880">
            <v>12917</v>
          </cell>
          <cell r="J880">
            <v>411108</v>
          </cell>
          <cell r="K880">
            <v>7399</v>
          </cell>
          <cell r="L880">
            <v>3100</v>
          </cell>
          <cell r="M880">
            <v>55</v>
          </cell>
          <cell r="N880">
            <v>1131858</v>
          </cell>
          <cell r="O880">
            <v>20371</v>
          </cell>
          <cell r="P880" t="str">
            <v>제33호표</v>
          </cell>
        </row>
        <row r="881">
          <cell r="B881" t="str">
            <v>보조기층 부설인력식 소규모 장비사용</v>
          </cell>
          <cell r="D881" t="str">
            <v>보조기층 부설</v>
          </cell>
          <cell r="E881" t="str">
            <v>인력식 소규모 장비사용</v>
          </cell>
          <cell r="F881" t="str">
            <v>㎥</v>
          </cell>
          <cell r="G881">
            <v>0.40200000000000002</v>
          </cell>
          <cell r="H881">
            <v>18810</v>
          </cell>
          <cell r="I881">
            <v>7561</v>
          </cell>
          <cell r="J881">
            <v>5394</v>
          </cell>
          <cell r="K881">
            <v>2168</v>
          </cell>
          <cell r="L881">
            <v>1678</v>
          </cell>
          <cell r="M881">
            <v>674</v>
          </cell>
          <cell r="N881">
            <v>25882</v>
          </cell>
          <cell r="O881">
            <v>10403</v>
          </cell>
          <cell r="P881" t="str">
            <v>제15호표</v>
          </cell>
        </row>
        <row r="882">
          <cell r="B882" t="str">
            <v>아스팔트,투스콘 포장절단블레이드(D = 320~400, T = 3.2mm)</v>
          </cell>
          <cell r="D882" t="str">
            <v>아스팔트,투스콘 포장절단</v>
          </cell>
          <cell r="E882" t="str">
            <v>블레이드(D = 320~400, T = 3.2mm)</v>
          </cell>
          <cell r="F882" t="str">
            <v>m</v>
          </cell>
          <cell r="G882">
            <v>8.64</v>
          </cell>
          <cell r="H882">
            <v>750.15428571428572</v>
          </cell>
          <cell r="I882">
            <v>6481</v>
          </cell>
          <cell r="J882">
            <v>1608.8371428571429</v>
          </cell>
          <cell r="K882">
            <v>13900</v>
          </cell>
          <cell r="L882">
            <v>212.18285714285713</v>
          </cell>
          <cell r="M882">
            <v>1833</v>
          </cell>
          <cell r="N882">
            <v>2571</v>
          </cell>
          <cell r="O882">
            <v>22214</v>
          </cell>
          <cell r="P882" t="str">
            <v>제8호표</v>
          </cell>
        </row>
        <row r="883">
          <cell r="B883" t="str">
            <v>아스팔트,투스콘 포장깨기대형브레이커+굴삭기(무한궤도) 0.2㎡</v>
          </cell>
          <cell r="D883" t="str">
            <v>아스팔트,투스콘 포장깨기</v>
          </cell>
          <cell r="E883" t="str">
            <v>대형브레이커+굴삭기(무한궤도) 0.2㎡</v>
          </cell>
          <cell r="F883" t="str">
            <v>㎥</v>
          </cell>
          <cell r="G883">
            <v>0.28000000000000003</v>
          </cell>
          <cell r="H883">
            <v>6190</v>
          </cell>
          <cell r="I883">
            <v>1733</v>
          </cell>
          <cell r="J883">
            <v>18758</v>
          </cell>
          <cell r="K883">
            <v>5252</v>
          </cell>
          <cell r="L883">
            <v>11188</v>
          </cell>
          <cell r="M883">
            <v>3132</v>
          </cell>
          <cell r="N883">
            <v>36136</v>
          </cell>
          <cell r="O883">
            <v>10117</v>
          </cell>
          <cell r="P883" t="str">
            <v>제10호표</v>
          </cell>
        </row>
        <row r="884">
          <cell r="B884" t="str">
            <v>보도용 투스콘포장적색 (180Kg/㎠)</v>
          </cell>
          <cell r="D884" t="str">
            <v>보도용 투스콘포장</v>
          </cell>
          <cell r="E884" t="str">
            <v>적색 (180Kg/㎠)</v>
          </cell>
          <cell r="F884" t="str">
            <v>㎡</v>
          </cell>
          <cell r="G884">
            <v>4.0250000000000004</v>
          </cell>
          <cell r="H884">
            <v>8387</v>
          </cell>
          <cell r="I884">
            <v>33757</v>
          </cell>
          <cell r="J884">
            <v>1999</v>
          </cell>
          <cell r="K884">
            <v>8045</v>
          </cell>
          <cell r="L884">
            <v>482</v>
          </cell>
          <cell r="M884">
            <v>1940</v>
          </cell>
          <cell r="N884">
            <v>10868</v>
          </cell>
          <cell r="O884">
            <v>43742</v>
          </cell>
          <cell r="P884" t="str">
            <v>제16호표</v>
          </cell>
        </row>
        <row r="885">
          <cell r="B885" t="str">
            <v>전선관(지중)ELP 30C</v>
          </cell>
          <cell r="D885" t="str">
            <v>전선관(지중)</v>
          </cell>
          <cell r="E885" t="str">
            <v>ELP 30C</v>
          </cell>
          <cell r="F885" t="str">
            <v>m</v>
          </cell>
          <cell r="G885">
            <v>2</v>
          </cell>
          <cell r="H885">
            <v>435</v>
          </cell>
          <cell r="I885">
            <v>870</v>
          </cell>
          <cell r="J885">
            <v>4922</v>
          </cell>
          <cell r="K885">
            <v>9844</v>
          </cell>
          <cell r="L885">
            <v>147</v>
          </cell>
          <cell r="M885">
            <v>294</v>
          </cell>
          <cell r="N885">
            <v>5504</v>
          </cell>
          <cell r="O885">
            <v>11008</v>
          </cell>
          <cell r="P885" t="str">
            <v>제35호표</v>
          </cell>
        </row>
        <row r="886">
          <cell r="B886" t="str">
            <v>접지선 신설(지중)F-GV 10㎟</v>
          </cell>
          <cell r="D886" t="str">
            <v>접지선 신설(지중)</v>
          </cell>
          <cell r="E886" t="str">
            <v>F-GV 10㎟</v>
          </cell>
          <cell r="F886" t="str">
            <v>m</v>
          </cell>
          <cell r="G886">
            <v>5.5</v>
          </cell>
          <cell r="H886">
            <v>1486</v>
          </cell>
          <cell r="I886">
            <v>8173</v>
          </cell>
          <cell r="J886">
            <v>1662</v>
          </cell>
          <cell r="K886">
            <v>9141</v>
          </cell>
          <cell r="L886">
            <v>49</v>
          </cell>
          <cell r="M886">
            <v>269</v>
          </cell>
          <cell r="N886">
            <v>3197</v>
          </cell>
          <cell r="O886">
            <v>17583</v>
          </cell>
          <cell r="P886" t="str">
            <v>제47호표</v>
          </cell>
        </row>
        <row r="887">
          <cell r="B887" t="str">
            <v>접지봉설치(2본)CU 14Ø x 1000L</v>
          </cell>
          <cell r="D887" t="str">
            <v>접지봉설치(2본)</v>
          </cell>
          <cell r="E887" t="str">
            <v>CU 14Ø x 1000L</v>
          </cell>
          <cell r="F887" t="str">
            <v>개소</v>
          </cell>
          <cell r="G887">
            <v>1</v>
          </cell>
          <cell r="H887">
            <v>8800</v>
          </cell>
          <cell r="I887">
            <v>8800</v>
          </cell>
          <cell r="J887">
            <v>32203</v>
          </cell>
          <cell r="K887">
            <v>32203</v>
          </cell>
          <cell r="L887">
            <v>966</v>
          </cell>
          <cell r="M887">
            <v>966</v>
          </cell>
          <cell r="N887">
            <v>41969</v>
          </cell>
          <cell r="O887">
            <v>41969</v>
          </cell>
          <cell r="P887" t="str">
            <v>제63호표</v>
          </cell>
        </row>
        <row r="888">
          <cell r="D888" t="str">
            <v>폐기물처리(투스콘)</v>
          </cell>
          <cell r="F888" t="str">
            <v>㎥</v>
          </cell>
          <cell r="G888">
            <v>0.28000000000000003</v>
          </cell>
          <cell r="P888" t="str">
            <v>별도처리</v>
          </cell>
        </row>
        <row r="890">
          <cell r="A890">
            <v>54</v>
          </cell>
          <cell r="B890">
            <v>3</v>
          </cell>
          <cell r="C890" t="str">
            <v>제54호표</v>
          </cell>
          <cell r="D890" t="str">
            <v>철주기초 설치(보도블럭)</v>
          </cell>
          <cell r="E890" t="str">
            <v>800 x 1100 x 1200(Ø200)</v>
          </cell>
          <cell r="F890" t="str">
            <v>개소</v>
          </cell>
          <cell r="G890">
            <v>1</v>
          </cell>
          <cell r="I890">
            <v>485483</v>
          </cell>
          <cell r="K890">
            <v>198195</v>
          </cell>
          <cell r="M890">
            <v>8350</v>
          </cell>
          <cell r="O890">
            <v>692028</v>
          </cell>
        </row>
        <row r="892">
          <cell r="D892" t="str">
            <v>철주기초 설치(보도블럭)</v>
          </cell>
          <cell r="E892" t="str">
            <v>800 x 1100 x 1200(Ø200)</v>
          </cell>
        </row>
        <row r="893">
          <cell r="B893" t="str">
            <v>철주기초앙카Ø200</v>
          </cell>
          <cell r="D893" t="str">
            <v>철주기초앙카</v>
          </cell>
          <cell r="E893" t="str">
            <v>Ø200</v>
          </cell>
          <cell r="F893" t="str">
            <v>개</v>
          </cell>
          <cell r="G893">
            <v>1</v>
          </cell>
          <cell r="H893">
            <v>350000</v>
          </cell>
          <cell r="I893">
            <v>350000</v>
          </cell>
          <cell r="N893">
            <v>350000</v>
          </cell>
          <cell r="O893">
            <v>350000</v>
          </cell>
        </row>
        <row r="894">
          <cell r="B894" t="str">
            <v>터파기(경질토사)(기계70%+인력30%)</v>
          </cell>
          <cell r="D894" t="str">
            <v>터파기(경질토사)</v>
          </cell>
          <cell r="E894" t="str">
            <v>(기계70%+인력30%)</v>
          </cell>
          <cell r="F894" t="str">
            <v>㎥</v>
          </cell>
          <cell r="G894">
            <v>3.1549999999999998</v>
          </cell>
          <cell r="H894">
            <v>290</v>
          </cell>
          <cell r="I894">
            <v>914</v>
          </cell>
          <cell r="J894">
            <v>6657</v>
          </cell>
          <cell r="K894">
            <v>21002</v>
          </cell>
          <cell r="L894">
            <v>298</v>
          </cell>
          <cell r="M894">
            <v>940</v>
          </cell>
          <cell r="N894">
            <v>7245</v>
          </cell>
          <cell r="O894">
            <v>22856</v>
          </cell>
          <cell r="P894" t="str">
            <v>제1호표</v>
          </cell>
        </row>
        <row r="895">
          <cell r="B895" t="str">
            <v>되메우기 및 다짐(토사)(기계90%+인력10%)</v>
          </cell>
          <cell r="D895" t="str">
            <v>되메우기 및 다짐(토사)</v>
          </cell>
          <cell r="E895" t="str">
            <v>(기계90%+인력10%)</v>
          </cell>
          <cell r="F895" t="str">
            <v>㎥</v>
          </cell>
          <cell r="G895">
            <v>1.962</v>
          </cell>
          <cell r="H895">
            <v>560</v>
          </cell>
          <cell r="I895">
            <v>1098</v>
          </cell>
          <cell r="J895">
            <v>6083</v>
          </cell>
          <cell r="K895">
            <v>11934</v>
          </cell>
          <cell r="L895">
            <v>309</v>
          </cell>
          <cell r="M895">
            <v>606</v>
          </cell>
          <cell r="N895">
            <v>6952</v>
          </cell>
          <cell r="O895">
            <v>13638</v>
          </cell>
          <cell r="P895" t="str">
            <v>제4호표</v>
          </cell>
        </row>
        <row r="896">
          <cell r="B896" t="str">
            <v>모래세사,왕사(도착도)</v>
          </cell>
          <cell r="D896" t="str">
            <v>모래</v>
          </cell>
          <cell r="E896" t="str">
            <v>세사,왕사(도착도)</v>
          </cell>
          <cell r="F896" t="str">
            <v>㎥</v>
          </cell>
          <cell r="G896">
            <v>7.1999999999999995E-2</v>
          </cell>
          <cell r="H896">
            <v>22000</v>
          </cell>
          <cell r="I896">
            <v>1584</v>
          </cell>
          <cell r="N896">
            <v>22000</v>
          </cell>
          <cell r="O896">
            <v>1584</v>
          </cell>
        </row>
        <row r="897">
          <cell r="B897" t="str">
            <v>잔토처리(사토장)0</v>
          </cell>
          <cell r="D897" t="str">
            <v>잔토처리(사토장)</v>
          </cell>
          <cell r="E897">
            <v>0</v>
          </cell>
          <cell r="F897" t="str">
            <v>㎥</v>
          </cell>
          <cell r="G897">
            <v>1.1930000000000001</v>
          </cell>
          <cell r="H897">
            <v>3073</v>
          </cell>
          <cell r="I897">
            <v>3666</v>
          </cell>
          <cell r="J897">
            <v>10537</v>
          </cell>
          <cell r="K897">
            <v>12570</v>
          </cell>
          <cell r="L897">
            <v>2462</v>
          </cell>
          <cell r="M897">
            <v>2937</v>
          </cell>
          <cell r="N897">
            <v>16072</v>
          </cell>
          <cell r="O897">
            <v>19173</v>
          </cell>
          <cell r="P897" t="str">
            <v>제6호표</v>
          </cell>
        </row>
        <row r="898">
          <cell r="B898" t="str">
            <v>레미콘타설(무근 25-180-8)</v>
          </cell>
          <cell r="D898" t="str">
            <v>레미콘타설</v>
          </cell>
          <cell r="E898" t="str">
            <v>(무근 25-180-8)</v>
          </cell>
          <cell r="F898" t="str">
            <v>㎥</v>
          </cell>
          <cell r="G898">
            <v>1.1930000000000001</v>
          </cell>
          <cell r="H898">
            <v>53550</v>
          </cell>
          <cell r="I898">
            <v>63885</v>
          </cell>
          <cell r="J898">
            <v>26374</v>
          </cell>
          <cell r="K898">
            <v>31464</v>
          </cell>
          <cell r="L898">
            <v>0</v>
          </cell>
          <cell r="M898">
            <v>0</v>
          </cell>
          <cell r="N898">
            <v>79924</v>
          </cell>
          <cell r="O898">
            <v>95349</v>
          </cell>
          <cell r="P898" t="str">
            <v>제29호표</v>
          </cell>
        </row>
        <row r="899">
          <cell r="B899" t="str">
            <v>합판거푸집6회</v>
          </cell>
          <cell r="D899" t="str">
            <v>합판거푸집</v>
          </cell>
          <cell r="E899" t="str">
            <v>6회</v>
          </cell>
          <cell r="F899" t="str">
            <v>㎡</v>
          </cell>
          <cell r="G899">
            <v>4.8</v>
          </cell>
          <cell r="H899">
            <v>6716</v>
          </cell>
          <cell r="I899">
            <v>32236</v>
          </cell>
          <cell r="J899">
            <v>11229</v>
          </cell>
          <cell r="K899">
            <v>53899</v>
          </cell>
          <cell r="L899">
            <v>0</v>
          </cell>
          <cell r="M899">
            <v>0</v>
          </cell>
          <cell r="N899">
            <v>17945</v>
          </cell>
          <cell r="O899">
            <v>86135</v>
          </cell>
          <cell r="P899" t="str">
            <v>제32호표</v>
          </cell>
        </row>
        <row r="900">
          <cell r="B900" t="str">
            <v>철근가공조립(간단)0</v>
          </cell>
          <cell r="D900" t="str">
            <v>철근가공조립(간단)</v>
          </cell>
          <cell r="E900">
            <v>0</v>
          </cell>
          <cell r="F900" t="str">
            <v>ton</v>
          </cell>
          <cell r="G900">
            <v>1.44E-2</v>
          </cell>
          <cell r="H900">
            <v>717650</v>
          </cell>
          <cell r="I900">
            <v>10334</v>
          </cell>
          <cell r="J900">
            <v>411108</v>
          </cell>
          <cell r="K900">
            <v>5919</v>
          </cell>
          <cell r="L900">
            <v>3100</v>
          </cell>
          <cell r="M900">
            <v>44</v>
          </cell>
          <cell r="N900">
            <v>1131858</v>
          </cell>
          <cell r="O900">
            <v>16297</v>
          </cell>
          <cell r="P900" t="str">
            <v>제33호표</v>
          </cell>
        </row>
        <row r="901">
          <cell r="B901" t="str">
            <v>보도블럭 철거소형고압블럭</v>
          </cell>
          <cell r="D901" t="str">
            <v>보도블럭 철거</v>
          </cell>
          <cell r="E901" t="str">
            <v>소형고압블럭</v>
          </cell>
          <cell r="F901" t="str">
            <v>㎡</v>
          </cell>
          <cell r="G901">
            <v>3.0276000000000001</v>
          </cell>
          <cell r="H901">
            <v>258.20400000000001</v>
          </cell>
          <cell r="I901">
            <v>781</v>
          </cell>
          <cell r="J901">
            <v>1261.4069999999999</v>
          </cell>
          <cell r="K901">
            <v>3819</v>
          </cell>
          <cell r="L901">
            <v>265.02</v>
          </cell>
          <cell r="M901">
            <v>802</v>
          </cell>
          <cell r="N901">
            <v>1784</v>
          </cell>
          <cell r="O901">
            <v>5402</v>
          </cell>
          <cell r="P901" t="str">
            <v>제20호표</v>
          </cell>
        </row>
        <row r="902">
          <cell r="B902" t="str">
            <v>보도블럭재사용 복구소형고압블럭</v>
          </cell>
          <cell r="D902" t="str">
            <v>보도블럭재사용 복구</v>
          </cell>
          <cell r="E902" t="str">
            <v>소형고압블럭</v>
          </cell>
          <cell r="F902" t="str">
            <v>㎡</v>
          </cell>
          <cell r="G902">
            <v>2.5369999999999999</v>
          </cell>
          <cell r="H902">
            <v>1238.6000000000001</v>
          </cell>
          <cell r="I902">
            <v>3142</v>
          </cell>
          <cell r="J902">
            <v>2522.8139999999999</v>
          </cell>
          <cell r="K902">
            <v>6400</v>
          </cell>
          <cell r="L902">
            <v>588.48599999999999</v>
          </cell>
          <cell r="M902">
            <v>1492</v>
          </cell>
          <cell r="N902">
            <v>4349</v>
          </cell>
          <cell r="O902">
            <v>11034</v>
          </cell>
          <cell r="P902" t="str">
            <v>제22호표</v>
          </cell>
        </row>
        <row r="903">
          <cell r="B903" t="str">
            <v>전선관(지중)ELP 30C</v>
          </cell>
          <cell r="D903" t="str">
            <v>전선관(지중)</v>
          </cell>
          <cell r="E903" t="str">
            <v>ELP 30C</v>
          </cell>
          <cell r="F903" t="str">
            <v>m</v>
          </cell>
          <cell r="G903">
            <v>2</v>
          </cell>
          <cell r="H903">
            <v>435</v>
          </cell>
          <cell r="I903">
            <v>870</v>
          </cell>
          <cell r="J903">
            <v>4922</v>
          </cell>
          <cell r="K903">
            <v>9844</v>
          </cell>
          <cell r="L903">
            <v>147</v>
          </cell>
          <cell r="M903">
            <v>294</v>
          </cell>
          <cell r="N903">
            <v>5504</v>
          </cell>
          <cell r="O903">
            <v>11008</v>
          </cell>
          <cell r="P903" t="str">
            <v>제35호표</v>
          </cell>
        </row>
        <row r="904">
          <cell r="B904" t="str">
            <v>접지선 신설(지중)F-GV 10㎟</v>
          </cell>
          <cell r="D904" t="str">
            <v>접지선 신설(지중)</v>
          </cell>
          <cell r="E904" t="str">
            <v>F-GV 10㎟</v>
          </cell>
          <cell r="F904" t="str">
            <v>m</v>
          </cell>
          <cell r="G904">
            <v>5.5</v>
          </cell>
          <cell r="H904">
            <v>1486</v>
          </cell>
          <cell r="I904">
            <v>8173</v>
          </cell>
          <cell r="J904">
            <v>1662</v>
          </cell>
          <cell r="K904">
            <v>9141</v>
          </cell>
          <cell r="L904">
            <v>49</v>
          </cell>
          <cell r="M904">
            <v>269</v>
          </cell>
          <cell r="N904">
            <v>3197</v>
          </cell>
          <cell r="O904">
            <v>17583</v>
          </cell>
          <cell r="P904" t="str">
            <v>제47호표</v>
          </cell>
        </row>
        <row r="905">
          <cell r="B905" t="str">
            <v>접지봉설치(2본)CU 14Ø x 1000L</v>
          </cell>
          <cell r="D905" t="str">
            <v>접지봉설치(2본)</v>
          </cell>
          <cell r="E905" t="str">
            <v>CU 14Ø x 1000L</v>
          </cell>
          <cell r="F905" t="str">
            <v>개소</v>
          </cell>
          <cell r="G905">
            <v>1</v>
          </cell>
          <cell r="H905">
            <v>8800</v>
          </cell>
          <cell r="I905">
            <v>8800</v>
          </cell>
          <cell r="J905">
            <v>32203</v>
          </cell>
          <cell r="K905">
            <v>32203</v>
          </cell>
          <cell r="L905">
            <v>966</v>
          </cell>
          <cell r="M905">
            <v>966</v>
          </cell>
          <cell r="N905">
            <v>41969</v>
          </cell>
          <cell r="O905">
            <v>41969</v>
          </cell>
          <cell r="P905" t="str">
            <v>제63호표</v>
          </cell>
        </row>
        <row r="906">
          <cell r="D906" t="str">
            <v>폐기물처리(보도블럭)</v>
          </cell>
          <cell r="F906" t="str">
            <v>㎥</v>
          </cell>
          <cell r="G906">
            <v>3.4299999999999997E-2</v>
          </cell>
          <cell r="P906" t="str">
            <v>별도처리</v>
          </cell>
        </row>
        <row r="908">
          <cell r="A908">
            <v>55</v>
          </cell>
          <cell r="B908">
            <v>3</v>
          </cell>
          <cell r="C908" t="str">
            <v>제55호표</v>
          </cell>
          <cell r="D908" t="str">
            <v>철주기초 설치(투스콘)</v>
          </cell>
          <cell r="E908" t="str">
            <v>800 x 1100 x 1200(Ø200)</v>
          </cell>
          <cell r="F908" t="str">
            <v>개소</v>
          </cell>
          <cell r="G908">
            <v>1</v>
          </cell>
          <cell r="I908">
            <v>525732</v>
          </cell>
          <cell r="K908">
            <v>208633</v>
          </cell>
          <cell r="M908">
            <v>11112</v>
          </cell>
          <cell r="O908">
            <v>745477</v>
          </cell>
        </row>
        <row r="910">
          <cell r="D910" t="str">
            <v>철주기초 설치(투스콘)</v>
          </cell>
          <cell r="E910" t="str">
            <v>800 x 1100 x 1200(Ø200)</v>
          </cell>
        </row>
        <row r="911">
          <cell r="B911" t="str">
            <v>철주기초앙카Ø200</v>
          </cell>
          <cell r="D911" t="str">
            <v>철주기초앙카</v>
          </cell>
          <cell r="E911" t="str">
            <v>Ø200</v>
          </cell>
          <cell r="F911" t="str">
            <v>개</v>
          </cell>
          <cell r="G911">
            <v>1</v>
          </cell>
          <cell r="H911">
            <v>350000</v>
          </cell>
          <cell r="I911">
            <v>350000</v>
          </cell>
          <cell r="N911">
            <v>350000</v>
          </cell>
          <cell r="O911">
            <v>350000</v>
          </cell>
        </row>
        <row r="912">
          <cell r="B912" t="str">
            <v>터파기(경질토사)(기계70%+인력30%)</v>
          </cell>
          <cell r="D912" t="str">
            <v>터파기(경질토사)</v>
          </cell>
          <cell r="E912" t="str">
            <v>(기계70%+인력30%)</v>
          </cell>
          <cell r="F912" t="str">
            <v>㎥</v>
          </cell>
          <cell r="G912">
            <v>3.1549999999999998</v>
          </cell>
          <cell r="H912">
            <v>290</v>
          </cell>
          <cell r="I912">
            <v>914</v>
          </cell>
          <cell r="J912">
            <v>6657</v>
          </cell>
          <cell r="K912">
            <v>21002</v>
          </cell>
          <cell r="L912">
            <v>298</v>
          </cell>
          <cell r="M912">
            <v>940</v>
          </cell>
          <cell r="N912">
            <v>7245</v>
          </cell>
          <cell r="O912">
            <v>22856</v>
          </cell>
          <cell r="P912" t="str">
            <v>제1호표</v>
          </cell>
        </row>
        <row r="913">
          <cell r="B913" t="str">
            <v>되메우기 및 다짐(토사)(기계90%+인력10%)</v>
          </cell>
          <cell r="D913" t="str">
            <v>되메우기 및 다짐(토사)</v>
          </cell>
          <cell r="E913" t="str">
            <v>(기계90%+인력10%)</v>
          </cell>
          <cell r="F913" t="str">
            <v>㎥</v>
          </cell>
          <cell r="G913">
            <v>1.962</v>
          </cell>
          <cell r="H913">
            <v>560</v>
          </cell>
          <cell r="I913">
            <v>1098</v>
          </cell>
          <cell r="J913">
            <v>6083</v>
          </cell>
          <cell r="K913">
            <v>11934</v>
          </cell>
          <cell r="L913">
            <v>309</v>
          </cell>
          <cell r="M913">
            <v>606</v>
          </cell>
          <cell r="N913">
            <v>6952</v>
          </cell>
          <cell r="O913">
            <v>13638</v>
          </cell>
          <cell r="P913" t="str">
            <v>제4호표</v>
          </cell>
        </row>
        <row r="914">
          <cell r="B914" t="str">
            <v>보조기층 부설인력식 소규모 장비사용</v>
          </cell>
          <cell r="D914" t="str">
            <v>보조기층 부설</v>
          </cell>
          <cell r="E914" t="str">
            <v>인력식 소규모 장비사용</v>
          </cell>
          <cell r="F914" t="str">
            <v>㎥</v>
          </cell>
          <cell r="G914">
            <v>0.23799999999999999</v>
          </cell>
          <cell r="H914">
            <v>18810</v>
          </cell>
          <cell r="I914">
            <v>4476</v>
          </cell>
          <cell r="J914">
            <v>5394</v>
          </cell>
          <cell r="K914">
            <v>1283</v>
          </cell>
          <cell r="L914">
            <v>1678</v>
          </cell>
          <cell r="M914">
            <v>399</v>
          </cell>
          <cell r="N914">
            <v>25882</v>
          </cell>
          <cell r="O914">
            <v>6158</v>
          </cell>
          <cell r="P914" t="str">
            <v>제15호표</v>
          </cell>
        </row>
        <row r="915">
          <cell r="B915" t="str">
            <v>모래세사,왕사(도착도)</v>
          </cell>
          <cell r="D915" t="str">
            <v>모래</v>
          </cell>
          <cell r="E915" t="str">
            <v>세사,왕사(도착도)</v>
          </cell>
          <cell r="F915" t="str">
            <v>㎥</v>
          </cell>
          <cell r="G915">
            <v>0.67800000000000005</v>
          </cell>
          <cell r="H915">
            <v>22000</v>
          </cell>
          <cell r="I915">
            <v>14916</v>
          </cell>
          <cell r="N915">
            <v>22000</v>
          </cell>
          <cell r="O915">
            <v>14916</v>
          </cell>
        </row>
        <row r="916">
          <cell r="B916" t="str">
            <v>잔토처리(사토장)0</v>
          </cell>
          <cell r="D916" t="str">
            <v>잔토처리(사토장)</v>
          </cell>
          <cell r="E916">
            <v>0</v>
          </cell>
          <cell r="F916" t="str">
            <v>㎥</v>
          </cell>
          <cell r="G916">
            <v>1.1930000000000001</v>
          </cell>
          <cell r="H916">
            <v>3073</v>
          </cell>
          <cell r="I916">
            <v>3666</v>
          </cell>
          <cell r="J916">
            <v>10537</v>
          </cell>
          <cell r="K916">
            <v>12570</v>
          </cell>
          <cell r="L916">
            <v>2462</v>
          </cell>
          <cell r="M916">
            <v>2937</v>
          </cell>
          <cell r="N916">
            <v>16072</v>
          </cell>
          <cell r="O916">
            <v>19173</v>
          </cell>
          <cell r="P916" t="str">
            <v>제6호표</v>
          </cell>
        </row>
        <row r="917">
          <cell r="B917" t="str">
            <v>레미콘타설(무근 25-180-8)</v>
          </cell>
          <cell r="D917" t="str">
            <v>레미콘타설</v>
          </cell>
          <cell r="E917" t="str">
            <v>(무근 25-180-8)</v>
          </cell>
          <cell r="F917" t="str">
            <v>㎥</v>
          </cell>
          <cell r="G917">
            <v>1.1930000000000001</v>
          </cell>
          <cell r="H917">
            <v>53550</v>
          </cell>
          <cell r="I917">
            <v>63885</v>
          </cell>
          <cell r="J917">
            <v>26374</v>
          </cell>
          <cell r="K917">
            <v>31464</v>
          </cell>
          <cell r="L917">
            <v>0</v>
          </cell>
          <cell r="M917">
            <v>0</v>
          </cell>
          <cell r="N917">
            <v>79924</v>
          </cell>
          <cell r="O917">
            <v>95349</v>
          </cell>
          <cell r="P917" t="str">
            <v>제29호표</v>
          </cell>
        </row>
        <row r="918">
          <cell r="B918" t="str">
            <v>합판거푸집6회</v>
          </cell>
          <cell r="D918" t="str">
            <v>합판거푸집</v>
          </cell>
          <cell r="E918" t="str">
            <v>6회</v>
          </cell>
          <cell r="F918" t="str">
            <v>㎡</v>
          </cell>
          <cell r="G918">
            <v>4.8</v>
          </cell>
          <cell r="H918">
            <v>6716</v>
          </cell>
          <cell r="I918">
            <v>32236</v>
          </cell>
          <cell r="J918">
            <v>11229</v>
          </cell>
          <cell r="K918">
            <v>53899</v>
          </cell>
          <cell r="L918">
            <v>0</v>
          </cell>
          <cell r="M918">
            <v>0</v>
          </cell>
          <cell r="N918">
            <v>17945</v>
          </cell>
          <cell r="O918">
            <v>86135</v>
          </cell>
          <cell r="P918" t="str">
            <v>제32호표</v>
          </cell>
        </row>
        <row r="919">
          <cell r="B919" t="str">
            <v>철근가공조립(간단)0</v>
          </cell>
          <cell r="D919" t="str">
            <v>철근가공조립(간단)</v>
          </cell>
          <cell r="E919">
            <v>0</v>
          </cell>
          <cell r="F919" t="str">
            <v>ton</v>
          </cell>
          <cell r="G919">
            <v>1.44E-2</v>
          </cell>
          <cell r="H919">
            <v>717650</v>
          </cell>
          <cell r="I919">
            <v>10334</v>
          </cell>
          <cell r="J919">
            <v>411108</v>
          </cell>
          <cell r="K919">
            <v>5919</v>
          </cell>
          <cell r="L919">
            <v>3100</v>
          </cell>
          <cell r="M919">
            <v>44</v>
          </cell>
          <cell r="N919">
            <v>1131858</v>
          </cell>
          <cell r="O919">
            <v>16297</v>
          </cell>
          <cell r="P919" t="str">
            <v>제33호표</v>
          </cell>
        </row>
        <row r="920">
          <cell r="B920" t="str">
            <v>아스팔트,투스콘 포장절단블레이드(D = 320~400, T = 3.2mm)</v>
          </cell>
          <cell r="D920" t="str">
            <v>아스팔트,투스콘 포장절단</v>
          </cell>
          <cell r="E920" t="str">
            <v>블레이드(D = 320~400, T = 3.2mm)</v>
          </cell>
          <cell r="F920" t="str">
            <v>m</v>
          </cell>
          <cell r="G920">
            <v>6.96</v>
          </cell>
          <cell r="H920">
            <v>750.15428571428572</v>
          </cell>
          <cell r="I920">
            <v>5221</v>
          </cell>
          <cell r="J920">
            <v>1608.8371428571429</v>
          </cell>
          <cell r="K920">
            <v>11197</v>
          </cell>
          <cell r="L920">
            <v>212.18285714285713</v>
          </cell>
          <cell r="M920">
            <v>1476</v>
          </cell>
          <cell r="N920">
            <v>2571</v>
          </cell>
          <cell r="O920">
            <v>17894</v>
          </cell>
          <cell r="P920" t="str">
            <v>제8호표</v>
          </cell>
        </row>
        <row r="921">
          <cell r="B921" t="str">
            <v>아스팔트,투스콘 포장깨기대형브레이커+굴삭기(무한궤도) 0.2㎡</v>
          </cell>
          <cell r="D921" t="str">
            <v>아스팔트,투스콘 포장깨기</v>
          </cell>
          <cell r="E921" t="str">
            <v>대형브레이커+굴삭기(무한궤도) 0.2㎡</v>
          </cell>
          <cell r="F921" t="str">
            <v>㎥</v>
          </cell>
          <cell r="G921">
            <v>0.18160000000000001</v>
          </cell>
          <cell r="H921">
            <v>6190</v>
          </cell>
          <cell r="I921">
            <v>1124</v>
          </cell>
          <cell r="J921">
            <v>18758</v>
          </cell>
          <cell r="K921">
            <v>3406</v>
          </cell>
          <cell r="L921">
            <v>11188</v>
          </cell>
          <cell r="M921">
            <v>2031</v>
          </cell>
          <cell r="N921">
            <v>36136</v>
          </cell>
          <cell r="O921">
            <v>6561</v>
          </cell>
          <cell r="P921" t="str">
            <v>제10호표</v>
          </cell>
        </row>
        <row r="922">
          <cell r="B922" t="str">
            <v>보도용 투스콘포장적색 (180Kg/㎠)</v>
          </cell>
          <cell r="D922" t="str">
            <v>보도용 투스콘포장</v>
          </cell>
          <cell r="E922" t="str">
            <v>적색 (180Kg/㎠)</v>
          </cell>
          <cell r="F922" t="str">
            <v>㎡</v>
          </cell>
          <cell r="G922">
            <v>2.387</v>
          </cell>
          <cell r="H922">
            <v>8387</v>
          </cell>
          <cell r="I922">
            <v>20019</v>
          </cell>
          <cell r="J922">
            <v>1999</v>
          </cell>
          <cell r="K922">
            <v>4771</v>
          </cell>
          <cell r="L922">
            <v>482</v>
          </cell>
          <cell r="M922">
            <v>1150</v>
          </cell>
          <cell r="N922">
            <v>10868</v>
          </cell>
          <cell r="O922">
            <v>25940</v>
          </cell>
          <cell r="P922" t="str">
            <v>제16호표</v>
          </cell>
        </row>
        <row r="923">
          <cell r="B923" t="str">
            <v>전선관(지중)ELP 30C</v>
          </cell>
          <cell r="D923" t="str">
            <v>전선관(지중)</v>
          </cell>
          <cell r="E923" t="str">
            <v>ELP 30C</v>
          </cell>
          <cell r="F923" t="str">
            <v>m</v>
          </cell>
          <cell r="G923">
            <v>2</v>
          </cell>
          <cell r="H923">
            <v>435</v>
          </cell>
          <cell r="I923">
            <v>870</v>
          </cell>
          <cell r="J923">
            <v>4922</v>
          </cell>
          <cell r="K923">
            <v>9844</v>
          </cell>
          <cell r="L923">
            <v>147</v>
          </cell>
          <cell r="M923">
            <v>294</v>
          </cell>
          <cell r="N923">
            <v>5504</v>
          </cell>
          <cell r="O923">
            <v>11008</v>
          </cell>
          <cell r="P923" t="str">
            <v>제35호표</v>
          </cell>
        </row>
        <row r="924">
          <cell r="B924" t="str">
            <v>접지선 신설(지중)F-GV 10㎟</v>
          </cell>
          <cell r="D924" t="str">
            <v>접지선 신설(지중)</v>
          </cell>
          <cell r="E924" t="str">
            <v>F-GV 10㎟</v>
          </cell>
          <cell r="F924" t="str">
            <v>m</v>
          </cell>
          <cell r="G924">
            <v>5.5</v>
          </cell>
          <cell r="H924">
            <v>1486</v>
          </cell>
          <cell r="I924">
            <v>8173</v>
          </cell>
          <cell r="J924">
            <v>1662</v>
          </cell>
          <cell r="K924">
            <v>9141</v>
          </cell>
          <cell r="L924">
            <v>49</v>
          </cell>
          <cell r="M924">
            <v>269</v>
          </cell>
          <cell r="N924">
            <v>3197</v>
          </cell>
          <cell r="O924">
            <v>17583</v>
          </cell>
          <cell r="P924" t="str">
            <v>제47호표</v>
          </cell>
        </row>
        <row r="925">
          <cell r="B925" t="str">
            <v>접지봉설치(2본)CU 14Ø x 1000L</v>
          </cell>
          <cell r="D925" t="str">
            <v>접지봉설치(2본)</v>
          </cell>
          <cell r="E925" t="str">
            <v>CU 14Ø x 1000L</v>
          </cell>
          <cell r="F925" t="str">
            <v>개소</v>
          </cell>
          <cell r="G925">
            <v>1</v>
          </cell>
          <cell r="H925">
            <v>8800</v>
          </cell>
          <cell r="I925">
            <v>8800</v>
          </cell>
          <cell r="J925">
            <v>32203</v>
          </cell>
          <cell r="K925">
            <v>32203</v>
          </cell>
          <cell r="L925">
            <v>966</v>
          </cell>
          <cell r="M925">
            <v>966</v>
          </cell>
          <cell r="N925">
            <v>41969</v>
          </cell>
          <cell r="O925">
            <v>41969</v>
          </cell>
          <cell r="P925" t="str">
            <v>제63호표</v>
          </cell>
        </row>
        <row r="926">
          <cell r="D926" t="str">
            <v>폐기물처리(투스콘)</v>
          </cell>
          <cell r="F926" t="str">
            <v>㎥</v>
          </cell>
          <cell r="G926">
            <v>0.18160000000000001</v>
          </cell>
          <cell r="P926" t="str">
            <v>별도처리</v>
          </cell>
        </row>
        <row r="928">
          <cell r="A928">
            <v>56</v>
          </cell>
          <cell r="B928">
            <v>3</v>
          </cell>
          <cell r="C928" t="str">
            <v>제56호표</v>
          </cell>
          <cell r="D928" t="str">
            <v>보행등기초 설치(보도블럭)</v>
          </cell>
          <cell r="E928" t="str">
            <v>500 x 700 x 800(Ø125)</v>
          </cell>
          <cell r="F928" t="str">
            <v>개소</v>
          </cell>
          <cell r="G928">
            <v>1</v>
          </cell>
          <cell r="I928">
            <v>173424</v>
          </cell>
          <cell r="K928">
            <v>104225</v>
          </cell>
          <cell r="M928">
            <v>4057</v>
          </cell>
          <cell r="O928">
            <v>281706</v>
          </cell>
        </row>
        <row r="930">
          <cell r="D930" t="str">
            <v>보행등기초 설치(보도블럭)</v>
          </cell>
          <cell r="E930" t="str">
            <v>500 x 700 x 800(Ø125)</v>
          </cell>
        </row>
        <row r="931">
          <cell r="B931" t="str">
            <v>보행등기초앙카Ø125</v>
          </cell>
          <cell r="D931" t="str">
            <v>보행등기초앙카</v>
          </cell>
          <cell r="E931" t="str">
            <v>Ø125</v>
          </cell>
          <cell r="F931" t="str">
            <v>개</v>
          </cell>
          <cell r="G931">
            <v>1</v>
          </cell>
          <cell r="H931">
            <v>110000</v>
          </cell>
          <cell r="I931">
            <v>110000</v>
          </cell>
          <cell r="N931">
            <v>110000</v>
          </cell>
          <cell r="O931">
            <v>110000</v>
          </cell>
        </row>
        <row r="932">
          <cell r="B932" t="str">
            <v>터파기(경질토사)(기계70%+인력30%)</v>
          </cell>
          <cell r="D932" t="str">
            <v>터파기(경질토사)</v>
          </cell>
          <cell r="E932" t="str">
            <v>(기계70%+인력30%)</v>
          </cell>
          <cell r="F932" t="str">
            <v>㎥</v>
          </cell>
          <cell r="G932">
            <v>1.115</v>
          </cell>
          <cell r="H932">
            <v>290</v>
          </cell>
          <cell r="I932">
            <v>323</v>
          </cell>
          <cell r="J932">
            <v>6657</v>
          </cell>
          <cell r="K932">
            <v>7422</v>
          </cell>
          <cell r="L932">
            <v>298</v>
          </cell>
          <cell r="M932">
            <v>332</v>
          </cell>
          <cell r="N932">
            <v>7245</v>
          </cell>
          <cell r="O932">
            <v>8077</v>
          </cell>
          <cell r="P932" t="str">
            <v>제1호표</v>
          </cell>
        </row>
        <row r="933">
          <cell r="B933" t="str">
            <v>되메우기 및 다짐(토사)(기계90%+인력10%)</v>
          </cell>
          <cell r="D933" t="str">
            <v>되메우기 및 다짐(토사)</v>
          </cell>
          <cell r="E933" t="str">
            <v>(기계90%+인력10%)</v>
          </cell>
          <cell r="F933" t="str">
            <v>㎥</v>
          </cell>
          <cell r="G933">
            <v>0.82499999999999996</v>
          </cell>
          <cell r="H933">
            <v>560</v>
          </cell>
          <cell r="I933">
            <v>462</v>
          </cell>
          <cell r="J933">
            <v>6083</v>
          </cell>
          <cell r="K933">
            <v>5018</v>
          </cell>
          <cell r="L933">
            <v>309</v>
          </cell>
          <cell r="M933">
            <v>254</v>
          </cell>
          <cell r="N933">
            <v>6952</v>
          </cell>
          <cell r="O933">
            <v>5734</v>
          </cell>
          <cell r="P933" t="str">
            <v>제4호표</v>
          </cell>
        </row>
        <row r="934">
          <cell r="B934" t="str">
            <v>모래세사,왕사(도착도)</v>
          </cell>
          <cell r="D934" t="str">
            <v>모래</v>
          </cell>
          <cell r="E934" t="str">
            <v>세사,왕사(도착도)</v>
          </cell>
          <cell r="F934" t="str">
            <v>㎥</v>
          </cell>
          <cell r="G934">
            <v>0.375</v>
          </cell>
          <cell r="H934">
            <v>22000</v>
          </cell>
          <cell r="I934">
            <v>8250</v>
          </cell>
          <cell r="N934">
            <v>22000</v>
          </cell>
          <cell r="O934">
            <v>8250</v>
          </cell>
        </row>
        <row r="935">
          <cell r="B935" t="str">
            <v>잔토처리(사토장)0</v>
          </cell>
          <cell r="D935" t="str">
            <v>잔토처리(사토장)</v>
          </cell>
          <cell r="E935">
            <v>0</v>
          </cell>
          <cell r="F935" t="str">
            <v>㎥</v>
          </cell>
          <cell r="G935">
            <v>0.28999999999999998</v>
          </cell>
          <cell r="H935">
            <v>3073</v>
          </cell>
          <cell r="I935">
            <v>891</v>
          </cell>
          <cell r="J935">
            <v>10537</v>
          </cell>
          <cell r="K935">
            <v>3055</v>
          </cell>
          <cell r="L935">
            <v>2462</v>
          </cell>
          <cell r="M935">
            <v>713</v>
          </cell>
          <cell r="N935">
            <v>16072</v>
          </cell>
          <cell r="O935">
            <v>4659</v>
          </cell>
          <cell r="P935" t="str">
            <v>제6호표</v>
          </cell>
        </row>
        <row r="936">
          <cell r="B936" t="str">
            <v>레미콘타설(무근 25-180-8)</v>
          </cell>
          <cell r="D936" t="str">
            <v>레미콘타설</v>
          </cell>
          <cell r="E936" t="str">
            <v>(무근 25-180-8)</v>
          </cell>
          <cell r="F936" t="str">
            <v>㎥</v>
          </cell>
          <cell r="G936">
            <v>0.28999999999999998</v>
          </cell>
          <cell r="H936">
            <v>53550</v>
          </cell>
          <cell r="I936">
            <v>15529</v>
          </cell>
          <cell r="J936">
            <v>26374</v>
          </cell>
          <cell r="K936">
            <v>7648</v>
          </cell>
          <cell r="L936">
            <v>0</v>
          </cell>
          <cell r="M936">
            <v>0</v>
          </cell>
          <cell r="N936">
            <v>79924</v>
          </cell>
          <cell r="O936">
            <v>23177</v>
          </cell>
          <cell r="P936" t="str">
            <v>제29호표</v>
          </cell>
        </row>
        <row r="937">
          <cell r="B937" t="str">
            <v>합판거푸집6회</v>
          </cell>
          <cell r="D937" t="str">
            <v>합판거푸집</v>
          </cell>
          <cell r="E937" t="str">
            <v>6회</v>
          </cell>
          <cell r="F937" t="str">
            <v>㎡</v>
          </cell>
          <cell r="G937">
            <v>1.92</v>
          </cell>
          <cell r="H937">
            <v>6716</v>
          </cell>
          <cell r="I937">
            <v>12894</v>
          </cell>
          <cell r="J937">
            <v>11229</v>
          </cell>
          <cell r="K937">
            <v>21559</v>
          </cell>
          <cell r="L937">
            <v>0</v>
          </cell>
          <cell r="M937">
            <v>0</v>
          </cell>
          <cell r="N937">
            <v>17945</v>
          </cell>
          <cell r="O937">
            <v>34453</v>
          </cell>
          <cell r="P937" t="str">
            <v>제32호표</v>
          </cell>
        </row>
        <row r="938">
          <cell r="B938" t="str">
            <v>철근가공조립(간단)0</v>
          </cell>
          <cell r="D938" t="str">
            <v>철근가공조립(간단)</v>
          </cell>
          <cell r="E938">
            <v>0</v>
          </cell>
          <cell r="F938" t="str">
            <v>ton</v>
          </cell>
          <cell r="G938">
            <v>7.1999999999999998E-3</v>
          </cell>
          <cell r="H938">
            <v>717650</v>
          </cell>
          <cell r="I938">
            <v>5167</v>
          </cell>
          <cell r="J938">
            <v>411108</v>
          </cell>
          <cell r="K938">
            <v>2959</v>
          </cell>
          <cell r="L938">
            <v>3100</v>
          </cell>
          <cell r="M938">
            <v>22</v>
          </cell>
          <cell r="N938">
            <v>1131858</v>
          </cell>
          <cell r="O938">
            <v>8148</v>
          </cell>
          <cell r="P938" t="str">
            <v>제33호표</v>
          </cell>
        </row>
        <row r="939">
          <cell r="B939" t="str">
            <v>보도블럭 철거소형고압블럭</v>
          </cell>
          <cell r="D939" t="str">
            <v>보도블럭 철거</v>
          </cell>
          <cell r="E939" t="str">
            <v>소형고압블럭</v>
          </cell>
          <cell r="F939" t="str">
            <v>㎡</v>
          </cell>
          <cell r="G939">
            <v>1.5875999999999999</v>
          </cell>
          <cell r="H939">
            <v>258.20400000000001</v>
          </cell>
          <cell r="I939">
            <v>409</v>
          </cell>
          <cell r="J939">
            <v>1261.4069999999999</v>
          </cell>
          <cell r="K939">
            <v>2002</v>
          </cell>
          <cell r="L939">
            <v>265.02</v>
          </cell>
          <cell r="M939">
            <v>420</v>
          </cell>
          <cell r="N939">
            <v>1784</v>
          </cell>
          <cell r="O939">
            <v>2831</v>
          </cell>
          <cell r="P939" t="str">
            <v>제20호표</v>
          </cell>
        </row>
        <row r="940">
          <cell r="B940" t="str">
            <v>보도블럭재사용 복구소형고압블럭</v>
          </cell>
          <cell r="D940" t="str">
            <v>보도블럭재사용 복구</v>
          </cell>
          <cell r="E940" t="str">
            <v>소형고압블럭</v>
          </cell>
          <cell r="F940" t="str">
            <v>㎡</v>
          </cell>
          <cell r="G940">
            <v>1.3375999999999999</v>
          </cell>
          <cell r="H940">
            <v>1238.6000000000001</v>
          </cell>
          <cell r="I940">
            <v>1656</v>
          </cell>
          <cell r="J940">
            <v>2522.8139999999999</v>
          </cell>
          <cell r="K940">
            <v>3374</v>
          </cell>
          <cell r="L940">
            <v>588.48599999999999</v>
          </cell>
          <cell r="M940">
            <v>787</v>
          </cell>
          <cell r="N940">
            <v>4349</v>
          </cell>
          <cell r="O940">
            <v>5817</v>
          </cell>
          <cell r="P940" t="str">
            <v>제22호표</v>
          </cell>
        </row>
        <row r="941">
          <cell r="B941" t="str">
            <v>전선관(지중)ELP 30C</v>
          </cell>
          <cell r="D941" t="str">
            <v>전선관(지중)</v>
          </cell>
          <cell r="E941" t="str">
            <v>ELP 30C</v>
          </cell>
          <cell r="F941" t="str">
            <v>m</v>
          </cell>
          <cell r="G941">
            <v>2</v>
          </cell>
          <cell r="H941">
            <v>435</v>
          </cell>
          <cell r="I941">
            <v>870</v>
          </cell>
          <cell r="J941">
            <v>4922</v>
          </cell>
          <cell r="K941">
            <v>9844</v>
          </cell>
          <cell r="L941">
            <v>147</v>
          </cell>
          <cell r="M941">
            <v>294</v>
          </cell>
          <cell r="N941">
            <v>5504</v>
          </cell>
          <cell r="O941">
            <v>11008</v>
          </cell>
          <cell r="P941" t="str">
            <v>제35호표</v>
          </cell>
        </row>
        <row r="942">
          <cell r="B942" t="str">
            <v>접지선 신설(지중)F-GV 10㎟</v>
          </cell>
          <cell r="D942" t="str">
            <v>접지선 신설(지중)</v>
          </cell>
          <cell r="E942" t="str">
            <v>F-GV 10㎟</v>
          </cell>
          <cell r="F942" t="str">
            <v>m</v>
          </cell>
          <cell r="G942">
            <v>5.5</v>
          </cell>
          <cell r="H942">
            <v>1486</v>
          </cell>
          <cell r="I942">
            <v>8173</v>
          </cell>
          <cell r="J942">
            <v>1662</v>
          </cell>
          <cell r="K942">
            <v>9141</v>
          </cell>
          <cell r="L942">
            <v>49</v>
          </cell>
          <cell r="M942">
            <v>269</v>
          </cell>
          <cell r="N942">
            <v>3197</v>
          </cell>
          <cell r="O942">
            <v>17583</v>
          </cell>
          <cell r="P942" t="str">
            <v>제47호표</v>
          </cell>
        </row>
        <row r="943">
          <cell r="B943" t="str">
            <v>접지봉설치(2본)CU 14Ø x 1000L</v>
          </cell>
          <cell r="D943" t="str">
            <v>접지봉설치(2본)</v>
          </cell>
          <cell r="E943" t="str">
            <v>CU 14Ø x 1000L</v>
          </cell>
          <cell r="F943" t="str">
            <v>개소</v>
          </cell>
          <cell r="G943">
            <v>1</v>
          </cell>
          <cell r="H943">
            <v>8800</v>
          </cell>
          <cell r="I943">
            <v>8800</v>
          </cell>
          <cell r="J943">
            <v>32203</v>
          </cell>
          <cell r="K943">
            <v>32203</v>
          </cell>
          <cell r="L943">
            <v>966</v>
          </cell>
          <cell r="M943">
            <v>966</v>
          </cell>
          <cell r="N943">
            <v>41969</v>
          </cell>
          <cell r="O943">
            <v>41969</v>
          </cell>
          <cell r="P943" t="str">
            <v>제63호표</v>
          </cell>
        </row>
        <row r="944">
          <cell r="D944" t="str">
            <v>폐기물처리(보도블럭)</v>
          </cell>
          <cell r="F944" t="str">
            <v>㎥</v>
          </cell>
          <cell r="G944">
            <v>1.7500000000000002E-2</v>
          </cell>
          <cell r="P944" t="str">
            <v>별도처리</v>
          </cell>
        </row>
        <row r="946">
          <cell r="A946">
            <v>57</v>
          </cell>
          <cell r="B946">
            <v>3</v>
          </cell>
          <cell r="C946" t="str">
            <v>제57호표</v>
          </cell>
          <cell r="D946" t="str">
            <v>보행등기초 설치(투스콘)</v>
          </cell>
          <cell r="E946" t="str">
            <v>500 x 700 x 800(Ø125)</v>
          </cell>
          <cell r="F946" t="str">
            <v>개소</v>
          </cell>
          <cell r="G946">
            <v>1</v>
          </cell>
          <cell r="I946">
            <v>189441</v>
          </cell>
          <cell r="K946">
            <v>112128</v>
          </cell>
          <cell r="M946">
            <v>5848</v>
          </cell>
          <cell r="O946">
            <v>307417</v>
          </cell>
        </row>
        <row r="948">
          <cell r="D948" t="str">
            <v>보행등기초 설치(투스콘)</v>
          </cell>
          <cell r="E948" t="str">
            <v>500 x 700 x 800(Ø125)</v>
          </cell>
        </row>
        <row r="949">
          <cell r="B949" t="str">
            <v>보행등기초앙카Ø125</v>
          </cell>
          <cell r="D949" t="str">
            <v>보행등기초앙카</v>
          </cell>
          <cell r="E949" t="str">
            <v>Ø125</v>
          </cell>
          <cell r="F949" t="str">
            <v>개</v>
          </cell>
          <cell r="G949">
            <v>1</v>
          </cell>
          <cell r="H949">
            <v>110000</v>
          </cell>
          <cell r="I949">
            <v>110000</v>
          </cell>
          <cell r="N949">
            <v>110000</v>
          </cell>
          <cell r="O949">
            <v>110000</v>
          </cell>
        </row>
        <row r="950">
          <cell r="B950" t="str">
            <v>터파기(경질토사)(기계70%+인력30%)</v>
          </cell>
          <cell r="D950" t="str">
            <v>터파기(경질토사)</v>
          </cell>
          <cell r="E950" t="str">
            <v>(기계70%+인력30%)</v>
          </cell>
          <cell r="F950" t="str">
            <v>㎥</v>
          </cell>
          <cell r="G950">
            <v>1.115</v>
          </cell>
          <cell r="H950">
            <v>290</v>
          </cell>
          <cell r="I950">
            <v>323</v>
          </cell>
          <cell r="J950">
            <v>6657</v>
          </cell>
          <cell r="K950">
            <v>7422</v>
          </cell>
          <cell r="L950">
            <v>298</v>
          </cell>
          <cell r="M950">
            <v>332</v>
          </cell>
          <cell r="N950">
            <v>7245</v>
          </cell>
          <cell r="O950">
            <v>8077</v>
          </cell>
          <cell r="P950" t="str">
            <v>제1호표</v>
          </cell>
        </row>
        <row r="951">
          <cell r="B951" t="str">
            <v>되메우기 및 다짐(토사)(기계90%+인력10%)</v>
          </cell>
          <cell r="D951" t="str">
            <v>되메우기 및 다짐(토사)</v>
          </cell>
          <cell r="E951" t="str">
            <v>(기계90%+인력10%)</v>
          </cell>
          <cell r="F951" t="str">
            <v>㎥</v>
          </cell>
          <cell r="G951">
            <v>0.82499999999999996</v>
          </cell>
          <cell r="H951">
            <v>560</v>
          </cell>
          <cell r="I951">
            <v>462</v>
          </cell>
          <cell r="J951">
            <v>6083</v>
          </cell>
          <cell r="K951">
            <v>5018</v>
          </cell>
          <cell r="L951">
            <v>309</v>
          </cell>
          <cell r="M951">
            <v>254</v>
          </cell>
          <cell r="N951">
            <v>6952</v>
          </cell>
          <cell r="O951">
            <v>5734</v>
          </cell>
          <cell r="P951" t="str">
            <v>제4호표</v>
          </cell>
        </row>
        <row r="952">
          <cell r="B952" t="str">
            <v>보조기층 부설인력식 소규모 장비사용</v>
          </cell>
          <cell r="D952" t="str">
            <v>보조기층 부설</v>
          </cell>
          <cell r="E952" t="str">
            <v>인력식 소규모 장비사용</v>
          </cell>
          <cell r="F952" t="str">
            <v>㎥</v>
          </cell>
          <cell r="G952">
            <v>0.13300000000000001</v>
          </cell>
          <cell r="H952">
            <v>18810</v>
          </cell>
          <cell r="I952">
            <v>2501</v>
          </cell>
          <cell r="J952">
            <v>5394</v>
          </cell>
          <cell r="K952">
            <v>717</v>
          </cell>
          <cell r="L952">
            <v>1678</v>
          </cell>
          <cell r="M952">
            <v>223</v>
          </cell>
          <cell r="N952">
            <v>25882</v>
          </cell>
          <cell r="O952">
            <v>3441</v>
          </cell>
          <cell r="P952" t="str">
            <v>제15호표</v>
          </cell>
        </row>
        <row r="953">
          <cell r="B953" t="str">
            <v>모래세사,왕사(도착도)</v>
          </cell>
          <cell r="D953" t="str">
            <v>모래</v>
          </cell>
          <cell r="E953" t="str">
            <v>세사,왕사(도착도)</v>
          </cell>
          <cell r="F953" t="str">
            <v>㎥</v>
          </cell>
          <cell r="G953">
            <v>0.375</v>
          </cell>
          <cell r="H953">
            <v>22000</v>
          </cell>
          <cell r="I953">
            <v>8250</v>
          </cell>
          <cell r="N953">
            <v>22000</v>
          </cell>
          <cell r="O953">
            <v>8250</v>
          </cell>
        </row>
        <row r="954">
          <cell r="B954" t="str">
            <v>잔토처리(사토장)0</v>
          </cell>
          <cell r="D954" t="str">
            <v>잔토처리(사토장)</v>
          </cell>
          <cell r="E954">
            <v>0</v>
          </cell>
          <cell r="F954" t="str">
            <v>㎥</v>
          </cell>
          <cell r="G954">
            <v>0.28999999999999998</v>
          </cell>
          <cell r="H954">
            <v>3073</v>
          </cell>
          <cell r="I954">
            <v>891</v>
          </cell>
          <cell r="J954">
            <v>10537</v>
          </cell>
          <cell r="K954">
            <v>3055</v>
          </cell>
          <cell r="L954">
            <v>2462</v>
          </cell>
          <cell r="M954">
            <v>713</v>
          </cell>
          <cell r="N954">
            <v>16072</v>
          </cell>
          <cell r="O954">
            <v>4659</v>
          </cell>
          <cell r="P954" t="str">
            <v>제6호표</v>
          </cell>
        </row>
        <row r="955">
          <cell r="B955" t="str">
            <v>레미콘타설(무근 25-180-8)</v>
          </cell>
          <cell r="D955" t="str">
            <v>레미콘타설</v>
          </cell>
          <cell r="E955" t="str">
            <v>(무근 25-180-8)</v>
          </cell>
          <cell r="F955" t="str">
            <v>㎥</v>
          </cell>
          <cell r="G955">
            <v>0.28999999999999998</v>
          </cell>
          <cell r="H955">
            <v>53550</v>
          </cell>
          <cell r="I955">
            <v>15529</v>
          </cell>
          <cell r="J955">
            <v>26374</v>
          </cell>
          <cell r="K955">
            <v>7648</v>
          </cell>
          <cell r="L955">
            <v>0</v>
          </cell>
          <cell r="M955">
            <v>0</v>
          </cell>
          <cell r="N955">
            <v>79924</v>
          </cell>
          <cell r="O955">
            <v>23177</v>
          </cell>
          <cell r="P955" t="str">
            <v>제29호표</v>
          </cell>
        </row>
        <row r="956">
          <cell r="B956" t="str">
            <v>합판거푸집6회</v>
          </cell>
          <cell r="D956" t="str">
            <v>합판거푸집</v>
          </cell>
          <cell r="E956" t="str">
            <v>6회</v>
          </cell>
          <cell r="F956" t="str">
            <v>㎡</v>
          </cell>
          <cell r="G956">
            <v>1.92</v>
          </cell>
          <cell r="H956">
            <v>6716</v>
          </cell>
          <cell r="I956">
            <v>12894</v>
          </cell>
          <cell r="J956">
            <v>11229</v>
          </cell>
          <cell r="K956">
            <v>21559</v>
          </cell>
          <cell r="L956">
            <v>0</v>
          </cell>
          <cell r="M956">
            <v>0</v>
          </cell>
          <cell r="N956">
            <v>17945</v>
          </cell>
          <cell r="O956">
            <v>34453</v>
          </cell>
          <cell r="P956" t="str">
            <v>제32호표</v>
          </cell>
        </row>
        <row r="957">
          <cell r="B957" t="str">
            <v>철근가공조립(간단)0</v>
          </cell>
          <cell r="D957" t="str">
            <v>철근가공조립(간단)</v>
          </cell>
          <cell r="E957">
            <v>0</v>
          </cell>
          <cell r="F957" t="str">
            <v>ton</v>
          </cell>
          <cell r="G957">
            <v>7.1999999999999998E-3</v>
          </cell>
          <cell r="H957">
            <v>717650</v>
          </cell>
          <cell r="I957">
            <v>5167</v>
          </cell>
          <cell r="J957">
            <v>411108</v>
          </cell>
          <cell r="K957">
            <v>2959</v>
          </cell>
          <cell r="L957">
            <v>3100</v>
          </cell>
          <cell r="M957">
            <v>22</v>
          </cell>
          <cell r="N957">
            <v>1131858</v>
          </cell>
          <cell r="O957">
            <v>8148</v>
          </cell>
          <cell r="P957" t="str">
            <v>제33호표</v>
          </cell>
        </row>
        <row r="958">
          <cell r="B958" t="str">
            <v>아스팔트,투스콘 포장절단블레이드(D = 320~400, T = 3.2mm)</v>
          </cell>
          <cell r="D958" t="str">
            <v>아스팔트,투스콘 포장절단</v>
          </cell>
          <cell r="E958" t="str">
            <v>블레이드(D = 320~400, T = 3.2mm)</v>
          </cell>
          <cell r="F958" t="str">
            <v>m</v>
          </cell>
          <cell r="G958">
            <v>5.04</v>
          </cell>
          <cell r="H958">
            <v>750.15428571428572</v>
          </cell>
          <cell r="I958">
            <v>3780</v>
          </cell>
          <cell r="J958">
            <v>1608.8371428571429</v>
          </cell>
          <cell r="K958">
            <v>8108</v>
          </cell>
          <cell r="L958">
            <v>212.18285714285713</v>
          </cell>
          <cell r="M958">
            <v>1069</v>
          </cell>
          <cell r="N958">
            <v>2571</v>
          </cell>
          <cell r="O958">
            <v>12957</v>
          </cell>
          <cell r="P958" t="str">
            <v>제8호표</v>
          </cell>
        </row>
        <row r="959">
          <cell r="B959" t="str">
            <v>아스팔트,투스콘 포장깨기대형브레이커+굴삭기(무한궤도) 0.2㎡</v>
          </cell>
          <cell r="D959" t="str">
            <v>아스팔트,투스콘 포장깨기</v>
          </cell>
          <cell r="E959" t="str">
            <v>대형브레이커+굴삭기(무한궤도) 0.2㎡</v>
          </cell>
          <cell r="F959" t="str">
            <v>㎥</v>
          </cell>
          <cell r="G959">
            <v>9.5000000000000001E-2</v>
          </cell>
          <cell r="H959">
            <v>6190</v>
          </cell>
          <cell r="I959">
            <v>588</v>
          </cell>
          <cell r="J959">
            <v>18758</v>
          </cell>
          <cell r="K959">
            <v>1782</v>
          </cell>
          <cell r="L959">
            <v>11188</v>
          </cell>
          <cell r="M959">
            <v>1062</v>
          </cell>
          <cell r="N959">
            <v>36136</v>
          </cell>
          <cell r="O959">
            <v>3432</v>
          </cell>
          <cell r="P959" t="str">
            <v>제10호표</v>
          </cell>
        </row>
        <row r="960">
          <cell r="B960" t="str">
            <v>보도용 투스콘포장적색 (180Kg/㎠)</v>
          </cell>
          <cell r="D960" t="str">
            <v>보도용 투스콘포장</v>
          </cell>
          <cell r="E960" t="str">
            <v>적색 (180Kg/㎠)</v>
          </cell>
          <cell r="F960" t="str">
            <v>㎡</v>
          </cell>
          <cell r="G960">
            <v>1.337</v>
          </cell>
          <cell r="H960">
            <v>8387</v>
          </cell>
          <cell r="I960">
            <v>11213</v>
          </cell>
          <cell r="J960">
            <v>1999</v>
          </cell>
          <cell r="K960">
            <v>2672</v>
          </cell>
          <cell r="L960">
            <v>482</v>
          </cell>
          <cell r="M960">
            <v>644</v>
          </cell>
          <cell r="N960">
            <v>10868</v>
          </cell>
          <cell r="O960">
            <v>14529</v>
          </cell>
          <cell r="P960" t="str">
            <v>제16호표</v>
          </cell>
        </row>
        <row r="961">
          <cell r="B961" t="str">
            <v>전선관(지중)ELP 30C</v>
          </cell>
          <cell r="D961" t="str">
            <v>전선관(지중)</v>
          </cell>
          <cell r="E961" t="str">
            <v>ELP 30C</v>
          </cell>
          <cell r="F961" t="str">
            <v>m</v>
          </cell>
          <cell r="G961">
            <v>2</v>
          </cell>
          <cell r="H961">
            <v>435</v>
          </cell>
          <cell r="I961">
            <v>870</v>
          </cell>
          <cell r="J961">
            <v>4922</v>
          </cell>
          <cell r="K961">
            <v>9844</v>
          </cell>
          <cell r="L961">
            <v>147</v>
          </cell>
          <cell r="M961">
            <v>294</v>
          </cell>
          <cell r="N961">
            <v>5504</v>
          </cell>
          <cell r="O961">
            <v>11008</v>
          </cell>
          <cell r="P961" t="str">
            <v>제35호표</v>
          </cell>
        </row>
        <row r="962">
          <cell r="B962" t="str">
            <v>접지선 신설(지중)F-GV 10㎟</v>
          </cell>
          <cell r="D962" t="str">
            <v>접지선 신설(지중)</v>
          </cell>
          <cell r="E962" t="str">
            <v>F-GV 10㎟</v>
          </cell>
          <cell r="F962" t="str">
            <v>m</v>
          </cell>
          <cell r="G962">
            <v>5.5</v>
          </cell>
          <cell r="H962">
            <v>1486</v>
          </cell>
          <cell r="I962">
            <v>8173</v>
          </cell>
          <cell r="J962">
            <v>1662</v>
          </cell>
          <cell r="K962">
            <v>9141</v>
          </cell>
          <cell r="L962">
            <v>49</v>
          </cell>
          <cell r="M962">
            <v>269</v>
          </cell>
          <cell r="N962">
            <v>3197</v>
          </cell>
          <cell r="O962">
            <v>17583</v>
          </cell>
          <cell r="P962" t="str">
            <v>제47호표</v>
          </cell>
        </row>
        <row r="963">
          <cell r="B963" t="str">
            <v>접지봉설치(2본)CU 14Ø x 1000L</v>
          </cell>
          <cell r="D963" t="str">
            <v>접지봉설치(2본)</v>
          </cell>
          <cell r="E963" t="str">
            <v>CU 14Ø x 1000L</v>
          </cell>
          <cell r="F963" t="str">
            <v>개소</v>
          </cell>
          <cell r="G963">
            <v>1</v>
          </cell>
          <cell r="H963">
            <v>8800</v>
          </cell>
          <cell r="I963">
            <v>8800</v>
          </cell>
          <cell r="J963">
            <v>32203</v>
          </cell>
          <cell r="K963">
            <v>32203</v>
          </cell>
          <cell r="L963">
            <v>966</v>
          </cell>
          <cell r="M963">
            <v>966</v>
          </cell>
          <cell r="N963">
            <v>41969</v>
          </cell>
          <cell r="O963">
            <v>41969</v>
          </cell>
          <cell r="P963" t="str">
            <v>제63호표</v>
          </cell>
        </row>
        <row r="964">
          <cell r="D964" t="str">
            <v>폐기물처리(투스콘)</v>
          </cell>
          <cell r="F964" t="str">
            <v>㎥</v>
          </cell>
          <cell r="G964">
            <v>9.5000000000000001E-2</v>
          </cell>
          <cell r="P964" t="str">
            <v>별도처리</v>
          </cell>
        </row>
        <row r="966">
          <cell r="A966">
            <v>58</v>
          </cell>
          <cell r="B966">
            <v>3</v>
          </cell>
          <cell r="C966" t="str">
            <v>제58호표</v>
          </cell>
          <cell r="D966" t="str">
            <v>제어기 기초 설치(보도블럭)</v>
          </cell>
          <cell r="E966" t="str">
            <v>650 x 500 x 800</v>
          </cell>
          <cell r="F966" t="str">
            <v>개소</v>
          </cell>
          <cell r="G966">
            <v>1</v>
          </cell>
          <cell r="I966">
            <v>280880</v>
          </cell>
          <cell r="K966">
            <v>81599</v>
          </cell>
          <cell r="M966">
            <v>3298</v>
          </cell>
          <cell r="O966">
            <v>365777</v>
          </cell>
        </row>
        <row r="968">
          <cell r="D968" t="str">
            <v>제어기 기초 설치(보도블럭)</v>
          </cell>
          <cell r="E968" t="str">
            <v>650 x 500 x 800</v>
          </cell>
          <cell r="F968" t="str">
            <v>개소</v>
          </cell>
          <cell r="G968">
            <v>1</v>
          </cell>
        </row>
        <row r="970">
          <cell r="B970" t="str">
            <v>제어반 기초앙카 L앙카볼트,400mm*4개</v>
          </cell>
          <cell r="C970" t="str">
            <v>재료비</v>
          </cell>
          <cell r="D970" t="str">
            <v>제어반 기초앙카</v>
          </cell>
          <cell r="E970" t="str">
            <v xml:space="preserve"> L앙카볼트,400mm*4개</v>
          </cell>
          <cell r="F970" t="str">
            <v>개</v>
          </cell>
          <cell r="G970">
            <v>1</v>
          </cell>
          <cell r="H970">
            <v>220000</v>
          </cell>
          <cell r="I970">
            <v>220000</v>
          </cell>
          <cell r="J970">
            <v>0</v>
          </cell>
          <cell r="L970">
            <v>0</v>
          </cell>
          <cell r="N970">
            <v>220000</v>
          </cell>
          <cell r="O970">
            <v>220000</v>
          </cell>
        </row>
        <row r="971">
          <cell r="B971" t="str">
            <v>터파기(경질토사)(기계70%+인력30%)</v>
          </cell>
          <cell r="D971" t="str">
            <v>터파기(경질토사)</v>
          </cell>
          <cell r="E971" t="str">
            <v>(기계70%+인력30%)</v>
          </cell>
          <cell r="F971" t="str">
            <v>㎥</v>
          </cell>
          <cell r="G971">
            <v>0.61699999999999999</v>
          </cell>
          <cell r="H971">
            <v>290</v>
          </cell>
          <cell r="I971">
            <v>178</v>
          </cell>
          <cell r="J971">
            <v>6657</v>
          </cell>
          <cell r="K971">
            <v>4107</v>
          </cell>
          <cell r="L971">
            <v>298</v>
          </cell>
          <cell r="M971">
            <v>183</v>
          </cell>
          <cell r="N971">
            <v>7245</v>
          </cell>
          <cell r="O971">
            <v>4468</v>
          </cell>
          <cell r="P971" t="str">
            <v>제1호표</v>
          </cell>
        </row>
        <row r="972">
          <cell r="B972" t="str">
            <v>되메우기 및 다짐(토사)(기계90%+인력10%)</v>
          </cell>
          <cell r="D972" t="str">
            <v>되메우기 및 다짐(토사)</v>
          </cell>
          <cell r="E972" t="str">
            <v>(기계90%+인력10%)</v>
          </cell>
          <cell r="F972" t="str">
            <v>㎥</v>
          </cell>
          <cell r="G972">
            <v>0.35699999999999998</v>
          </cell>
          <cell r="H972">
            <v>560</v>
          </cell>
          <cell r="I972">
            <v>199</v>
          </cell>
          <cell r="J972">
            <v>6083</v>
          </cell>
          <cell r="K972">
            <v>2171</v>
          </cell>
          <cell r="L972">
            <v>309</v>
          </cell>
          <cell r="M972">
            <v>110</v>
          </cell>
          <cell r="N972">
            <v>6952</v>
          </cell>
          <cell r="O972">
            <v>2480</v>
          </cell>
          <cell r="P972" t="str">
            <v>제4호표</v>
          </cell>
        </row>
        <row r="973">
          <cell r="B973" t="str">
            <v>모래세사,왕사(도착도)</v>
          </cell>
          <cell r="D973" t="str">
            <v>모래</v>
          </cell>
          <cell r="E973" t="str">
            <v>세사,왕사(도착도)</v>
          </cell>
          <cell r="F973" t="str">
            <v>㎥</v>
          </cell>
          <cell r="G973">
            <v>1.7999999999999999E-2</v>
          </cell>
          <cell r="H973">
            <v>22000</v>
          </cell>
          <cell r="I973">
            <v>396</v>
          </cell>
          <cell r="N973">
            <v>22000</v>
          </cell>
          <cell r="O973">
            <v>396</v>
          </cell>
        </row>
        <row r="974">
          <cell r="B974" t="str">
            <v>잔토처리(사토장)0</v>
          </cell>
          <cell r="D974" t="str">
            <v>잔토처리(사토장)</v>
          </cell>
          <cell r="E974">
            <v>0</v>
          </cell>
          <cell r="F974" t="str">
            <v>㎥</v>
          </cell>
          <cell r="G974">
            <v>0.26</v>
          </cell>
          <cell r="H974">
            <v>3073</v>
          </cell>
          <cell r="I974">
            <v>798</v>
          </cell>
          <cell r="J974">
            <v>10537</v>
          </cell>
          <cell r="K974">
            <v>2739</v>
          </cell>
          <cell r="L974">
            <v>2462</v>
          </cell>
          <cell r="M974">
            <v>640</v>
          </cell>
          <cell r="N974">
            <v>16072</v>
          </cell>
          <cell r="O974">
            <v>4177</v>
          </cell>
          <cell r="P974" t="str">
            <v>제6호표</v>
          </cell>
        </row>
        <row r="975">
          <cell r="B975" t="str">
            <v>레미콘타설(무근 25-180-8)</v>
          </cell>
          <cell r="D975" t="str">
            <v>레미콘타설</v>
          </cell>
          <cell r="E975" t="str">
            <v>(무근 25-180-8)</v>
          </cell>
          <cell r="F975" t="str">
            <v>㎥</v>
          </cell>
          <cell r="G975">
            <v>0.26</v>
          </cell>
          <cell r="H975">
            <v>53550</v>
          </cell>
          <cell r="I975">
            <v>13923</v>
          </cell>
          <cell r="J975">
            <v>26374</v>
          </cell>
          <cell r="K975">
            <v>6857</v>
          </cell>
          <cell r="L975">
            <v>0</v>
          </cell>
          <cell r="M975">
            <v>0</v>
          </cell>
          <cell r="N975">
            <v>79924</v>
          </cell>
          <cell r="O975">
            <v>20780</v>
          </cell>
          <cell r="P975" t="str">
            <v>제29호표</v>
          </cell>
        </row>
        <row r="976">
          <cell r="B976" t="str">
            <v>보도블럭 철거 및 복구소형고압블럭(20% 신설)</v>
          </cell>
          <cell r="D976" t="str">
            <v>보도블럭 철거 및 복구</v>
          </cell>
          <cell r="E976" t="str">
            <v>소형고압블럭(20% 신설)</v>
          </cell>
          <cell r="F976" t="str">
            <v>㎡</v>
          </cell>
          <cell r="G976">
            <v>0.54300000000000004</v>
          </cell>
          <cell r="H976">
            <v>1496.9802000000002</v>
          </cell>
          <cell r="I976">
            <v>812</v>
          </cell>
          <cell r="J976">
            <v>3784.2209999999995</v>
          </cell>
          <cell r="K976">
            <v>2054</v>
          </cell>
          <cell r="L976">
            <v>853.50599999999997</v>
          </cell>
          <cell r="M976">
            <v>463</v>
          </cell>
          <cell r="N976">
            <v>6134</v>
          </cell>
          <cell r="O976">
            <v>3329</v>
          </cell>
          <cell r="P976" t="str">
            <v>제19호표</v>
          </cell>
        </row>
        <row r="977">
          <cell r="B977" t="str">
            <v>접지선 신설(지중)F-GV 10㎟</v>
          </cell>
          <cell r="D977" t="str">
            <v>접지선 신설(지중)</v>
          </cell>
          <cell r="E977" t="str">
            <v>F-GV 10㎟</v>
          </cell>
          <cell r="F977" t="str">
            <v>m</v>
          </cell>
          <cell r="G977">
            <v>9</v>
          </cell>
          <cell r="H977">
            <v>1486</v>
          </cell>
          <cell r="I977">
            <v>13374</v>
          </cell>
          <cell r="J977">
            <v>1662</v>
          </cell>
          <cell r="K977">
            <v>14958</v>
          </cell>
          <cell r="L977">
            <v>49</v>
          </cell>
          <cell r="M977">
            <v>441</v>
          </cell>
          <cell r="N977">
            <v>3197</v>
          </cell>
          <cell r="O977">
            <v>28773</v>
          </cell>
          <cell r="P977" t="str">
            <v>제47호표</v>
          </cell>
        </row>
        <row r="978">
          <cell r="B978" t="str">
            <v>접지봉설치(3본)CU 18Ø x 2400L</v>
          </cell>
          <cell r="D978" t="str">
            <v>접지봉설치(3본)</v>
          </cell>
          <cell r="E978" t="str">
            <v>CU 18Ø x 2400L</v>
          </cell>
          <cell r="F978" t="str">
            <v>개소</v>
          </cell>
          <cell r="G978">
            <v>1</v>
          </cell>
          <cell r="H978">
            <v>31200</v>
          </cell>
          <cell r="I978">
            <v>31200</v>
          </cell>
          <cell r="J978">
            <v>48713</v>
          </cell>
          <cell r="K978">
            <v>48713</v>
          </cell>
          <cell r="L978">
            <v>1461</v>
          </cell>
          <cell r="M978">
            <v>1461</v>
          </cell>
          <cell r="N978">
            <v>81374</v>
          </cell>
          <cell r="O978">
            <v>81374</v>
          </cell>
          <cell r="P978" t="str">
            <v>제64호표</v>
          </cell>
        </row>
        <row r="979">
          <cell r="D979" t="str">
            <v>폐기물처리(보도블럭)</v>
          </cell>
          <cell r="F979" t="str">
            <v>㎥</v>
          </cell>
          <cell r="G979">
            <v>1.7500000000000002E-2</v>
          </cell>
          <cell r="P979" t="str">
            <v>별도처리</v>
          </cell>
        </row>
        <row r="983">
          <cell r="A983">
            <v>59</v>
          </cell>
          <cell r="B983">
            <v>3</v>
          </cell>
          <cell r="C983" t="str">
            <v>제59호표</v>
          </cell>
          <cell r="D983" t="str">
            <v>제어기 기초 설치(투스콘)</v>
          </cell>
          <cell r="E983" t="str">
            <v>650 x 500 x 800</v>
          </cell>
          <cell r="F983" t="str">
            <v>개소</v>
          </cell>
          <cell r="G983">
            <v>1</v>
          </cell>
          <cell r="I983">
            <v>289619</v>
          </cell>
          <cell r="K983">
            <v>90214</v>
          </cell>
          <cell r="M983">
            <v>5924</v>
          </cell>
          <cell r="O983">
            <v>385757</v>
          </cell>
        </row>
        <row r="985">
          <cell r="D985" t="str">
            <v>제어기 기초 설치(투스콘)</v>
          </cell>
          <cell r="E985" t="str">
            <v>650 x 500 x 800</v>
          </cell>
          <cell r="F985" t="str">
            <v>개소</v>
          </cell>
          <cell r="G985">
            <v>1</v>
          </cell>
        </row>
        <row r="987">
          <cell r="B987" t="str">
            <v>제어반 기초앙카 L앙카볼트,400mm*4개</v>
          </cell>
          <cell r="C987" t="str">
            <v>재료비</v>
          </cell>
          <cell r="D987" t="str">
            <v>제어반 기초앙카</v>
          </cell>
          <cell r="E987" t="str">
            <v xml:space="preserve"> L앙카볼트,400mm*4개</v>
          </cell>
          <cell r="F987" t="str">
            <v>개</v>
          </cell>
          <cell r="G987">
            <v>1</v>
          </cell>
          <cell r="H987">
            <v>220000</v>
          </cell>
          <cell r="I987">
            <v>220000</v>
          </cell>
          <cell r="J987">
            <v>0</v>
          </cell>
          <cell r="L987">
            <v>0</v>
          </cell>
          <cell r="N987">
            <v>220000</v>
          </cell>
          <cell r="O987">
            <v>220000</v>
          </cell>
        </row>
        <row r="988">
          <cell r="B988" t="str">
            <v>터파기(경질토사)(기계70%+인력30%)</v>
          </cell>
          <cell r="D988" t="str">
            <v>터파기(경질토사)</v>
          </cell>
          <cell r="E988" t="str">
            <v>(기계70%+인력30%)</v>
          </cell>
          <cell r="F988" t="str">
            <v>㎥</v>
          </cell>
          <cell r="G988">
            <v>0.61699999999999999</v>
          </cell>
          <cell r="H988">
            <v>290</v>
          </cell>
          <cell r="I988">
            <v>178</v>
          </cell>
          <cell r="J988">
            <v>6657</v>
          </cell>
          <cell r="K988">
            <v>4107</v>
          </cell>
          <cell r="L988">
            <v>298</v>
          </cell>
          <cell r="M988">
            <v>183</v>
          </cell>
          <cell r="N988">
            <v>7245</v>
          </cell>
          <cell r="O988">
            <v>4468</v>
          </cell>
          <cell r="P988" t="str">
            <v>제1호표</v>
          </cell>
        </row>
        <row r="989">
          <cell r="B989" t="str">
            <v>되메우기 및 다짐(토사)(기계90%+인력10%)</v>
          </cell>
          <cell r="D989" t="str">
            <v>되메우기 및 다짐(토사)</v>
          </cell>
          <cell r="E989" t="str">
            <v>(기계90%+인력10%)</v>
          </cell>
          <cell r="F989" t="str">
            <v>㎥</v>
          </cell>
          <cell r="G989">
            <v>0.35699999999999998</v>
          </cell>
          <cell r="H989">
            <v>560</v>
          </cell>
          <cell r="I989">
            <v>199</v>
          </cell>
          <cell r="J989">
            <v>6083</v>
          </cell>
          <cell r="K989">
            <v>2171</v>
          </cell>
          <cell r="L989">
            <v>309</v>
          </cell>
          <cell r="M989">
            <v>110</v>
          </cell>
          <cell r="N989">
            <v>6952</v>
          </cell>
          <cell r="O989">
            <v>2480</v>
          </cell>
          <cell r="P989" t="str">
            <v>제4호표</v>
          </cell>
        </row>
        <row r="990">
          <cell r="B990" t="str">
            <v>보조기층 부설인력식 소규모 장비사용</v>
          </cell>
          <cell r="D990" t="str">
            <v>보조기층 부설</v>
          </cell>
          <cell r="E990" t="str">
            <v>인력식 소규모 장비사용</v>
          </cell>
          <cell r="F990" t="str">
            <v>㎥</v>
          </cell>
          <cell r="G990">
            <v>5.9700000000000003E-2</v>
          </cell>
          <cell r="H990">
            <v>18810</v>
          </cell>
          <cell r="I990">
            <v>1122</v>
          </cell>
          <cell r="J990">
            <v>5394</v>
          </cell>
          <cell r="K990">
            <v>322</v>
          </cell>
          <cell r="L990">
            <v>1678</v>
          </cell>
          <cell r="M990">
            <v>100</v>
          </cell>
          <cell r="N990">
            <v>25882</v>
          </cell>
          <cell r="O990">
            <v>1544</v>
          </cell>
          <cell r="P990" t="str">
            <v>제15호표</v>
          </cell>
        </row>
        <row r="991">
          <cell r="B991" t="str">
            <v>모래세사,왕사(도착도)</v>
          </cell>
          <cell r="D991" t="str">
            <v>모래</v>
          </cell>
          <cell r="E991" t="str">
            <v>세사,왕사(도착도)</v>
          </cell>
          <cell r="F991" t="str">
            <v>㎥</v>
          </cell>
          <cell r="G991">
            <v>1.7999999999999999E-2</v>
          </cell>
          <cell r="H991">
            <v>22000</v>
          </cell>
          <cell r="I991">
            <v>396</v>
          </cell>
          <cell r="N991">
            <v>22000</v>
          </cell>
          <cell r="O991">
            <v>396</v>
          </cell>
        </row>
        <row r="992">
          <cell r="B992" t="str">
            <v>잔토처리(사토장)0</v>
          </cell>
          <cell r="D992" t="str">
            <v>잔토처리(사토장)</v>
          </cell>
          <cell r="E992">
            <v>0</v>
          </cell>
          <cell r="F992" t="str">
            <v>㎥</v>
          </cell>
          <cell r="G992">
            <v>0.26</v>
          </cell>
          <cell r="H992">
            <v>3073</v>
          </cell>
          <cell r="I992">
            <v>798</v>
          </cell>
          <cell r="J992">
            <v>10537</v>
          </cell>
          <cell r="K992">
            <v>2739</v>
          </cell>
          <cell r="L992">
            <v>2462</v>
          </cell>
          <cell r="M992">
            <v>640</v>
          </cell>
          <cell r="N992">
            <v>16072</v>
          </cell>
          <cell r="O992">
            <v>4177</v>
          </cell>
          <cell r="P992" t="str">
            <v>제6호표</v>
          </cell>
        </row>
        <row r="993">
          <cell r="B993" t="str">
            <v>레미콘타설(무근 25-180-8)</v>
          </cell>
          <cell r="D993" t="str">
            <v>레미콘타설</v>
          </cell>
          <cell r="E993" t="str">
            <v>(무근 25-180-8)</v>
          </cell>
          <cell r="F993" t="str">
            <v>㎥</v>
          </cell>
          <cell r="G993">
            <v>0.26</v>
          </cell>
          <cell r="H993">
            <v>53550</v>
          </cell>
          <cell r="I993">
            <v>13923</v>
          </cell>
          <cell r="J993">
            <v>26374</v>
          </cell>
          <cell r="K993">
            <v>6857</v>
          </cell>
          <cell r="L993">
            <v>0</v>
          </cell>
          <cell r="M993">
            <v>0</v>
          </cell>
          <cell r="N993">
            <v>79924</v>
          </cell>
          <cell r="O993">
            <v>20780</v>
          </cell>
          <cell r="P993" t="str">
            <v>제29호표</v>
          </cell>
        </row>
        <row r="994">
          <cell r="B994" t="str">
            <v>아스팔트,투스콘 포장절단블레이드(D = 320~400, T = 3.2mm)</v>
          </cell>
          <cell r="D994" t="str">
            <v>아스팔트,투스콘 포장절단</v>
          </cell>
          <cell r="E994" t="str">
            <v>블레이드(D = 320~400, T = 3.2mm)</v>
          </cell>
          <cell r="F994" t="str">
            <v>m</v>
          </cell>
          <cell r="G994">
            <v>3.74</v>
          </cell>
          <cell r="H994">
            <v>750.15428571428572</v>
          </cell>
          <cell r="I994">
            <v>2805</v>
          </cell>
          <cell r="J994">
            <v>1608.8371428571429</v>
          </cell>
          <cell r="K994">
            <v>6017</v>
          </cell>
          <cell r="L994">
            <v>212.18285714285713</v>
          </cell>
          <cell r="M994">
            <v>793</v>
          </cell>
          <cell r="N994">
            <v>2571</v>
          </cell>
          <cell r="O994">
            <v>9615</v>
          </cell>
          <cell r="P994" t="str">
            <v>제8호표</v>
          </cell>
        </row>
        <row r="995">
          <cell r="B995" t="str">
            <v>아스팔트,투스콘 포장깨기대형브레이커+굴삭기(무한궤도) 0.2㎡</v>
          </cell>
          <cell r="D995" t="str">
            <v>아스팔트,투스콘 포장깨기</v>
          </cell>
          <cell r="E995" t="str">
            <v>대형브레이커+굴삭기(무한궤도) 0.2㎡</v>
          </cell>
          <cell r="F995" t="str">
            <v>㎥</v>
          </cell>
          <cell r="G995">
            <v>0.17299999999999999</v>
          </cell>
          <cell r="H995">
            <v>6190</v>
          </cell>
          <cell r="I995">
            <v>1070</v>
          </cell>
          <cell r="J995">
            <v>18758</v>
          </cell>
          <cell r="K995">
            <v>3245</v>
          </cell>
          <cell r="L995">
            <v>11188</v>
          </cell>
          <cell r="M995">
            <v>1935</v>
          </cell>
          <cell r="N995">
            <v>36136</v>
          </cell>
          <cell r="O995">
            <v>6250</v>
          </cell>
          <cell r="P995" t="str">
            <v>제10호표</v>
          </cell>
        </row>
        <row r="996">
          <cell r="B996" t="str">
            <v>보도용 투스콘포장적색 (180Kg/㎠)</v>
          </cell>
          <cell r="D996" t="str">
            <v>보도용 투스콘포장</v>
          </cell>
          <cell r="E996" t="str">
            <v>적색 (180Kg/㎠)</v>
          </cell>
          <cell r="F996" t="str">
            <v>㎡</v>
          </cell>
          <cell r="G996">
            <v>0.54300000000000004</v>
          </cell>
          <cell r="H996">
            <v>8387</v>
          </cell>
          <cell r="I996">
            <v>4554</v>
          </cell>
          <cell r="J996">
            <v>1999</v>
          </cell>
          <cell r="K996">
            <v>1085</v>
          </cell>
          <cell r="L996">
            <v>482</v>
          </cell>
          <cell r="M996">
            <v>261</v>
          </cell>
          <cell r="N996">
            <v>10868</v>
          </cell>
          <cell r="O996">
            <v>5900</v>
          </cell>
          <cell r="P996" t="str">
            <v>제16호표</v>
          </cell>
        </row>
        <row r="997">
          <cell r="B997" t="str">
            <v>접지선 신설(지중)F-GV 10㎟</v>
          </cell>
          <cell r="D997" t="str">
            <v>접지선 신설(지중)</v>
          </cell>
          <cell r="E997" t="str">
            <v>F-GV 10㎟</v>
          </cell>
          <cell r="F997" t="str">
            <v>m</v>
          </cell>
          <cell r="G997">
            <v>9</v>
          </cell>
          <cell r="H997">
            <v>1486</v>
          </cell>
          <cell r="I997">
            <v>13374</v>
          </cell>
          <cell r="J997">
            <v>1662</v>
          </cell>
          <cell r="K997">
            <v>14958</v>
          </cell>
          <cell r="L997">
            <v>49</v>
          </cell>
          <cell r="M997">
            <v>441</v>
          </cell>
          <cell r="N997">
            <v>3197</v>
          </cell>
          <cell r="O997">
            <v>28773</v>
          </cell>
          <cell r="P997" t="str">
            <v>제47호표</v>
          </cell>
        </row>
        <row r="998">
          <cell r="B998" t="str">
            <v>접지봉설치(3본)CU 18Ø x 2400L</v>
          </cell>
          <cell r="D998" t="str">
            <v>접지봉설치(3본)</v>
          </cell>
          <cell r="E998" t="str">
            <v>CU 18Ø x 2400L</v>
          </cell>
          <cell r="F998" t="str">
            <v>개소</v>
          </cell>
          <cell r="G998">
            <v>1</v>
          </cell>
          <cell r="H998">
            <v>31200</v>
          </cell>
          <cell r="I998">
            <v>31200</v>
          </cell>
          <cell r="J998">
            <v>48713</v>
          </cell>
          <cell r="K998">
            <v>48713</v>
          </cell>
          <cell r="L998">
            <v>1461</v>
          </cell>
          <cell r="M998">
            <v>1461</v>
          </cell>
          <cell r="N998">
            <v>81374</v>
          </cell>
          <cell r="O998">
            <v>81374</v>
          </cell>
          <cell r="P998" t="str">
            <v>제64호표</v>
          </cell>
        </row>
        <row r="999">
          <cell r="D999" t="str">
            <v>폐기물처리(투스콘)</v>
          </cell>
          <cell r="F999" t="str">
            <v>㎥</v>
          </cell>
          <cell r="G999">
            <v>0.17299999999999999</v>
          </cell>
          <cell r="P999" t="str">
            <v>별도처리</v>
          </cell>
        </row>
        <row r="1002">
          <cell r="A1002">
            <v>60</v>
          </cell>
          <cell r="B1002">
            <v>3</v>
          </cell>
          <cell r="C1002" t="str">
            <v>제60호표</v>
          </cell>
          <cell r="D1002" t="str">
            <v>표지판 지주용 기초 설치</v>
          </cell>
          <cell r="E1002" t="str">
            <v>Ø60.5~Ø76.3</v>
          </cell>
          <cell r="F1002" t="str">
            <v>개소</v>
          </cell>
          <cell r="G1002">
            <v>1</v>
          </cell>
          <cell r="I1002">
            <v>8353</v>
          </cell>
          <cell r="K1002">
            <v>24837</v>
          </cell>
          <cell r="M1002">
            <v>135</v>
          </cell>
          <cell r="O1002">
            <v>33325</v>
          </cell>
        </row>
        <row r="1004">
          <cell r="D1004" t="str">
            <v>표지판 지주용 기초 설치</v>
          </cell>
          <cell r="E1004" t="str">
            <v>Ø60.5~Ø76.3</v>
          </cell>
          <cell r="F1004" t="str">
            <v>개소</v>
          </cell>
          <cell r="G1004">
            <v>1</v>
          </cell>
        </row>
        <row r="1006">
          <cell r="B1006" t="str">
            <v>터파기(경질토사)인력100%, 0~1m</v>
          </cell>
          <cell r="D1006" t="str">
            <v>터파기(경질토사)</v>
          </cell>
          <cell r="E1006" t="str">
            <v>인력100%, 0~1m</v>
          </cell>
          <cell r="F1006" t="str">
            <v>㎥</v>
          </cell>
          <cell r="G1006">
            <v>0.28799999999999998</v>
          </cell>
          <cell r="H1006">
            <v>0</v>
          </cell>
          <cell r="I1006">
            <v>0</v>
          </cell>
          <cell r="J1006">
            <v>21175</v>
          </cell>
          <cell r="K1006">
            <v>6098</v>
          </cell>
          <cell r="L1006">
            <v>0</v>
          </cell>
          <cell r="M1006">
            <v>0</v>
          </cell>
          <cell r="N1006">
            <v>21175</v>
          </cell>
          <cell r="O1006">
            <v>6098</v>
          </cell>
          <cell r="P1006" t="str">
            <v>제2호표</v>
          </cell>
        </row>
        <row r="1007">
          <cell r="B1007" t="str">
            <v>인력비빔타설무근구조물25mm</v>
          </cell>
          <cell r="D1007" t="str">
            <v>인력비빔타설</v>
          </cell>
          <cell r="E1007" t="str">
            <v>무근구조물25mm</v>
          </cell>
          <cell r="F1007" t="str">
            <v>㎥</v>
          </cell>
          <cell r="G1007">
            <v>5.5E-2</v>
          </cell>
          <cell r="H1007">
            <v>71890</v>
          </cell>
          <cell r="I1007">
            <v>3953</v>
          </cell>
          <cell r="J1007">
            <v>167073</v>
          </cell>
          <cell r="K1007">
            <v>9189</v>
          </cell>
          <cell r="L1007">
            <v>0</v>
          </cell>
          <cell r="M1007">
            <v>0</v>
          </cell>
          <cell r="N1007">
            <v>238963</v>
          </cell>
          <cell r="O1007">
            <v>13142</v>
          </cell>
          <cell r="P1007" t="str">
            <v>제31호표</v>
          </cell>
        </row>
        <row r="1008">
          <cell r="B1008" t="str">
            <v>합판거푸집6회</v>
          </cell>
          <cell r="D1008" t="str">
            <v>합판거푸집</v>
          </cell>
          <cell r="E1008" t="str">
            <v>6회</v>
          </cell>
          <cell r="F1008" t="str">
            <v>㎡</v>
          </cell>
          <cell r="G1008">
            <v>0.63</v>
          </cell>
          <cell r="H1008">
            <v>6716</v>
          </cell>
          <cell r="I1008">
            <v>4231</v>
          </cell>
          <cell r="J1008">
            <v>11229</v>
          </cell>
          <cell r="K1008">
            <v>7074</v>
          </cell>
          <cell r="L1008">
            <v>0</v>
          </cell>
          <cell r="M1008">
            <v>0</v>
          </cell>
          <cell r="N1008">
            <v>17945</v>
          </cell>
          <cell r="O1008">
            <v>11305</v>
          </cell>
          <cell r="P1008" t="str">
            <v>제32호표</v>
          </cell>
        </row>
        <row r="1009">
          <cell r="B1009" t="str">
            <v>잔토처리(사토장)0</v>
          </cell>
          <cell r="D1009" t="str">
            <v>잔토처리(사토장)</v>
          </cell>
          <cell r="E1009">
            <v>0</v>
          </cell>
          <cell r="F1009" t="str">
            <v>㎥</v>
          </cell>
          <cell r="G1009">
            <v>5.5E-2</v>
          </cell>
          <cell r="H1009">
            <v>3073</v>
          </cell>
          <cell r="I1009">
            <v>169</v>
          </cell>
          <cell r="J1009">
            <v>10537</v>
          </cell>
          <cell r="K1009">
            <v>579</v>
          </cell>
          <cell r="L1009">
            <v>2462</v>
          </cell>
          <cell r="M1009">
            <v>135</v>
          </cell>
          <cell r="N1009">
            <v>16072</v>
          </cell>
          <cell r="O1009">
            <v>883</v>
          </cell>
          <cell r="P1009" t="str">
            <v>제6호표</v>
          </cell>
        </row>
        <row r="1010">
          <cell r="B1010" t="str">
            <v>되메우기 및 다짐인력100%</v>
          </cell>
          <cell r="D1010" t="str">
            <v>되메우기 및 다짐</v>
          </cell>
          <cell r="E1010" t="str">
            <v>인력100%</v>
          </cell>
          <cell r="F1010" t="str">
            <v>㎥</v>
          </cell>
          <cell r="G1010">
            <v>0.23300000000000001</v>
          </cell>
          <cell r="H1010">
            <v>0</v>
          </cell>
          <cell r="I1010">
            <v>0</v>
          </cell>
          <cell r="J1010">
            <v>8144</v>
          </cell>
          <cell r="K1010">
            <v>1897</v>
          </cell>
          <cell r="L1010">
            <v>0</v>
          </cell>
          <cell r="M1010">
            <v>0</v>
          </cell>
          <cell r="N1010">
            <v>8144</v>
          </cell>
          <cell r="O1010">
            <v>1897</v>
          </cell>
          <cell r="P1010" t="str">
            <v>제5호표</v>
          </cell>
        </row>
        <row r="1013">
          <cell r="A1013">
            <v>61</v>
          </cell>
          <cell r="B1013">
            <v>3</v>
          </cell>
          <cell r="C1013" t="str">
            <v>제61호표</v>
          </cell>
          <cell r="D1013" t="str">
            <v>측주식 지주용 기초 설치</v>
          </cell>
          <cell r="E1013" t="str">
            <v>Ø139.8+Ø76.3*6m-중형표지판용</v>
          </cell>
          <cell r="F1013" t="str">
            <v>개소</v>
          </cell>
          <cell r="G1013">
            <v>1</v>
          </cell>
          <cell r="I1013">
            <v>173662</v>
          </cell>
          <cell r="K1013">
            <v>199827</v>
          </cell>
          <cell r="M1013">
            <v>1376</v>
          </cell>
          <cell r="O1013">
            <v>374865</v>
          </cell>
        </row>
        <row r="1015">
          <cell r="D1015" t="str">
            <v>측주식 지주용 기초 설치</v>
          </cell>
          <cell r="E1015" t="str">
            <v>Ø139.8+Ø76.3*6m-중형표지판용</v>
          </cell>
          <cell r="F1015" t="str">
            <v>개소</v>
          </cell>
          <cell r="G1015">
            <v>1</v>
          </cell>
        </row>
        <row r="1017">
          <cell r="B1017" t="str">
            <v>보행등기초앙카Ø125</v>
          </cell>
          <cell r="C1017" t="str">
            <v>재료비</v>
          </cell>
          <cell r="D1017" t="str">
            <v>보행등기초앙카</v>
          </cell>
          <cell r="E1017" t="str">
            <v>Ø125</v>
          </cell>
          <cell r="F1017" t="str">
            <v>개</v>
          </cell>
          <cell r="G1017">
            <v>1</v>
          </cell>
          <cell r="H1017">
            <v>110000</v>
          </cell>
          <cell r="I1017">
            <v>110000</v>
          </cell>
          <cell r="J1017">
            <v>0</v>
          </cell>
          <cell r="L1017">
            <v>0</v>
          </cell>
          <cell r="N1017">
            <v>110000</v>
          </cell>
          <cell r="O1017">
            <v>110000</v>
          </cell>
        </row>
        <row r="1018">
          <cell r="B1018" t="str">
            <v>터파기(경질토사)인력100%, 1~2m</v>
          </cell>
          <cell r="D1018" t="str">
            <v>터파기(경질토사)</v>
          </cell>
          <cell r="E1018" t="str">
            <v>인력100%, 1~2m</v>
          </cell>
          <cell r="F1018" t="str">
            <v>㎥</v>
          </cell>
          <cell r="G1018">
            <v>1.875</v>
          </cell>
          <cell r="H1018">
            <v>0</v>
          </cell>
          <cell r="I1018">
            <v>0</v>
          </cell>
          <cell r="J1018">
            <v>28505</v>
          </cell>
          <cell r="K1018">
            <v>53446</v>
          </cell>
          <cell r="L1018">
            <v>0</v>
          </cell>
          <cell r="M1018">
            <v>0</v>
          </cell>
          <cell r="N1018">
            <v>28505</v>
          </cell>
          <cell r="O1018">
            <v>53446</v>
          </cell>
          <cell r="P1018" t="str">
            <v>제3호표</v>
          </cell>
        </row>
        <row r="1019">
          <cell r="B1019" t="str">
            <v>인력비빔타설무근구조물25mm</v>
          </cell>
          <cell r="D1019" t="str">
            <v>인력비빔타설</v>
          </cell>
          <cell r="E1019" t="str">
            <v>무근구조물25mm</v>
          </cell>
          <cell r="F1019" t="str">
            <v>㎥</v>
          </cell>
          <cell r="G1019">
            <v>0.55900000000000005</v>
          </cell>
          <cell r="H1019">
            <v>71890</v>
          </cell>
          <cell r="I1019">
            <v>40186</v>
          </cell>
          <cell r="J1019">
            <v>167073</v>
          </cell>
          <cell r="K1019">
            <v>93393</v>
          </cell>
          <cell r="L1019">
            <v>0</v>
          </cell>
          <cell r="M1019">
            <v>0</v>
          </cell>
          <cell r="N1019">
            <v>238963</v>
          </cell>
          <cell r="O1019">
            <v>133579</v>
          </cell>
          <cell r="P1019" t="str">
            <v>제31호표</v>
          </cell>
        </row>
        <row r="1020">
          <cell r="B1020" t="str">
            <v>합판거푸집6회</v>
          </cell>
          <cell r="D1020" t="str">
            <v>합판거푸집</v>
          </cell>
          <cell r="E1020" t="str">
            <v>6회</v>
          </cell>
          <cell r="F1020" t="str">
            <v>㎡</v>
          </cell>
          <cell r="G1020">
            <v>3.24</v>
          </cell>
          <cell r="H1020">
            <v>6716</v>
          </cell>
          <cell r="I1020">
            <v>21759</v>
          </cell>
          <cell r="J1020">
            <v>11229</v>
          </cell>
          <cell r="K1020">
            <v>36381</v>
          </cell>
          <cell r="L1020">
            <v>0</v>
          </cell>
          <cell r="M1020">
            <v>0</v>
          </cell>
          <cell r="N1020">
            <v>17945</v>
          </cell>
          <cell r="O1020">
            <v>58140</v>
          </cell>
          <cell r="P1020" t="str">
            <v>제32호표</v>
          </cell>
        </row>
        <row r="1021">
          <cell r="B1021" t="str">
            <v>잔토처리(사토장)0</v>
          </cell>
          <cell r="D1021" t="str">
            <v>잔토처리(사토장)</v>
          </cell>
          <cell r="E1021">
            <v>0</v>
          </cell>
          <cell r="F1021" t="str">
            <v>㎥</v>
          </cell>
          <cell r="G1021">
            <v>0.55900000000000005</v>
          </cell>
          <cell r="H1021">
            <v>3073</v>
          </cell>
          <cell r="I1021">
            <v>1717</v>
          </cell>
          <cell r="J1021">
            <v>10537</v>
          </cell>
          <cell r="K1021">
            <v>5890</v>
          </cell>
          <cell r="L1021">
            <v>2462</v>
          </cell>
          <cell r="M1021">
            <v>1376</v>
          </cell>
          <cell r="N1021">
            <v>16072</v>
          </cell>
          <cell r="O1021">
            <v>8983</v>
          </cell>
          <cell r="P1021" t="str">
            <v>제6호표</v>
          </cell>
        </row>
        <row r="1022">
          <cell r="B1022" t="str">
            <v>되메우기 및 다짐인력100%</v>
          </cell>
          <cell r="D1022" t="str">
            <v>되메우기 및 다짐</v>
          </cell>
          <cell r="E1022" t="str">
            <v>인력100%</v>
          </cell>
          <cell r="F1022" t="str">
            <v>㎥</v>
          </cell>
          <cell r="G1022">
            <v>1.3160000000000001</v>
          </cell>
          <cell r="H1022">
            <v>0</v>
          </cell>
          <cell r="I1022">
            <v>0</v>
          </cell>
          <cell r="J1022">
            <v>8144</v>
          </cell>
          <cell r="K1022">
            <v>10717</v>
          </cell>
          <cell r="L1022">
            <v>0</v>
          </cell>
          <cell r="M1022">
            <v>0</v>
          </cell>
          <cell r="N1022">
            <v>8144</v>
          </cell>
          <cell r="O1022">
            <v>10717</v>
          </cell>
          <cell r="P1022" t="str">
            <v>제5호표</v>
          </cell>
        </row>
        <row r="1024">
          <cell r="A1024">
            <v>62</v>
          </cell>
          <cell r="B1024">
            <v>3</v>
          </cell>
          <cell r="C1024" t="str">
            <v>제62호표</v>
          </cell>
          <cell r="D1024" t="str">
            <v>접지봉설치(1본)</v>
          </cell>
          <cell r="E1024" t="str">
            <v>CU 14Ø x 1000L</v>
          </cell>
          <cell r="F1024" t="str">
            <v>개소</v>
          </cell>
          <cell r="G1024">
            <v>1</v>
          </cell>
          <cell r="I1024">
            <v>4400</v>
          </cell>
          <cell r="K1024">
            <v>21376</v>
          </cell>
          <cell r="M1024">
            <v>641</v>
          </cell>
          <cell r="O1024">
            <v>26417</v>
          </cell>
          <cell r="P1024" t="str">
            <v>전3-38</v>
          </cell>
        </row>
        <row r="1026">
          <cell r="D1026" t="str">
            <v>접지봉설치(1본)</v>
          </cell>
          <cell r="E1026" t="str">
            <v>CU 14Ø x 1000L</v>
          </cell>
          <cell r="F1026" t="str">
            <v>개소</v>
          </cell>
          <cell r="G1026">
            <v>1</v>
          </cell>
        </row>
        <row r="1028">
          <cell r="B1028" t="str">
            <v>접지봉설치CU 14Ø x 1000L</v>
          </cell>
          <cell r="C1028" t="str">
            <v>재료비</v>
          </cell>
          <cell r="D1028" t="str">
            <v>접지봉설치</v>
          </cell>
          <cell r="E1028" t="str">
            <v>CU 14Ø x 1000L</v>
          </cell>
          <cell r="F1028" t="str">
            <v>개</v>
          </cell>
          <cell r="G1028">
            <v>1</v>
          </cell>
          <cell r="H1028">
            <v>3500</v>
          </cell>
          <cell r="I1028">
            <v>3500</v>
          </cell>
          <cell r="J1028">
            <v>0</v>
          </cell>
          <cell r="L1028">
            <v>0</v>
          </cell>
          <cell r="N1028">
            <v>3500</v>
          </cell>
          <cell r="O1028">
            <v>3500</v>
          </cell>
        </row>
        <row r="1029">
          <cell r="B1029" t="str">
            <v>접지콘넥타14Ø</v>
          </cell>
          <cell r="D1029" t="str">
            <v>접지콘넥타</v>
          </cell>
          <cell r="E1029" t="str">
            <v>14Ø</v>
          </cell>
          <cell r="F1029" t="str">
            <v>개</v>
          </cell>
          <cell r="G1029">
            <v>1</v>
          </cell>
          <cell r="H1029">
            <v>900</v>
          </cell>
          <cell r="I1029">
            <v>900</v>
          </cell>
          <cell r="J1029">
            <v>0</v>
          </cell>
          <cell r="L1029">
            <v>0</v>
          </cell>
          <cell r="N1029">
            <v>900</v>
          </cell>
          <cell r="O1029">
            <v>900</v>
          </cell>
        </row>
        <row r="1030">
          <cell r="C1030" t="str">
            <v>노무비</v>
          </cell>
          <cell r="D1030" t="str">
            <v>내선전공</v>
          </cell>
          <cell r="E1030">
            <v>0.11</v>
          </cell>
          <cell r="F1030" t="str">
            <v>인</v>
          </cell>
          <cell r="G1030">
            <v>0.11</v>
          </cell>
          <cell r="I1030">
            <v>0</v>
          </cell>
          <cell r="J1030">
            <v>135106</v>
          </cell>
          <cell r="K1030">
            <v>14861</v>
          </cell>
          <cell r="M1030">
            <v>0</v>
          </cell>
          <cell r="N1030">
            <v>135106</v>
          </cell>
          <cell r="O1030">
            <v>14861</v>
          </cell>
          <cell r="P1030">
            <v>0</v>
          </cell>
        </row>
        <row r="1031">
          <cell r="D1031" t="str">
            <v>보통인부</v>
          </cell>
          <cell r="E1031">
            <v>0.08</v>
          </cell>
          <cell r="F1031" t="str">
            <v>인</v>
          </cell>
          <cell r="G1031">
            <v>0.08</v>
          </cell>
          <cell r="I1031">
            <v>0</v>
          </cell>
          <cell r="J1031">
            <v>81443</v>
          </cell>
          <cell r="K1031">
            <v>6515</v>
          </cell>
          <cell r="M1031">
            <v>0</v>
          </cell>
          <cell r="N1031">
            <v>81443</v>
          </cell>
          <cell r="O1031">
            <v>6515</v>
          </cell>
          <cell r="P1031">
            <v>0</v>
          </cell>
        </row>
        <row r="1032">
          <cell r="D1032" t="str">
            <v>공구손료</v>
          </cell>
          <cell r="E1032" t="str">
            <v>노무비의</v>
          </cell>
          <cell r="F1032" t="str">
            <v>%</v>
          </cell>
          <cell r="G1032">
            <v>3</v>
          </cell>
          <cell r="I1032">
            <v>0</v>
          </cell>
          <cell r="L1032">
            <v>21376</v>
          </cell>
          <cell r="M1032">
            <v>641</v>
          </cell>
          <cell r="N1032">
            <v>21376</v>
          </cell>
          <cell r="O1032">
            <v>641</v>
          </cell>
        </row>
        <row r="1034">
          <cell r="A1034">
            <v>63</v>
          </cell>
          <cell r="B1034">
            <v>3</v>
          </cell>
          <cell r="C1034" t="str">
            <v>제63호표</v>
          </cell>
          <cell r="D1034" t="str">
            <v>접지봉설치(2본)</v>
          </cell>
          <cell r="E1034" t="str">
            <v>CU 14Ø x 1000L</v>
          </cell>
          <cell r="F1034" t="str">
            <v>개소</v>
          </cell>
          <cell r="G1034">
            <v>1</v>
          </cell>
          <cell r="I1034">
            <v>8800</v>
          </cell>
          <cell r="K1034">
            <v>32203</v>
          </cell>
          <cell r="M1034">
            <v>966</v>
          </cell>
          <cell r="O1034">
            <v>41969</v>
          </cell>
          <cell r="P1034" t="str">
            <v>전3-38</v>
          </cell>
        </row>
        <row r="1036">
          <cell r="D1036" t="str">
            <v>접지봉설치(2본)</v>
          </cell>
          <cell r="E1036" t="str">
            <v>CU 14Ø x 1000L</v>
          </cell>
          <cell r="F1036" t="str">
            <v>개소</v>
          </cell>
          <cell r="G1036">
            <v>1</v>
          </cell>
        </row>
        <row r="1038">
          <cell r="B1038" t="str">
            <v>접지봉설치CU 14Ø x 1000L</v>
          </cell>
          <cell r="C1038" t="str">
            <v>재료비</v>
          </cell>
          <cell r="D1038" t="str">
            <v>접지봉설치</v>
          </cell>
          <cell r="E1038" t="str">
            <v>CU 14Ø x 1000L</v>
          </cell>
          <cell r="F1038" t="str">
            <v>개</v>
          </cell>
          <cell r="G1038">
            <v>2</v>
          </cell>
          <cell r="H1038">
            <v>3500</v>
          </cell>
          <cell r="I1038">
            <v>7000</v>
          </cell>
          <cell r="J1038">
            <v>0</v>
          </cell>
          <cell r="L1038">
            <v>0</v>
          </cell>
          <cell r="N1038">
            <v>3500</v>
          </cell>
          <cell r="O1038">
            <v>7000</v>
          </cell>
        </row>
        <row r="1039">
          <cell r="B1039" t="str">
            <v>접지콘넥타14Ø</v>
          </cell>
          <cell r="D1039" t="str">
            <v>접지콘넥타</v>
          </cell>
          <cell r="E1039" t="str">
            <v>14Ø</v>
          </cell>
          <cell r="F1039" t="str">
            <v>개</v>
          </cell>
          <cell r="G1039">
            <v>2</v>
          </cell>
          <cell r="H1039">
            <v>900</v>
          </cell>
          <cell r="I1039">
            <v>1800</v>
          </cell>
          <cell r="J1039">
            <v>0</v>
          </cell>
          <cell r="L1039">
            <v>0</v>
          </cell>
          <cell r="N1039">
            <v>900</v>
          </cell>
          <cell r="O1039">
            <v>1800</v>
          </cell>
        </row>
        <row r="1040">
          <cell r="C1040" t="str">
            <v>노무비</v>
          </cell>
          <cell r="D1040" t="str">
            <v>내선전공</v>
          </cell>
          <cell r="E1040">
            <v>0.16</v>
          </cell>
          <cell r="F1040" t="str">
            <v>인</v>
          </cell>
          <cell r="G1040">
            <v>0.16</v>
          </cell>
          <cell r="J1040">
            <v>135106</v>
          </cell>
          <cell r="K1040">
            <v>21616</v>
          </cell>
          <cell r="M1040">
            <v>0</v>
          </cell>
          <cell r="N1040">
            <v>135106</v>
          </cell>
          <cell r="O1040">
            <v>21616</v>
          </cell>
          <cell r="P1040">
            <v>0</v>
          </cell>
        </row>
        <row r="1041">
          <cell r="D1041" t="str">
            <v>보통인부</v>
          </cell>
          <cell r="E1041">
            <v>0.13</v>
          </cell>
          <cell r="F1041" t="str">
            <v>인</v>
          </cell>
          <cell r="G1041">
            <v>0.13</v>
          </cell>
          <cell r="J1041">
            <v>81443</v>
          </cell>
          <cell r="K1041">
            <v>10587</v>
          </cell>
          <cell r="M1041">
            <v>0</v>
          </cell>
          <cell r="N1041">
            <v>81443</v>
          </cell>
          <cell r="O1041">
            <v>10587</v>
          </cell>
          <cell r="P1041">
            <v>0</v>
          </cell>
        </row>
        <row r="1042">
          <cell r="D1042" t="str">
            <v>공구손료</v>
          </cell>
          <cell r="E1042" t="str">
            <v>노무비의</v>
          </cell>
          <cell r="F1042" t="str">
            <v>%</v>
          </cell>
          <cell r="G1042">
            <v>3</v>
          </cell>
          <cell r="L1042">
            <v>32203</v>
          </cell>
          <cell r="M1042">
            <v>966</v>
          </cell>
          <cell r="N1042">
            <v>32203</v>
          </cell>
          <cell r="O1042">
            <v>966</v>
          </cell>
        </row>
        <row r="1044">
          <cell r="A1044">
            <v>64</v>
          </cell>
          <cell r="B1044">
            <v>3</v>
          </cell>
          <cell r="C1044" t="str">
            <v>제64호표</v>
          </cell>
          <cell r="D1044" t="str">
            <v>접지봉설치(3본)</v>
          </cell>
          <cell r="E1044" t="str">
            <v>CU 18Ø x 2400L</v>
          </cell>
          <cell r="F1044" t="str">
            <v>개소</v>
          </cell>
          <cell r="G1044">
            <v>1</v>
          </cell>
          <cell r="I1044">
            <v>31200</v>
          </cell>
          <cell r="K1044">
            <v>48713</v>
          </cell>
          <cell r="M1044">
            <v>1461</v>
          </cell>
          <cell r="O1044">
            <v>81374</v>
          </cell>
          <cell r="P1044" t="str">
            <v>전3-38</v>
          </cell>
        </row>
        <row r="1046">
          <cell r="D1046" t="str">
            <v>접지봉설치(3본)</v>
          </cell>
          <cell r="E1046" t="str">
            <v>CU 18Ø x 2400L</v>
          </cell>
          <cell r="F1046" t="str">
            <v>개소</v>
          </cell>
          <cell r="G1046">
            <v>1</v>
          </cell>
        </row>
        <row r="1048">
          <cell r="B1048" t="str">
            <v>접지봉설치CU 18Ø x 2400L</v>
          </cell>
          <cell r="C1048" t="str">
            <v>재료비</v>
          </cell>
          <cell r="D1048" t="str">
            <v>접지봉설치</v>
          </cell>
          <cell r="E1048" t="str">
            <v>CU 18Ø x 2400L</v>
          </cell>
          <cell r="F1048" t="str">
            <v>개</v>
          </cell>
          <cell r="G1048">
            <v>3</v>
          </cell>
          <cell r="H1048">
            <v>8700</v>
          </cell>
          <cell r="I1048">
            <v>26100</v>
          </cell>
          <cell r="J1048">
            <v>0</v>
          </cell>
          <cell r="L1048">
            <v>0</v>
          </cell>
          <cell r="N1048">
            <v>8700</v>
          </cell>
          <cell r="O1048">
            <v>26100</v>
          </cell>
        </row>
        <row r="1049">
          <cell r="B1049" t="str">
            <v>접지콘넥타18Ø</v>
          </cell>
          <cell r="D1049" t="str">
            <v>접지콘넥타</v>
          </cell>
          <cell r="E1049" t="str">
            <v>18Ø</v>
          </cell>
          <cell r="F1049" t="str">
            <v>개</v>
          </cell>
          <cell r="G1049">
            <v>3</v>
          </cell>
          <cell r="H1049">
            <v>1700</v>
          </cell>
          <cell r="I1049">
            <v>5100</v>
          </cell>
          <cell r="J1049">
            <v>0</v>
          </cell>
          <cell r="L1049">
            <v>0</v>
          </cell>
          <cell r="N1049">
            <v>1700</v>
          </cell>
          <cell r="O1049">
            <v>5100</v>
          </cell>
        </row>
        <row r="1051">
          <cell r="C1051" t="str">
            <v>노무비</v>
          </cell>
          <cell r="D1051" t="str">
            <v>내선전공</v>
          </cell>
          <cell r="E1051">
            <v>0.24</v>
          </cell>
          <cell r="F1051" t="str">
            <v>인</v>
          </cell>
          <cell r="G1051">
            <v>0.24</v>
          </cell>
          <cell r="J1051">
            <v>135106</v>
          </cell>
          <cell r="K1051">
            <v>32425</v>
          </cell>
          <cell r="M1051">
            <v>0</v>
          </cell>
          <cell r="N1051">
            <v>135106</v>
          </cell>
          <cell r="O1051">
            <v>32425</v>
          </cell>
          <cell r="P1051">
            <v>0</v>
          </cell>
        </row>
        <row r="1052">
          <cell r="D1052" t="str">
            <v>보통인부</v>
          </cell>
          <cell r="E1052">
            <v>0.2</v>
          </cell>
          <cell r="F1052" t="str">
            <v>인</v>
          </cell>
          <cell r="G1052">
            <v>0.2</v>
          </cell>
          <cell r="J1052">
            <v>81443</v>
          </cell>
          <cell r="K1052">
            <v>16288</v>
          </cell>
          <cell r="M1052">
            <v>0</v>
          </cell>
          <cell r="N1052">
            <v>81443</v>
          </cell>
          <cell r="O1052">
            <v>16288</v>
          </cell>
          <cell r="P1052">
            <v>0</v>
          </cell>
        </row>
        <row r="1053">
          <cell r="D1053" t="str">
            <v>공구손료</v>
          </cell>
          <cell r="E1053" t="str">
            <v>노무비의</v>
          </cell>
          <cell r="F1053" t="str">
            <v>%</v>
          </cell>
          <cell r="G1053">
            <v>3</v>
          </cell>
          <cell r="L1053">
            <v>48713</v>
          </cell>
          <cell r="M1053">
            <v>1461</v>
          </cell>
          <cell r="N1053">
            <v>48713</v>
          </cell>
          <cell r="O1053">
            <v>1461</v>
          </cell>
        </row>
        <row r="1055">
          <cell r="A1055">
            <v>65</v>
          </cell>
          <cell r="B1055">
            <v>3</v>
          </cell>
          <cell r="C1055" t="str">
            <v>제65호표</v>
          </cell>
          <cell r="D1055" t="str">
            <v>전선관 지지</v>
          </cell>
          <cell r="E1055" t="str">
            <v>36C 1열</v>
          </cell>
          <cell r="F1055" t="str">
            <v>개소</v>
          </cell>
          <cell r="G1055">
            <v>1</v>
          </cell>
          <cell r="I1055">
            <v>5285</v>
          </cell>
          <cell r="K1055">
            <v>21616</v>
          </cell>
          <cell r="M1055">
            <v>648</v>
          </cell>
          <cell r="O1055">
            <v>27549</v>
          </cell>
        </row>
        <row r="1056">
          <cell r="D1056" t="str">
            <v>전선관 지지</v>
          </cell>
          <cell r="E1056" t="str">
            <v>36C 1열</v>
          </cell>
          <cell r="F1056" t="str">
            <v>개소</v>
          </cell>
          <cell r="G1056">
            <v>1</v>
          </cell>
        </row>
        <row r="1058">
          <cell r="B1058" t="str">
            <v>C Channel(STS304)42x42x2.3tx3m</v>
          </cell>
          <cell r="C1058" t="str">
            <v>재료비</v>
          </cell>
          <cell r="D1058" t="str">
            <v>C Channel(STS304)</v>
          </cell>
          <cell r="E1058" t="str">
            <v>42x42x2.3tx3m</v>
          </cell>
          <cell r="F1058" t="str">
            <v>m</v>
          </cell>
          <cell r="G1058">
            <v>0.11</v>
          </cell>
          <cell r="H1058">
            <v>18000</v>
          </cell>
          <cell r="I1058">
            <v>1980</v>
          </cell>
          <cell r="J1058">
            <v>0</v>
          </cell>
          <cell r="L1058">
            <v>0</v>
          </cell>
          <cell r="N1058">
            <v>18000</v>
          </cell>
          <cell r="O1058">
            <v>1980</v>
          </cell>
        </row>
        <row r="1059">
          <cell r="B1059" t="str">
            <v>파이프 클램프(STS304)36C</v>
          </cell>
          <cell r="D1059" t="str">
            <v>파이프 클램프(STS304)</v>
          </cell>
          <cell r="E1059" t="str">
            <v>36C</v>
          </cell>
          <cell r="F1059" t="str">
            <v>개</v>
          </cell>
          <cell r="G1059">
            <v>1</v>
          </cell>
          <cell r="H1059">
            <v>805</v>
          </cell>
          <cell r="I1059">
            <v>805</v>
          </cell>
          <cell r="J1059">
            <v>0</v>
          </cell>
          <cell r="L1059">
            <v>0</v>
          </cell>
          <cell r="N1059">
            <v>805</v>
          </cell>
          <cell r="O1059">
            <v>805</v>
          </cell>
        </row>
        <row r="1060">
          <cell r="B1060" t="str">
            <v>SET ANCHOR(STS304)1/2",100mm</v>
          </cell>
          <cell r="D1060" t="str">
            <v>SET ANCHOR(STS304)</v>
          </cell>
          <cell r="E1060" t="str">
            <v>1/2",100mm</v>
          </cell>
          <cell r="F1060" t="str">
            <v>개</v>
          </cell>
          <cell r="G1060">
            <v>2</v>
          </cell>
          <cell r="H1060">
            <v>1250</v>
          </cell>
          <cell r="I1060">
            <v>2500</v>
          </cell>
          <cell r="J1060">
            <v>10808</v>
          </cell>
          <cell r="K1060">
            <v>21616</v>
          </cell>
          <cell r="L1060">
            <v>324</v>
          </cell>
          <cell r="M1060">
            <v>648</v>
          </cell>
          <cell r="N1060">
            <v>12382</v>
          </cell>
          <cell r="O1060">
            <v>24764</v>
          </cell>
          <cell r="P1060" t="str">
            <v>제28호표</v>
          </cell>
        </row>
        <row r="1062">
          <cell r="A1062">
            <v>66</v>
          </cell>
          <cell r="B1062">
            <v>3</v>
          </cell>
          <cell r="C1062" t="str">
            <v>제66호표</v>
          </cell>
          <cell r="D1062" t="str">
            <v>전주용 입상관 설치</v>
          </cell>
          <cell r="E1062" t="str">
            <v>D130x2m</v>
          </cell>
          <cell r="F1062" t="str">
            <v>개</v>
          </cell>
          <cell r="G1062">
            <v>1</v>
          </cell>
          <cell r="I1062">
            <v>54000</v>
          </cell>
          <cell r="K1062">
            <v>56670</v>
          </cell>
          <cell r="M1062">
            <v>1700</v>
          </cell>
          <cell r="O1062">
            <v>112370</v>
          </cell>
          <cell r="P1062" t="str">
            <v>전4-33</v>
          </cell>
        </row>
        <row r="1064">
          <cell r="D1064" t="str">
            <v>전주용 입상관 설치</v>
          </cell>
          <cell r="E1064" t="str">
            <v>D130x2m</v>
          </cell>
          <cell r="F1064" t="str">
            <v>개</v>
          </cell>
          <cell r="G1064">
            <v>1</v>
          </cell>
        </row>
        <row r="1066">
          <cell r="B1066" t="str">
            <v>전주용 입상관D130x2m</v>
          </cell>
          <cell r="C1066" t="str">
            <v>재료비</v>
          </cell>
          <cell r="D1066" t="str">
            <v>전주용 입상관</v>
          </cell>
          <cell r="E1066" t="str">
            <v>D130x2m</v>
          </cell>
          <cell r="F1066" t="str">
            <v>개</v>
          </cell>
          <cell r="G1066">
            <v>1</v>
          </cell>
          <cell r="H1066">
            <v>42000</v>
          </cell>
          <cell r="I1066">
            <v>42000</v>
          </cell>
          <cell r="N1066">
            <v>42000</v>
          </cell>
          <cell r="O1066">
            <v>42000</v>
          </cell>
        </row>
        <row r="1067">
          <cell r="B1067" t="str">
            <v>필름밴드1500mm</v>
          </cell>
          <cell r="D1067" t="str">
            <v>필름밴드</v>
          </cell>
          <cell r="E1067" t="str">
            <v>1500mm</v>
          </cell>
          <cell r="F1067" t="str">
            <v>개</v>
          </cell>
          <cell r="G1067">
            <v>3</v>
          </cell>
          <cell r="H1067">
            <v>4000</v>
          </cell>
          <cell r="I1067">
            <v>12000</v>
          </cell>
          <cell r="N1067">
            <v>4000</v>
          </cell>
          <cell r="O1067">
            <v>12000</v>
          </cell>
        </row>
        <row r="1068">
          <cell r="C1068" t="str">
            <v>노무비</v>
          </cell>
          <cell r="D1068" t="str">
            <v>배전전공</v>
          </cell>
          <cell r="E1068">
            <v>0.22</v>
          </cell>
          <cell r="F1068" t="str">
            <v>인</v>
          </cell>
          <cell r="G1068">
            <v>0.22</v>
          </cell>
          <cell r="J1068">
            <v>216877</v>
          </cell>
          <cell r="K1068">
            <v>47712</v>
          </cell>
          <cell r="N1068">
            <v>216877</v>
          </cell>
          <cell r="O1068">
            <v>47712</v>
          </cell>
          <cell r="P1068">
            <v>0</v>
          </cell>
        </row>
        <row r="1069">
          <cell r="D1069" t="str">
            <v>보통인부</v>
          </cell>
          <cell r="E1069">
            <v>0.11</v>
          </cell>
          <cell r="F1069" t="str">
            <v>인</v>
          </cell>
          <cell r="G1069">
            <v>0.11</v>
          </cell>
          <cell r="J1069">
            <v>81443</v>
          </cell>
          <cell r="K1069">
            <v>8958</v>
          </cell>
          <cell r="N1069">
            <v>81443</v>
          </cell>
          <cell r="O1069">
            <v>8958</v>
          </cell>
        </row>
        <row r="1070">
          <cell r="D1070" t="str">
            <v>공구손료</v>
          </cell>
          <cell r="E1070" t="str">
            <v>노무비의</v>
          </cell>
          <cell r="F1070" t="str">
            <v>%</v>
          </cell>
          <cell r="G1070">
            <v>3</v>
          </cell>
          <cell r="L1070">
            <v>56670</v>
          </cell>
          <cell r="M1070">
            <v>1700</v>
          </cell>
          <cell r="N1070">
            <v>56670</v>
          </cell>
          <cell r="O1070">
            <v>1700</v>
          </cell>
        </row>
        <row r="1072">
          <cell r="A1072">
            <v>67</v>
          </cell>
          <cell r="B1072">
            <v>3</v>
          </cell>
          <cell r="C1072" t="str">
            <v>제67호표</v>
          </cell>
          <cell r="D1072" t="str">
            <v>절삭후 아스팔트 덧씌우기</v>
          </cell>
          <cell r="E1072" t="str">
            <v>밀링깊이 50mm</v>
          </cell>
          <cell r="F1072" t="str">
            <v>m</v>
          </cell>
          <cell r="G1072">
            <v>1</v>
          </cell>
          <cell r="I1072">
            <v>57228</v>
          </cell>
          <cell r="K1072">
            <v>2880</v>
          </cell>
          <cell r="M1072">
            <v>2643</v>
          </cell>
          <cell r="O1072">
            <v>62751</v>
          </cell>
        </row>
        <row r="1073">
          <cell r="D1073" t="str">
            <v>절삭후 아스팔트 덧씌우기</v>
          </cell>
          <cell r="E1073" t="str">
            <v>밀링깊이 50mm</v>
          </cell>
          <cell r="F1073" t="str">
            <v>m</v>
          </cell>
          <cell r="G1073">
            <v>1</v>
          </cell>
        </row>
        <row r="1075">
          <cell r="B1075" t="str">
            <v>절삭후 아스팔트 덧씌우기불연속구간</v>
          </cell>
          <cell r="D1075" t="str">
            <v>절삭후 아스팔트 덧씌우기</v>
          </cell>
          <cell r="E1075" t="str">
            <v>불연속구간</v>
          </cell>
          <cell r="F1075" t="str">
            <v>㎡</v>
          </cell>
          <cell r="G1075">
            <v>3</v>
          </cell>
          <cell r="H1075">
            <v>981</v>
          </cell>
          <cell r="I1075">
            <v>2943</v>
          </cell>
          <cell r="J1075">
            <v>960</v>
          </cell>
          <cell r="K1075">
            <v>2880</v>
          </cell>
          <cell r="L1075">
            <v>881</v>
          </cell>
          <cell r="M1075">
            <v>2643</v>
          </cell>
          <cell r="N1075">
            <v>2822</v>
          </cell>
          <cell r="O1075">
            <v>8466</v>
          </cell>
          <cell r="P1075" t="str">
            <v>제18호표</v>
          </cell>
        </row>
        <row r="1076">
          <cell r="C1076" t="str">
            <v>재료비</v>
          </cell>
          <cell r="D1076" t="str">
            <v>표층 아스팔트(#78)</v>
          </cell>
          <cell r="E1076" t="str">
            <v>3㎡ x 0.1 x 2.35 = 0.705</v>
          </cell>
          <cell r="F1076" t="str">
            <v>M/T</v>
          </cell>
          <cell r="G1076">
            <v>0.70499999999999996</v>
          </cell>
          <cell r="H1076">
            <v>77000</v>
          </cell>
          <cell r="I1076">
            <v>54285</v>
          </cell>
          <cell r="N1076">
            <v>77000</v>
          </cell>
          <cell r="O1076">
            <v>54285</v>
          </cell>
        </row>
        <row r="1079">
          <cell r="A1079">
            <v>68</v>
          </cell>
          <cell r="B1079">
            <v>3</v>
          </cell>
          <cell r="C1079" t="str">
            <v>제68호표</v>
          </cell>
          <cell r="D1079" t="str">
            <v>교통신호철주 신설</v>
          </cell>
          <cell r="E1079" t="str">
            <v>Ø200 x 8m 용융도금</v>
          </cell>
          <cell r="F1079" t="str">
            <v>본</v>
          </cell>
          <cell r="G1079">
            <v>1</v>
          </cell>
          <cell r="I1079">
            <v>10765</v>
          </cell>
          <cell r="K1079">
            <v>162583</v>
          </cell>
          <cell r="M1079">
            <v>16016</v>
          </cell>
          <cell r="O1079">
            <v>189364</v>
          </cell>
          <cell r="P1079" t="str">
            <v>전5-46(나)</v>
          </cell>
        </row>
        <row r="1080">
          <cell r="D1080" t="str">
            <v>교통신호철주 신설</v>
          </cell>
          <cell r="E1080" t="str">
            <v>Ø200 x 8m 용융도금</v>
          </cell>
        </row>
        <row r="1082">
          <cell r="B1082" t="str">
            <v>교통신호철주Ø200 x 8m 용융도금</v>
          </cell>
          <cell r="C1082" t="str">
            <v>재료비</v>
          </cell>
          <cell r="D1082" t="str">
            <v>교통신호철주</v>
          </cell>
          <cell r="E1082" t="str">
            <v>Ø200 x 8m 용융도금</v>
          </cell>
          <cell r="F1082" t="str">
            <v>본</v>
          </cell>
          <cell r="G1082">
            <v>1</v>
          </cell>
          <cell r="I1082">
            <v>0</v>
          </cell>
          <cell r="K1082">
            <v>0</v>
          </cell>
          <cell r="O1082">
            <v>0</v>
          </cell>
          <cell r="P1082" t="str">
            <v>관급자재</v>
          </cell>
        </row>
        <row r="1083">
          <cell r="C1083" t="str">
            <v>노무비</v>
          </cell>
          <cell r="D1083" t="str">
            <v>내선전공</v>
          </cell>
          <cell r="E1083" t="str">
            <v>((0.98-(0.98*0.4))*1.1</v>
          </cell>
          <cell r="F1083" t="str">
            <v>인</v>
          </cell>
          <cell r="G1083">
            <v>0.64680000000000004</v>
          </cell>
          <cell r="I1083">
            <v>0</v>
          </cell>
          <cell r="J1083">
            <v>135106</v>
          </cell>
          <cell r="K1083">
            <v>87386</v>
          </cell>
          <cell r="N1083">
            <v>135106</v>
          </cell>
          <cell r="O1083">
            <v>87386</v>
          </cell>
        </row>
        <row r="1084">
          <cell r="D1084" t="str">
            <v>보통인부</v>
          </cell>
          <cell r="E1084" t="str">
            <v>(0.75-(0.75*0.4))*1.1</v>
          </cell>
          <cell r="F1084" t="str">
            <v>인</v>
          </cell>
          <cell r="G1084">
            <v>0.495</v>
          </cell>
          <cell r="I1084">
            <v>0</v>
          </cell>
          <cell r="J1084">
            <v>81443</v>
          </cell>
          <cell r="K1084">
            <v>40314</v>
          </cell>
          <cell r="N1084">
            <v>81443</v>
          </cell>
          <cell r="O1084">
            <v>40314</v>
          </cell>
        </row>
        <row r="1085">
          <cell r="D1085" t="str">
            <v>공구손료</v>
          </cell>
          <cell r="E1085" t="str">
            <v>노무비의</v>
          </cell>
          <cell r="F1085" t="str">
            <v>%</v>
          </cell>
          <cell r="G1085">
            <v>3</v>
          </cell>
          <cell r="L1085">
            <v>127700</v>
          </cell>
          <cell r="M1085">
            <v>3831</v>
          </cell>
          <cell r="N1085">
            <v>127700</v>
          </cell>
          <cell r="O1085">
            <v>3831</v>
          </cell>
        </row>
        <row r="1086">
          <cell r="C1086" t="str">
            <v>기계경비</v>
          </cell>
          <cell r="D1086" t="str">
            <v>트럭탑재형크레인(5ton)</v>
          </cell>
          <cell r="E1086" t="str">
            <v>(1.96-1.96*0.4)</v>
          </cell>
          <cell r="F1086" t="str">
            <v>hr</v>
          </cell>
          <cell r="G1086">
            <v>1.1759999999999999</v>
          </cell>
          <cell r="H1086">
            <v>9154</v>
          </cell>
          <cell r="I1086">
            <v>10765</v>
          </cell>
          <cell r="J1086">
            <v>20522</v>
          </cell>
          <cell r="K1086">
            <v>24133</v>
          </cell>
          <cell r="L1086">
            <v>10362</v>
          </cell>
          <cell r="M1086">
            <v>12185</v>
          </cell>
          <cell r="N1086">
            <v>40038</v>
          </cell>
          <cell r="O1086">
            <v>47083</v>
          </cell>
          <cell r="P1086" t="str">
            <v>m21호표</v>
          </cell>
        </row>
        <row r="1087">
          <cell r="C1087" t="str">
            <v>도로교통정리</v>
          </cell>
          <cell r="D1087" t="str">
            <v>보통인부</v>
          </cell>
          <cell r="E1087" t="str">
            <v>(0.2-(0.2*0.4))*1.1</v>
          </cell>
          <cell r="F1087" t="str">
            <v>인</v>
          </cell>
          <cell r="G1087">
            <v>0.13200000000000001</v>
          </cell>
          <cell r="J1087">
            <v>81443</v>
          </cell>
          <cell r="K1087">
            <v>10750</v>
          </cell>
          <cell r="N1087">
            <v>81443</v>
          </cell>
          <cell r="O1087">
            <v>10750</v>
          </cell>
        </row>
        <row r="1089">
          <cell r="A1089">
            <v>69</v>
          </cell>
          <cell r="B1089">
            <v>3</v>
          </cell>
          <cell r="C1089" t="str">
            <v>제69호표</v>
          </cell>
          <cell r="D1089" t="str">
            <v>교통신호철주 신설</v>
          </cell>
          <cell r="E1089" t="str">
            <v>Ø250 x 8m 용융도금</v>
          </cell>
          <cell r="F1089" t="str">
            <v>본</v>
          </cell>
          <cell r="G1089">
            <v>1</v>
          </cell>
          <cell r="I1089">
            <v>15071</v>
          </cell>
          <cell r="K1089">
            <v>223317</v>
          </cell>
          <cell r="M1089">
            <v>22422</v>
          </cell>
          <cell r="O1089">
            <v>260810</v>
          </cell>
          <cell r="P1089" t="str">
            <v>전5-46(나)</v>
          </cell>
        </row>
        <row r="1090">
          <cell r="D1090" t="str">
            <v>교통신호철주 신설</v>
          </cell>
          <cell r="E1090" t="str">
            <v>Ø250 x 8m 용융도금</v>
          </cell>
        </row>
        <row r="1092">
          <cell r="B1092" t="str">
            <v>교통신호철주Ø250 x 8m 용융도금</v>
          </cell>
          <cell r="C1092" t="str">
            <v>재료비</v>
          </cell>
          <cell r="D1092" t="str">
            <v>교통신호철주</v>
          </cell>
          <cell r="E1092" t="str">
            <v>Ø250 x 8m 용융도금</v>
          </cell>
          <cell r="F1092" t="str">
            <v>본</v>
          </cell>
          <cell r="G1092">
            <v>1</v>
          </cell>
          <cell r="I1092">
            <v>0</v>
          </cell>
          <cell r="K1092">
            <v>0</v>
          </cell>
          <cell r="M1092">
            <v>0</v>
          </cell>
          <cell r="O1092">
            <v>0</v>
          </cell>
          <cell r="P1092" t="str">
            <v>관급자재</v>
          </cell>
        </row>
        <row r="1094">
          <cell r="C1094" t="str">
            <v>노무비</v>
          </cell>
          <cell r="D1094" t="str">
            <v>내선전공</v>
          </cell>
          <cell r="E1094" t="str">
            <v>((0.98-0.98*0.4)*1.4)*1.1</v>
          </cell>
          <cell r="F1094" t="str">
            <v>인</v>
          </cell>
          <cell r="G1094">
            <v>0.90551999999999999</v>
          </cell>
          <cell r="I1094">
            <v>0</v>
          </cell>
          <cell r="J1094">
            <v>135106</v>
          </cell>
          <cell r="K1094">
            <v>122341</v>
          </cell>
          <cell r="M1094">
            <v>0</v>
          </cell>
          <cell r="N1094">
            <v>135106</v>
          </cell>
          <cell r="O1094">
            <v>122341</v>
          </cell>
        </row>
        <row r="1095">
          <cell r="D1095" t="str">
            <v>보통인부</v>
          </cell>
          <cell r="E1095" t="str">
            <v>((0.75-0.75*0.4)*1.4)*1.1</v>
          </cell>
          <cell r="F1095" t="str">
            <v>인</v>
          </cell>
          <cell r="G1095">
            <v>0.69299999999999995</v>
          </cell>
          <cell r="I1095">
            <v>0</v>
          </cell>
          <cell r="J1095">
            <v>81443</v>
          </cell>
          <cell r="K1095">
            <v>56439</v>
          </cell>
          <cell r="M1095">
            <v>0</v>
          </cell>
          <cell r="N1095">
            <v>81443</v>
          </cell>
          <cell r="O1095">
            <v>56439</v>
          </cell>
        </row>
        <row r="1096">
          <cell r="D1096" t="str">
            <v>공구손료</v>
          </cell>
          <cell r="E1096" t="str">
            <v>노무비의</v>
          </cell>
          <cell r="F1096" t="str">
            <v>%</v>
          </cell>
          <cell r="G1096">
            <v>3</v>
          </cell>
          <cell r="L1096">
            <v>178780</v>
          </cell>
          <cell r="M1096">
            <v>5363</v>
          </cell>
          <cell r="N1096">
            <v>178780</v>
          </cell>
          <cell r="O1096">
            <v>5363</v>
          </cell>
        </row>
        <row r="1097">
          <cell r="C1097" t="str">
            <v>기계경비</v>
          </cell>
          <cell r="D1097" t="str">
            <v>트럭탑재형크레인(5ton)</v>
          </cell>
          <cell r="E1097" t="str">
            <v>((1.96-1.96*0.4)*1.4)</v>
          </cell>
          <cell r="F1097" t="str">
            <v>hr</v>
          </cell>
          <cell r="G1097">
            <v>1.6463999999999999</v>
          </cell>
          <cell r="H1097">
            <v>9154</v>
          </cell>
          <cell r="I1097">
            <v>15071</v>
          </cell>
          <cell r="J1097">
            <v>20522</v>
          </cell>
          <cell r="K1097">
            <v>33787</v>
          </cell>
          <cell r="L1097">
            <v>10362</v>
          </cell>
          <cell r="M1097">
            <v>17059</v>
          </cell>
          <cell r="N1097">
            <v>40038</v>
          </cell>
          <cell r="O1097">
            <v>65917</v>
          </cell>
          <cell r="P1097" t="str">
            <v>m21호표</v>
          </cell>
        </row>
        <row r="1098">
          <cell r="C1098" t="str">
            <v>도로교통정리</v>
          </cell>
          <cell r="D1098" t="str">
            <v>보통인부</v>
          </cell>
          <cell r="E1098" t="str">
            <v>(0.2-(0.2*0.4))*1.1</v>
          </cell>
          <cell r="F1098" t="str">
            <v>인</v>
          </cell>
          <cell r="G1098">
            <v>0.13200000000000001</v>
          </cell>
          <cell r="I1098">
            <v>0</v>
          </cell>
          <cell r="J1098">
            <v>81443</v>
          </cell>
          <cell r="K1098">
            <v>10750</v>
          </cell>
          <cell r="M1098">
            <v>0</v>
          </cell>
          <cell r="N1098">
            <v>81443</v>
          </cell>
          <cell r="O1098">
            <v>10750</v>
          </cell>
        </row>
        <row r="1099">
          <cell r="A1099">
            <v>70</v>
          </cell>
          <cell r="B1099">
            <v>3</v>
          </cell>
          <cell r="C1099" t="str">
            <v>제70호표</v>
          </cell>
          <cell r="D1099" t="str">
            <v>교통신호철주 신설</v>
          </cell>
          <cell r="E1099" t="str">
            <v>Ø300 x 8m 용융도금</v>
          </cell>
          <cell r="F1099" t="str">
            <v>본</v>
          </cell>
          <cell r="G1099">
            <v>1</v>
          </cell>
          <cell r="I1099">
            <v>15071</v>
          </cell>
          <cell r="K1099">
            <v>223317</v>
          </cell>
          <cell r="M1099">
            <v>22422</v>
          </cell>
          <cell r="O1099">
            <v>260810</v>
          </cell>
          <cell r="P1099" t="str">
            <v>전5-46(나)</v>
          </cell>
        </row>
        <row r="1100">
          <cell r="D1100" t="str">
            <v>교통신호철주 신설</v>
          </cell>
          <cell r="E1100" t="str">
            <v>Ø300 x 8m 용융도금</v>
          </cell>
        </row>
        <row r="1102">
          <cell r="B1102" t="str">
            <v>교통신호철주Ø300 x 8m 용융도금</v>
          </cell>
          <cell r="C1102" t="str">
            <v>재료비</v>
          </cell>
          <cell r="D1102" t="str">
            <v>교통신호철주</v>
          </cell>
          <cell r="E1102" t="str">
            <v>Ø300 x 8m 용융도금</v>
          </cell>
          <cell r="F1102" t="str">
            <v>본</v>
          </cell>
          <cell r="G1102">
            <v>1</v>
          </cell>
          <cell r="I1102">
            <v>0</v>
          </cell>
          <cell r="K1102">
            <v>0</v>
          </cell>
          <cell r="M1102">
            <v>0</v>
          </cell>
          <cell r="O1102">
            <v>0</v>
          </cell>
          <cell r="P1102" t="str">
            <v>관급자재</v>
          </cell>
        </row>
        <row r="1104">
          <cell r="C1104" t="str">
            <v>노무비</v>
          </cell>
          <cell r="D1104" t="str">
            <v>내선전공</v>
          </cell>
          <cell r="E1104" t="str">
            <v>((0.98-(0.98*0.4))*1.4)*1.1</v>
          </cell>
          <cell r="F1104" t="str">
            <v>인</v>
          </cell>
          <cell r="G1104">
            <v>0.90551999999999999</v>
          </cell>
          <cell r="I1104">
            <v>0</v>
          </cell>
          <cell r="J1104">
            <v>135106</v>
          </cell>
          <cell r="K1104">
            <v>122341</v>
          </cell>
          <cell r="M1104">
            <v>0</v>
          </cell>
          <cell r="N1104">
            <v>135106</v>
          </cell>
          <cell r="O1104">
            <v>122341</v>
          </cell>
        </row>
        <row r="1105">
          <cell r="D1105" t="str">
            <v>보통인부</v>
          </cell>
          <cell r="E1105" t="str">
            <v>((0.75-(0.75*0.4))*1.4)*1.1</v>
          </cell>
          <cell r="F1105" t="str">
            <v>인</v>
          </cell>
          <cell r="G1105">
            <v>0.69299999999999995</v>
          </cell>
          <cell r="I1105">
            <v>0</v>
          </cell>
          <cell r="J1105">
            <v>81443</v>
          </cell>
          <cell r="K1105">
            <v>56439</v>
          </cell>
          <cell r="M1105">
            <v>0</v>
          </cell>
          <cell r="N1105">
            <v>81443</v>
          </cell>
          <cell r="O1105">
            <v>56439</v>
          </cell>
        </row>
        <row r="1106">
          <cell r="D1106" t="str">
            <v>공구손료</v>
          </cell>
          <cell r="E1106" t="str">
            <v>노무비의</v>
          </cell>
          <cell r="F1106" t="str">
            <v>%</v>
          </cell>
          <cell r="G1106">
            <v>3</v>
          </cell>
          <cell r="L1106">
            <v>178780</v>
          </cell>
          <cell r="M1106">
            <v>5363</v>
          </cell>
          <cell r="N1106">
            <v>178780</v>
          </cell>
          <cell r="O1106">
            <v>5363</v>
          </cell>
        </row>
        <row r="1107">
          <cell r="C1107" t="str">
            <v>기계경비</v>
          </cell>
          <cell r="D1107" t="str">
            <v>트럭탑재형크레인(5ton)</v>
          </cell>
          <cell r="E1107" t="str">
            <v>((1.96-1.96*0.4)*1.4)</v>
          </cell>
          <cell r="F1107" t="str">
            <v>hr</v>
          </cell>
          <cell r="G1107">
            <v>1.6463999999999999</v>
          </cell>
          <cell r="H1107">
            <v>9154</v>
          </cell>
          <cell r="I1107">
            <v>15071</v>
          </cell>
          <cell r="J1107">
            <v>20522</v>
          </cell>
          <cell r="K1107">
            <v>33787</v>
          </cell>
          <cell r="L1107">
            <v>10362</v>
          </cell>
          <cell r="M1107">
            <v>17059</v>
          </cell>
          <cell r="N1107">
            <v>40038</v>
          </cell>
          <cell r="O1107">
            <v>65917</v>
          </cell>
          <cell r="P1107" t="str">
            <v>m21호표</v>
          </cell>
        </row>
        <row r="1108">
          <cell r="C1108" t="str">
            <v>도로교통정리</v>
          </cell>
          <cell r="D1108" t="str">
            <v>보통인부</v>
          </cell>
          <cell r="E1108" t="str">
            <v>(0.2-(0.2*0.4))*1.1</v>
          </cell>
          <cell r="F1108" t="str">
            <v>인</v>
          </cell>
          <cell r="G1108">
            <v>0.13200000000000001</v>
          </cell>
          <cell r="I1108">
            <v>0</v>
          </cell>
          <cell r="J1108">
            <v>81443</v>
          </cell>
          <cell r="K1108">
            <v>10750</v>
          </cell>
          <cell r="M1108">
            <v>0</v>
          </cell>
          <cell r="N1108">
            <v>81443</v>
          </cell>
          <cell r="O1108">
            <v>10750</v>
          </cell>
        </row>
        <row r="1110">
          <cell r="A1110">
            <v>71</v>
          </cell>
          <cell r="B1110">
            <v>3</v>
          </cell>
          <cell r="C1110" t="str">
            <v>제71호표</v>
          </cell>
          <cell r="D1110" t="str">
            <v>보행등철주 신설</v>
          </cell>
          <cell r="E1110" t="str">
            <v>Ø125 x 4m 용융도금</v>
          </cell>
          <cell r="F1110" t="str">
            <v>본</v>
          </cell>
          <cell r="G1110">
            <v>1</v>
          </cell>
          <cell r="I1110">
            <v>0</v>
          </cell>
          <cell r="K1110">
            <v>260758</v>
          </cell>
          <cell r="M1110">
            <v>7500</v>
          </cell>
          <cell r="O1110">
            <v>268258</v>
          </cell>
          <cell r="P1110" t="str">
            <v>전5-46(가)</v>
          </cell>
        </row>
        <row r="1112">
          <cell r="D1112" t="str">
            <v>보행등철주 신설</v>
          </cell>
          <cell r="E1112" t="str">
            <v>Ø125 x 4m 용융도금</v>
          </cell>
        </row>
        <row r="1114">
          <cell r="B1114" t="str">
            <v>보행등철주Ø125 x 4m 용융도금</v>
          </cell>
          <cell r="C1114" t="str">
            <v>재료비</v>
          </cell>
          <cell r="D1114" t="str">
            <v>보행등철주</v>
          </cell>
          <cell r="E1114" t="str">
            <v>Ø125 x 4m 용융도금</v>
          </cell>
          <cell r="F1114" t="str">
            <v>본</v>
          </cell>
          <cell r="G1114">
            <v>1</v>
          </cell>
          <cell r="I1114">
            <v>0</v>
          </cell>
          <cell r="K1114">
            <v>0</v>
          </cell>
          <cell r="M1114">
            <v>0</v>
          </cell>
          <cell r="O1114">
            <v>0</v>
          </cell>
          <cell r="P1114" t="str">
            <v>관급자재</v>
          </cell>
        </row>
        <row r="1116">
          <cell r="C1116" t="str">
            <v>노무비</v>
          </cell>
          <cell r="D1116" t="str">
            <v>내선전공</v>
          </cell>
          <cell r="E1116" t="str">
            <v>1.2*1.1</v>
          </cell>
          <cell r="F1116" t="str">
            <v>인</v>
          </cell>
          <cell r="G1116">
            <v>1.32</v>
          </cell>
          <cell r="I1116">
            <v>0</v>
          </cell>
          <cell r="J1116">
            <v>135106</v>
          </cell>
          <cell r="K1116">
            <v>178339</v>
          </cell>
          <cell r="M1116">
            <v>0</v>
          </cell>
          <cell r="N1116">
            <v>135106</v>
          </cell>
          <cell r="O1116">
            <v>178339</v>
          </cell>
        </row>
        <row r="1117">
          <cell r="D1117" t="str">
            <v>보통인부</v>
          </cell>
          <cell r="E1117" t="str">
            <v>0.8*1.1</v>
          </cell>
          <cell r="F1117" t="str">
            <v>인</v>
          </cell>
          <cell r="G1117">
            <v>0.88000000000000012</v>
          </cell>
          <cell r="I1117">
            <v>0</v>
          </cell>
          <cell r="J1117">
            <v>81443</v>
          </cell>
          <cell r="K1117">
            <v>71669</v>
          </cell>
          <cell r="M1117">
            <v>0</v>
          </cell>
          <cell r="N1117">
            <v>81443</v>
          </cell>
          <cell r="O1117">
            <v>71669</v>
          </cell>
        </row>
        <row r="1118">
          <cell r="D1118" t="str">
            <v>공구손료</v>
          </cell>
          <cell r="E1118" t="str">
            <v>노무비의</v>
          </cell>
          <cell r="F1118" t="str">
            <v>%</v>
          </cell>
          <cell r="G1118">
            <v>3</v>
          </cell>
          <cell r="L1118">
            <v>250008</v>
          </cell>
          <cell r="M1118">
            <v>7500</v>
          </cell>
          <cell r="N1118">
            <v>250008</v>
          </cell>
          <cell r="O1118">
            <v>7500</v>
          </cell>
        </row>
        <row r="1119">
          <cell r="C1119" t="str">
            <v>도로교통정리</v>
          </cell>
          <cell r="D1119" t="str">
            <v>보통인부</v>
          </cell>
          <cell r="E1119" t="str">
            <v>(0.2-(0.2*0.4))*1.1</v>
          </cell>
          <cell r="F1119" t="str">
            <v>인</v>
          </cell>
          <cell r="G1119">
            <v>0.13200000000000001</v>
          </cell>
          <cell r="I1119">
            <v>0</v>
          </cell>
          <cell r="J1119">
            <v>81443</v>
          </cell>
          <cell r="K1119">
            <v>10750</v>
          </cell>
          <cell r="M1119">
            <v>0</v>
          </cell>
          <cell r="N1119">
            <v>81443</v>
          </cell>
          <cell r="O1119">
            <v>10750</v>
          </cell>
        </row>
        <row r="1124">
          <cell r="A1124">
            <v>72</v>
          </cell>
          <cell r="B1124">
            <v>3</v>
          </cell>
          <cell r="C1124" t="str">
            <v>제72호표</v>
          </cell>
          <cell r="D1124" t="str">
            <v>보행등철주 신설</v>
          </cell>
          <cell r="E1124" t="str">
            <v>Ø125 x 6m 용융도금</v>
          </cell>
          <cell r="F1124" t="str">
            <v>본</v>
          </cell>
          <cell r="G1124">
            <v>1</v>
          </cell>
          <cell r="I1124">
            <v>0</v>
          </cell>
          <cell r="K1124">
            <v>275620</v>
          </cell>
          <cell r="M1124">
            <v>7946</v>
          </cell>
          <cell r="O1124">
            <v>283566</v>
          </cell>
          <cell r="P1124" t="str">
            <v>전5-46(가)</v>
          </cell>
        </row>
        <row r="1125">
          <cell r="D1125" t="str">
            <v>보행등철주 신설</v>
          </cell>
          <cell r="E1125" t="str">
            <v>Ø125 x 6m 용융도금</v>
          </cell>
        </row>
        <row r="1127">
          <cell r="B1127" t="str">
            <v>보행등철주Ø125 x 6m 용융도금</v>
          </cell>
          <cell r="C1127" t="str">
            <v>재료비</v>
          </cell>
          <cell r="D1127" t="str">
            <v>보행등철주</v>
          </cell>
          <cell r="E1127" t="str">
            <v>Ø125 x 6m 용융도금</v>
          </cell>
          <cell r="F1127" t="str">
            <v>본</v>
          </cell>
          <cell r="G1127">
            <v>1</v>
          </cell>
          <cell r="I1127">
            <v>0</v>
          </cell>
          <cell r="K1127">
            <v>0</v>
          </cell>
          <cell r="M1127">
            <v>0</v>
          </cell>
          <cell r="O1127">
            <v>0</v>
          </cell>
          <cell r="P1127" t="str">
            <v>관급자재</v>
          </cell>
        </row>
        <row r="1129">
          <cell r="C1129" t="str">
            <v>노무비</v>
          </cell>
          <cell r="D1129" t="str">
            <v>내선전공</v>
          </cell>
          <cell r="E1129" t="str">
            <v>1.3*1.1</v>
          </cell>
          <cell r="F1129" t="str">
            <v>인</v>
          </cell>
          <cell r="G1129">
            <v>1.4300000000000002</v>
          </cell>
          <cell r="I1129">
            <v>0</v>
          </cell>
          <cell r="J1129">
            <v>135106</v>
          </cell>
          <cell r="K1129">
            <v>193201</v>
          </cell>
          <cell r="M1129">
            <v>0</v>
          </cell>
          <cell r="N1129">
            <v>135106</v>
          </cell>
          <cell r="O1129">
            <v>193201</v>
          </cell>
        </row>
        <row r="1130">
          <cell r="D1130" t="str">
            <v>보통인부</v>
          </cell>
          <cell r="E1130" t="str">
            <v>0.8*1.1</v>
          </cell>
          <cell r="F1130" t="str">
            <v>인</v>
          </cell>
          <cell r="G1130">
            <v>0.88000000000000012</v>
          </cell>
          <cell r="I1130">
            <v>0</v>
          </cell>
          <cell r="J1130">
            <v>81443</v>
          </cell>
          <cell r="K1130">
            <v>71669</v>
          </cell>
          <cell r="M1130">
            <v>0</v>
          </cell>
          <cell r="N1130">
            <v>81443</v>
          </cell>
          <cell r="O1130">
            <v>71669</v>
          </cell>
        </row>
        <row r="1131">
          <cell r="D1131" t="str">
            <v>공구손료</v>
          </cell>
          <cell r="E1131" t="str">
            <v>노무비의</v>
          </cell>
          <cell r="F1131" t="str">
            <v>%</v>
          </cell>
          <cell r="G1131">
            <v>3</v>
          </cell>
          <cell r="L1131">
            <v>264870</v>
          </cell>
          <cell r="M1131">
            <v>7946</v>
          </cell>
          <cell r="N1131">
            <v>264870</v>
          </cell>
          <cell r="O1131">
            <v>7946</v>
          </cell>
        </row>
        <row r="1132">
          <cell r="C1132" t="str">
            <v>도로교통정리</v>
          </cell>
          <cell r="D1132" t="str">
            <v>보통인부</v>
          </cell>
          <cell r="E1132" t="str">
            <v>(0.2-(0.2*0.4))*1.1</v>
          </cell>
          <cell r="F1132" t="str">
            <v>인</v>
          </cell>
          <cell r="G1132">
            <v>0.13200000000000001</v>
          </cell>
          <cell r="I1132">
            <v>0</v>
          </cell>
          <cell r="J1132">
            <v>81443</v>
          </cell>
          <cell r="K1132">
            <v>10750</v>
          </cell>
          <cell r="M1132">
            <v>0</v>
          </cell>
          <cell r="N1132">
            <v>81443</v>
          </cell>
          <cell r="O1132">
            <v>10750</v>
          </cell>
        </row>
        <row r="1134">
          <cell r="A1134">
            <v>73</v>
          </cell>
          <cell r="B1134">
            <v>3</v>
          </cell>
          <cell r="C1134" t="str">
            <v>제73호표</v>
          </cell>
          <cell r="D1134" t="str">
            <v>차량등 부착대 및 와이어로프신설</v>
          </cell>
          <cell r="E1134" t="str">
            <v>13m</v>
          </cell>
          <cell r="F1134" t="str">
            <v>본</v>
          </cell>
          <cell r="G1134">
            <v>1</v>
          </cell>
          <cell r="I1134">
            <v>226001</v>
          </cell>
          <cell r="K1134">
            <v>148876</v>
          </cell>
          <cell r="M1134">
            <v>14948</v>
          </cell>
          <cell r="O1134">
            <v>389825</v>
          </cell>
          <cell r="P1134" t="str">
            <v>전5-46(나)</v>
          </cell>
        </row>
        <row r="1135">
          <cell r="D1135" t="str">
            <v>차량등 부착대 및 와이어로프신설</v>
          </cell>
          <cell r="E1135" t="str">
            <v>13m</v>
          </cell>
        </row>
        <row r="1137">
          <cell r="B1137" t="str">
            <v>차량등 부착대 신설13m  (조가선 제외)</v>
          </cell>
          <cell r="D1137" t="str">
            <v>차량등 부착대 신설</v>
          </cell>
          <cell r="E1137" t="str">
            <v>13m  (조가선 제외)</v>
          </cell>
          <cell r="F1137" t="str">
            <v>본</v>
          </cell>
          <cell r="G1137">
            <v>1</v>
          </cell>
          <cell r="H1137">
            <v>13371</v>
          </cell>
          <cell r="I1137">
            <v>13371</v>
          </cell>
          <cell r="J1137">
            <v>148876</v>
          </cell>
          <cell r="K1137">
            <v>148876</v>
          </cell>
          <cell r="L1137">
            <v>14948</v>
          </cell>
          <cell r="M1137">
            <v>14948</v>
          </cell>
          <cell r="N1137">
            <v>177195</v>
          </cell>
          <cell r="O1137">
            <v>177195</v>
          </cell>
          <cell r="P1137" t="str">
            <v>제74호표</v>
          </cell>
        </row>
        <row r="1138">
          <cell r="B1138" t="str">
            <v>와이어로프 신설부착대13m</v>
          </cell>
          <cell r="D1138" t="str">
            <v>와이어로프 신설</v>
          </cell>
          <cell r="E1138" t="str">
            <v>부착대13m</v>
          </cell>
          <cell r="F1138" t="str">
            <v>식</v>
          </cell>
          <cell r="G1138">
            <v>1</v>
          </cell>
          <cell r="H1138">
            <v>212630</v>
          </cell>
          <cell r="I1138">
            <v>212630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212630</v>
          </cell>
          <cell r="O1138">
            <v>212630</v>
          </cell>
          <cell r="P1138" t="str">
            <v>제85호표</v>
          </cell>
        </row>
        <row r="1140">
          <cell r="A1140">
            <v>74</v>
          </cell>
          <cell r="B1140">
            <v>3</v>
          </cell>
          <cell r="C1140" t="str">
            <v>제74호표</v>
          </cell>
          <cell r="D1140" t="str">
            <v>차량등 부착대 신설</v>
          </cell>
          <cell r="E1140" t="str">
            <v>13m  (조가선 제외)</v>
          </cell>
          <cell r="F1140" t="str">
            <v>본</v>
          </cell>
          <cell r="G1140">
            <v>1</v>
          </cell>
          <cell r="I1140">
            <v>13371</v>
          </cell>
          <cell r="K1140">
            <v>148876</v>
          </cell>
          <cell r="M1140">
            <v>14948</v>
          </cell>
          <cell r="O1140">
            <v>177195</v>
          </cell>
          <cell r="P1140" t="str">
            <v>전5-46(나)</v>
          </cell>
        </row>
        <row r="1141">
          <cell r="D1141" t="str">
            <v>차량등 부착대 신설</v>
          </cell>
          <cell r="E1141" t="str">
            <v>13m  (조가선 제외)</v>
          </cell>
        </row>
        <row r="1143">
          <cell r="B1143" t="str">
            <v>차량등 부착대13m</v>
          </cell>
          <cell r="C1143" t="str">
            <v>재료비</v>
          </cell>
          <cell r="D1143" t="str">
            <v>차량등 부착대</v>
          </cell>
          <cell r="E1143" t="str">
            <v>13m</v>
          </cell>
          <cell r="F1143" t="str">
            <v>본</v>
          </cell>
          <cell r="G1143">
            <v>1</v>
          </cell>
          <cell r="I1143">
            <v>0</v>
          </cell>
          <cell r="K1143">
            <v>0</v>
          </cell>
          <cell r="M1143">
            <v>0</v>
          </cell>
          <cell r="O1143">
            <v>0</v>
          </cell>
          <cell r="P1143" t="str">
            <v>관급자재</v>
          </cell>
        </row>
        <row r="1144">
          <cell r="B1144" t="str">
            <v>육각볼트(용융도금)M16 x 60mm(너트포함)</v>
          </cell>
          <cell r="D1144" t="str">
            <v>육각볼트(용융도금)</v>
          </cell>
          <cell r="E1144" t="str">
            <v>M16 x 60mm(너트포함)</v>
          </cell>
          <cell r="F1144" t="str">
            <v>조</v>
          </cell>
          <cell r="G1144">
            <v>6</v>
          </cell>
          <cell r="H1144">
            <v>554</v>
          </cell>
          <cell r="I1144">
            <v>3324</v>
          </cell>
          <cell r="K1144">
            <v>0</v>
          </cell>
          <cell r="M1144">
            <v>0</v>
          </cell>
          <cell r="N1144">
            <v>554</v>
          </cell>
          <cell r="O1144">
            <v>3324</v>
          </cell>
        </row>
        <row r="1145">
          <cell r="C1145" t="str">
            <v>노무비</v>
          </cell>
          <cell r="D1145" t="str">
            <v>내선전공</v>
          </cell>
          <cell r="E1145" t="str">
            <v>(0.98*0.4)*1.4)*1.1</v>
          </cell>
          <cell r="F1145" t="str">
            <v>인</v>
          </cell>
          <cell r="G1145">
            <v>0.60367999999999999</v>
          </cell>
          <cell r="I1145">
            <v>0</v>
          </cell>
          <cell r="J1145">
            <v>135106</v>
          </cell>
          <cell r="K1145">
            <v>81560</v>
          </cell>
          <cell r="M1145">
            <v>0</v>
          </cell>
          <cell r="N1145">
            <v>135106</v>
          </cell>
          <cell r="O1145">
            <v>81560</v>
          </cell>
        </row>
        <row r="1146">
          <cell r="D1146" t="str">
            <v>보통인부</v>
          </cell>
          <cell r="E1146" t="str">
            <v>((0.75*0.4)*1.4)*1.1</v>
          </cell>
          <cell r="F1146" t="str">
            <v>인</v>
          </cell>
          <cell r="G1146">
            <v>0.46200000000000008</v>
          </cell>
          <cell r="I1146">
            <v>0</v>
          </cell>
          <cell r="J1146">
            <v>81443</v>
          </cell>
          <cell r="K1146">
            <v>37626</v>
          </cell>
          <cell r="M1146">
            <v>0</v>
          </cell>
          <cell r="N1146">
            <v>81443</v>
          </cell>
          <cell r="O1146">
            <v>37626</v>
          </cell>
        </row>
        <row r="1147">
          <cell r="D1147" t="str">
            <v>공구손료</v>
          </cell>
          <cell r="E1147" t="str">
            <v>노무비의</v>
          </cell>
          <cell r="F1147" t="str">
            <v>%</v>
          </cell>
          <cell r="G1147">
            <v>3</v>
          </cell>
          <cell r="L1147">
            <v>119186</v>
          </cell>
          <cell r="M1147">
            <v>3575</v>
          </cell>
          <cell r="N1147">
            <v>119186</v>
          </cell>
          <cell r="O1147">
            <v>3575</v>
          </cell>
        </row>
        <row r="1148">
          <cell r="C1148" t="str">
            <v>기계경비</v>
          </cell>
          <cell r="D1148" t="str">
            <v>트럭탑재형크레인(5ton)</v>
          </cell>
          <cell r="E1148" t="str">
            <v>(1.96*0.4*1.4)</v>
          </cell>
          <cell r="F1148" t="str">
            <v>hr</v>
          </cell>
          <cell r="G1148">
            <v>1.0975999999999999</v>
          </cell>
          <cell r="H1148">
            <v>9154</v>
          </cell>
          <cell r="I1148">
            <v>10047</v>
          </cell>
          <cell r="J1148">
            <v>20522</v>
          </cell>
          <cell r="K1148">
            <v>22524</v>
          </cell>
          <cell r="L1148">
            <v>10362</v>
          </cell>
          <cell r="M1148">
            <v>11373</v>
          </cell>
          <cell r="N1148">
            <v>40038</v>
          </cell>
          <cell r="O1148">
            <v>43944</v>
          </cell>
          <cell r="P1148" t="str">
            <v>m21호표</v>
          </cell>
        </row>
        <row r="1149">
          <cell r="C1149" t="str">
            <v>도로교통정리</v>
          </cell>
          <cell r="D1149" t="str">
            <v>보통인부</v>
          </cell>
          <cell r="E1149" t="str">
            <v>(0.2*0.4)*1.1</v>
          </cell>
          <cell r="F1149" t="str">
            <v>인</v>
          </cell>
          <cell r="G1149">
            <v>8.8000000000000023E-2</v>
          </cell>
          <cell r="I1149">
            <v>0</v>
          </cell>
          <cell r="J1149">
            <v>81443</v>
          </cell>
          <cell r="K1149">
            <v>7166</v>
          </cell>
          <cell r="M1149">
            <v>0</v>
          </cell>
          <cell r="N1149">
            <v>81443</v>
          </cell>
          <cell r="O1149">
            <v>7166</v>
          </cell>
        </row>
        <row r="1151">
          <cell r="A1151">
            <v>75</v>
          </cell>
          <cell r="B1151">
            <v>3</v>
          </cell>
          <cell r="C1151" t="str">
            <v>제75호표</v>
          </cell>
          <cell r="D1151" t="str">
            <v>차량등 부착대 및 와이어로프신설</v>
          </cell>
          <cell r="E1151" t="str">
            <v>11m</v>
          </cell>
          <cell r="F1151" t="str">
            <v>본</v>
          </cell>
          <cell r="G1151">
            <v>1</v>
          </cell>
          <cell r="I1151">
            <v>168171</v>
          </cell>
          <cell r="K1151">
            <v>148876</v>
          </cell>
          <cell r="M1151">
            <v>14948</v>
          </cell>
          <cell r="O1151">
            <v>331995</v>
          </cell>
          <cell r="P1151" t="str">
            <v>전5-46(나)</v>
          </cell>
        </row>
        <row r="1153">
          <cell r="D1153" t="str">
            <v>차량등 부착대 및 와이어로프신설</v>
          </cell>
          <cell r="E1153" t="str">
            <v>11m</v>
          </cell>
        </row>
        <row r="1155">
          <cell r="B1155" t="str">
            <v>차량등 부착대 신설11m  (조가선 제외)</v>
          </cell>
          <cell r="D1155" t="str">
            <v>차량등 부착대 신설</v>
          </cell>
          <cell r="E1155" t="str">
            <v>11m  (조가선 제외)</v>
          </cell>
          <cell r="F1155" t="str">
            <v>본</v>
          </cell>
          <cell r="G1155">
            <v>1</v>
          </cell>
          <cell r="H1155">
            <v>13371</v>
          </cell>
          <cell r="I1155">
            <v>13371</v>
          </cell>
          <cell r="J1155">
            <v>148876</v>
          </cell>
          <cell r="K1155">
            <v>148876</v>
          </cell>
          <cell r="L1155">
            <v>14948</v>
          </cell>
          <cell r="M1155">
            <v>14948</v>
          </cell>
          <cell r="N1155">
            <v>177195</v>
          </cell>
          <cell r="O1155">
            <v>177195</v>
          </cell>
          <cell r="P1155" t="str">
            <v>제76호표</v>
          </cell>
        </row>
        <row r="1156">
          <cell r="B1156" t="str">
            <v>와이어로프 신설부착대11m</v>
          </cell>
          <cell r="D1156" t="str">
            <v>와이어로프 신설</v>
          </cell>
          <cell r="E1156" t="str">
            <v>부착대11m</v>
          </cell>
          <cell r="F1156" t="str">
            <v>식</v>
          </cell>
          <cell r="G1156">
            <v>1</v>
          </cell>
          <cell r="H1156">
            <v>154800</v>
          </cell>
          <cell r="I1156">
            <v>154800</v>
          </cell>
          <cell r="J1156">
            <v>0</v>
          </cell>
          <cell r="K1156">
            <v>0</v>
          </cell>
          <cell r="L1156">
            <v>0</v>
          </cell>
          <cell r="M1156">
            <v>0</v>
          </cell>
          <cell r="N1156">
            <v>154800</v>
          </cell>
          <cell r="O1156">
            <v>154800</v>
          </cell>
          <cell r="P1156" t="str">
            <v>제86호표</v>
          </cell>
        </row>
        <row r="1158">
          <cell r="A1158">
            <v>76</v>
          </cell>
          <cell r="B1158">
            <v>3</v>
          </cell>
          <cell r="C1158" t="str">
            <v>제76호표</v>
          </cell>
          <cell r="D1158" t="str">
            <v>차량등 부착대 신설</v>
          </cell>
          <cell r="E1158" t="str">
            <v>11m  (조가선 제외)</v>
          </cell>
          <cell r="F1158" t="str">
            <v>본</v>
          </cell>
          <cell r="G1158">
            <v>1</v>
          </cell>
          <cell r="I1158">
            <v>13371</v>
          </cell>
          <cell r="K1158">
            <v>148876</v>
          </cell>
          <cell r="M1158">
            <v>14948</v>
          </cell>
          <cell r="O1158">
            <v>177195</v>
          </cell>
          <cell r="P1158" t="str">
            <v>전5-46(나)</v>
          </cell>
        </row>
        <row r="1159">
          <cell r="D1159" t="str">
            <v>차량등 부착대 신설</v>
          </cell>
          <cell r="E1159" t="str">
            <v>11m  (조가선 제외)</v>
          </cell>
        </row>
        <row r="1161">
          <cell r="B1161" t="str">
            <v>차량등 부착대11m</v>
          </cell>
          <cell r="C1161" t="str">
            <v>재료비</v>
          </cell>
          <cell r="D1161" t="str">
            <v>차량등 부착대</v>
          </cell>
          <cell r="E1161" t="str">
            <v>11m</v>
          </cell>
          <cell r="F1161" t="str">
            <v>본</v>
          </cell>
          <cell r="G1161">
            <v>1</v>
          </cell>
          <cell r="I1161">
            <v>0</v>
          </cell>
          <cell r="K1161">
            <v>0</v>
          </cell>
          <cell r="M1161">
            <v>0</v>
          </cell>
          <cell r="O1161">
            <v>0</v>
          </cell>
          <cell r="P1161" t="str">
            <v>관급자재</v>
          </cell>
        </row>
        <row r="1162">
          <cell r="B1162" t="str">
            <v>육각볼트(용융도금)M16 x 60mm(너트포함)</v>
          </cell>
          <cell r="D1162" t="str">
            <v>육각볼트(용융도금)</v>
          </cell>
          <cell r="E1162" t="str">
            <v>M16 x 60mm(너트포함)</v>
          </cell>
          <cell r="F1162" t="str">
            <v>조</v>
          </cell>
          <cell r="G1162">
            <v>6</v>
          </cell>
          <cell r="H1162">
            <v>554</v>
          </cell>
          <cell r="I1162">
            <v>3324</v>
          </cell>
          <cell r="K1162">
            <v>0</v>
          </cell>
          <cell r="M1162">
            <v>0</v>
          </cell>
          <cell r="N1162">
            <v>554</v>
          </cell>
          <cell r="O1162">
            <v>3324</v>
          </cell>
        </row>
        <row r="1164">
          <cell r="C1164" t="str">
            <v>노무비</v>
          </cell>
          <cell r="D1164" t="str">
            <v>내선전공</v>
          </cell>
          <cell r="E1164" t="str">
            <v>((0.98*0.4)*1.4)*1.1</v>
          </cell>
          <cell r="F1164" t="str">
            <v>인</v>
          </cell>
          <cell r="G1164">
            <v>0.60367999999999999</v>
          </cell>
          <cell r="I1164">
            <v>0</v>
          </cell>
          <cell r="J1164">
            <v>135106</v>
          </cell>
          <cell r="K1164">
            <v>81560</v>
          </cell>
          <cell r="M1164">
            <v>0</v>
          </cell>
          <cell r="N1164">
            <v>135106</v>
          </cell>
          <cell r="O1164">
            <v>81560</v>
          </cell>
        </row>
        <row r="1165">
          <cell r="D1165" t="str">
            <v>보통인부</v>
          </cell>
          <cell r="E1165" t="str">
            <v>((0.75*0.4)*1.4)*1.1</v>
          </cell>
          <cell r="F1165" t="str">
            <v>인</v>
          </cell>
          <cell r="G1165">
            <v>0.46200000000000008</v>
          </cell>
          <cell r="I1165">
            <v>0</v>
          </cell>
          <cell r="J1165">
            <v>81443</v>
          </cell>
          <cell r="K1165">
            <v>37626</v>
          </cell>
          <cell r="M1165">
            <v>0</v>
          </cell>
          <cell r="N1165">
            <v>81443</v>
          </cell>
          <cell r="O1165">
            <v>37626</v>
          </cell>
        </row>
        <row r="1166">
          <cell r="D1166" t="str">
            <v>공구손료</v>
          </cell>
          <cell r="E1166" t="str">
            <v>노무비의</v>
          </cell>
          <cell r="F1166" t="str">
            <v>%</v>
          </cell>
          <cell r="G1166">
            <v>3</v>
          </cell>
          <cell r="L1166">
            <v>119186</v>
          </cell>
          <cell r="M1166">
            <v>3575</v>
          </cell>
          <cell r="N1166">
            <v>119186</v>
          </cell>
          <cell r="O1166">
            <v>3575</v>
          </cell>
        </row>
        <row r="1167">
          <cell r="C1167" t="str">
            <v>기계경비</v>
          </cell>
          <cell r="D1167" t="str">
            <v>트럭탑재형크레인(5ton)</v>
          </cell>
          <cell r="E1167" t="str">
            <v>(1.96*0.4*1.4)</v>
          </cell>
          <cell r="F1167" t="str">
            <v>hr</v>
          </cell>
          <cell r="G1167">
            <v>1.0975999999999999</v>
          </cell>
          <cell r="H1167">
            <v>9154</v>
          </cell>
          <cell r="I1167">
            <v>10047</v>
          </cell>
          <cell r="J1167">
            <v>20522</v>
          </cell>
          <cell r="K1167">
            <v>22524</v>
          </cell>
          <cell r="L1167">
            <v>10362</v>
          </cell>
          <cell r="M1167">
            <v>11373</v>
          </cell>
          <cell r="N1167">
            <v>40038</v>
          </cell>
          <cell r="O1167">
            <v>43944</v>
          </cell>
          <cell r="P1167" t="str">
            <v>m21호표</v>
          </cell>
        </row>
        <row r="1168">
          <cell r="C1168" t="str">
            <v>도로교통정리</v>
          </cell>
          <cell r="D1168" t="str">
            <v>보통인부</v>
          </cell>
          <cell r="E1168" t="str">
            <v>0.2*0.4*1.1</v>
          </cell>
          <cell r="F1168" t="str">
            <v>인</v>
          </cell>
          <cell r="G1168">
            <v>8.8000000000000023E-2</v>
          </cell>
          <cell r="I1168">
            <v>0</v>
          </cell>
          <cell r="J1168">
            <v>81443</v>
          </cell>
          <cell r="K1168">
            <v>7166</v>
          </cell>
          <cell r="M1168">
            <v>0</v>
          </cell>
          <cell r="N1168">
            <v>81443</v>
          </cell>
          <cell r="O1168">
            <v>7166</v>
          </cell>
        </row>
        <row r="1171">
          <cell r="A1171">
            <v>77</v>
          </cell>
          <cell r="B1171">
            <v>3</v>
          </cell>
          <cell r="C1171" t="str">
            <v>제77호표</v>
          </cell>
          <cell r="D1171" t="str">
            <v>차량등 부착대 및 와이어로프신설</v>
          </cell>
          <cell r="E1171" t="str">
            <v>9m</v>
          </cell>
          <cell r="F1171" t="str">
            <v>본</v>
          </cell>
          <cell r="G1171">
            <v>1</v>
          </cell>
          <cell r="I1171">
            <v>155186</v>
          </cell>
          <cell r="K1171">
            <v>128633</v>
          </cell>
          <cell r="M1171">
            <v>12812</v>
          </cell>
          <cell r="O1171">
            <v>296631</v>
          </cell>
          <cell r="P1171" t="str">
            <v>전5-46(나)</v>
          </cell>
        </row>
        <row r="1172">
          <cell r="D1172" t="str">
            <v>차량등 부착대 및 와이어로프신설</v>
          </cell>
          <cell r="E1172" t="str">
            <v>9m</v>
          </cell>
        </row>
        <row r="1174">
          <cell r="B1174" t="str">
            <v>차량등 부착대 신설9m  (조가선 제외)</v>
          </cell>
          <cell r="D1174" t="str">
            <v>차량등 부착대 신설</v>
          </cell>
          <cell r="E1174" t="str">
            <v>9m  (조가선 제외)</v>
          </cell>
          <cell r="F1174" t="str">
            <v>본</v>
          </cell>
          <cell r="G1174">
            <v>1</v>
          </cell>
          <cell r="H1174">
            <v>11936</v>
          </cell>
          <cell r="I1174">
            <v>11936</v>
          </cell>
          <cell r="J1174">
            <v>128633</v>
          </cell>
          <cell r="K1174">
            <v>128633</v>
          </cell>
          <cell r="L1174">
            <v>12812</v>
          </cell>
          <cell r="M1174">
            <v>12812</v>
          </cell>
          <cell r="N1174">
            <v>153381</v>
          </cell>
          <cell r="O1174">
            <v>153381</v>
          </cell>
          <cell r="P1174" t="str">
            <v>제78호표</v>
          </cell>
        </row>
        <row r="1175">
          <cell r="B1175" t="str">
            <v>와이어로프 신설부착대9m</v>
          </cell>
          <cell r="D1175" t="str">
            <v>와이어로프 신설</v>
          </cell>
          <cell r="E1175" t="str">
            <v>부착대9m</v>
          </cell>
          <cell r="F1175" t="str">
            <v>식</v>
          </cell>
          <cell r="G1175">
            <v>1</v>
          </cell>
          <cell r="H1175">
            <v>143250</v>
          </cell>
          <cell r="I1175">
            <v>143250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143250</v>
          </cell>
          <cell r="O1175">
            <v>143250</v>
          </cell>
          <cell r="P1175" t="str">
            <v>제87호표</v>
          </cell>
        </row>
        <row r="1177">
          <cell r="A1177">
            <v>78</v>
          </cell>
          <cell r="B1177">
            <v>3</v>
          </cell>
          <cell r="C1177" t="str">
            <v>제78호표</v>
          </cell>
          <cell r="D1177" t="str">
            <v>차량등 부착대 신설</v>
          </cell>
          <cell r="E1177" t="str">
            <v>9m  (조가선 제외)</v>
          </cell>
          <cell r="F1177" t="str">
            <v>본</v>
          </cell>
          <cell r="G1177">
            <v>1</v>
          </cell>
          <cell r="I1177">
            <v>11936</v>
          </cell>
          <cell r="K1177">
            <v>128633</v>
          </cell>
          <cell r="M1177">
            <v>12812</v>
          </cell>
          <cell r="O1177">
            <v>153381</v>
          </cell>
          <cell r="P1177" t="str">
            <v>전5-46(나)</v>
          </cell>
        </row>
        <row r="1178">
          <cell r="D1178" t="str">
            <v>차량등 부착대 신설</v>
          </cell>
          <cell r="E1178" t="str">
            <v>9m  (조가선 제외)</v>
          </cell>
        </row>
        <row r="1180">
          <cell r="B1180" t="str">
            <v>차량등 부착대9m</v>
          </cell>
          <cell r="C1180" t="str">
            <v>재료비</v>
          </cell>
          <cell r="D1180" t="str">
            <v>차량등 부착대</v>
          </cell>
          <cell r="E1180" t="str">
            <v>9m</v>
          </cell>
          <cell r="F1180" t="str">
            <v>본</v>
          </cell>
          <cell r="G1180">
            <v>1</v>
          </cell>
          <cell r="I1180">
            <v>0</v>
          </cell>
          <cell r="K1180">
            <v>0</v>
          </cell>
          <cell r="M1180">
            <v>0</v>
          </cell>
          <cell r="O1180">
            <v>0</v>
          </cell>
          <cell r="P1180" t="str">
            <v>관급자재</v>
          </cell>
        </row>
        <row r="1181">
          <cell r="B1181" t="str">
            <v>육각볼트(용융도금)M16 x 60mm(너트포함)</v>
          </cell>
          <cell r="D1181" t="str">
            <v>육각볼트(용융도금)</v>
          </cell>
          <cell r="E1181" t="str">
            <v>M16 x 60mm(너트포함)</v>
          </cell>
          <cell r="F1181" t="str">
            <v>조</v>
          </cell>
          <cell r="G1181">
            <v>6</v>
          </cell>
          <cell r="H1181">
            <v>554</v>
          </cell>
          <cell r="I1181">
            <v>3324</v>
          </cell>
          <cell r="K1181">
            <v>0</v>
          </cell>
          <cell r="M1181">
            <v>0</v>
          </cell>
          <cell r="N1181">
            <v>554</v>
          </cell>
          <cell r="O1181">
            <v>3324</v>
          </cell>
        </row>
        <row r="1183">
          <cell r="C1183" t="str">
            <v>노무비</v>
          </cell>
          <cell r="D1183" t="str">
            <v>내선전공</v>
          </cell>
          <cell r="E1183" t="str">
            <v>(0.98*0.4)*1.2*1.1</v>
          </cell>
          <cell r="F1183" t="str">
            <v>인</v>
          </cell>
          <cell r="G1183">
            <v>0.51744000000000001</v>
          </cell>
          <cell r="I1183">
            <v>0</v>
          </cell>
          <cell r="J1183">
            <v>135106</v>
          </cell>
          <cell r="K1183">
            <v>69909</v>
          </cell>
          <cell r="M1183">
            <v>0</v>
          </cell>
          <cell r="N1183">
            <v>135106</v>
          </cell>
          <cell r="O1183">
            <v>69909</v>
          </cell>
        </row>
        <row r="1184">
          <cell r="D1184" t="str">
            <v>보통인부</v>
          </cell>
          <cell r="E1184" t="str">
            <v>(0.75*0.4)*1.2*1.1</v>
          </cell>
          <cell r="F1184" t="str">
            <v>인</v>
          </cell>
          <cell r="G1184">
            <v>0.39600000000000007</v>
          </cell>
          <cell r="I1184">
            <v>0</v>
          </cell>
          <cell r="J1184">
            <v>81443</v>
          </cell>
          <cell r="K1184">
            <v>32251</v>
          </cell>
          <cell r="M1184">
            <v>0</v>
          </cell>
          <cell r="N1184">
            <v>81443</v>
          </cell>
          <cell r="O1184">
            <v>32251</v>
          </cell>
        </row>
        <row r="1185">
          <cell r="D1185" t="str">
            <v>공구손료</v>
          </cell>
          <cell r="E1185" t="str">
            <v>노무비의</v>
          </cell>
          <cell r="F1185" t="str">
            <v>%</v>
          </cell>
          <cell r="G1185">
            <v>3</v>
          </cell>
          <cell r="L1185">
            <v>102160</v>
          </cell>
          <cell r="M1185">
            <v>3064</v>
          </cell>
          <cell r="N1185">
            <v>102160</v>
          </cell>
          <cell r="O1185">
            <v>3064</v>
          </cell>
        </row>
        <row r="1186">
          <cell r="C1186" t="str">
            <v>기계경비</v>
          </cell>
          <cell r="D1186" t="str">
            <v>트럭탑재형크레인(5ton)</v>
          </cell>
          <cell r="E1186" t="str">
            <v>1.96*0.4*1.2</v>
          </cell>
          <cell r="F1186" t="str">
            <v>hr</v>
          </cell>
          <cell r="G1186">
            <v>0.94079999999999997</v>
          </cell>
          <cell r="H1186">
            <v>9154</v>
          </cell>
          <cell r="I1186">
            <v>8612</v>
          </cell>
          <cell r="J1186">
            <v>20522</v>
          </cell>
          <cell r="K1186">
            <v>19307</v>
          </cell>
          <cell r="L1186">
            <v>10362</v>
          </cell>
          <cell r="M1186">
            <v>9748</v>
          </cell>
          <cell r="N1186">
            <v>40038</v>
          </cell>
          <cell r="O1186">
            <v>37667</v>
          </cell>
          <cell r="P1186" t="str">
            <v>m21호표</v>
          </cell>
        </row>
        <row r="1187">
          <cell r="C1187" t="str">
            <v>도로교통정리</v>
          </cell>
          <cell r="D1187" t="str">
            <v>보통인부</v>
          </cell>
          <cell r="E1187" t="str">
            <v>0.2*0.4*1.1</v>
          </cell>
          <cell r="F1187" t="str">
            <v>인</v>
          </cell>
          <cell r="G1187">
            <v>8.8000000000000023E-2</v>
          </cell>
          <cell r="I1187">
            <v>0</v>
          </cell>
          <cell r="J1187">
            <v>81443</v>
          </cell>
          <cell r="K1187">
            <v>7166</v>
          </cell>
          <cell r="M1187">
            <v>0</v>
          </cell>
          <cell r="N1187">
            <v>81443</v>
          </cell>
          <cell r="O1187">
            <v>7166</v>
          </cell>
        </row>
        <row r="1190">
          <cell r="A1190">
            <v>79</v>
          </cell>
          <cell r="B1190">
            <v>3</v>
          </cell>
          <cell r="C1190" t="str">
            <v>제79호표</v>
          </cell>
          <cell r="D1190" t="str">
            <v>차량등 부착대 및 와이어로프신설</v>
          </cell>
          <cell r="E1190" t="str">
            <v>7m</v>
          </cell>
          <cell r="F1190" t="str">
            <v>본</v>
          </cell>
          <cell r="G1190">
            <v>1</v>
          </cell>
          <cell r="I1190">
            <v>104740</v>
          </cell>
          <cell r="K1190">
            <v>108388</v>
          </cell>
          <cell r="M1190">
            <v>10676</v>
          </cell>
          <cell r="O1190">
            <v>223804</v>
          </cell>
          <cell r="P1190" t="str">
            <v>전5-46(나)</v>
          </cell>
        </row>
        <row r="1191">
          <cell r="D1191" t="str">
            <v>차량등 부착대 및 와이어로프신설</v>
          </cell>
          <cell r="E1191" t="str">
            <v>7m</v>
          </cell>
        </row>
        <row r="1193">
          <cell r="B1193" t="str">
            <v>차량등 부착대 신설7m  (조가선 제외)</v>
          </cell>
          <cell r="D1193" t="str">
            <v>차량등 부착대 신설</v>
          </cell>
          <cell r="E1193" t="str">
            <v>7m  (조가선 제외)</v>
          </cell>
          <cell r="F1193" t="str">
            <v>본</v>
          </cell>
          <cell r="G1193">
            <v>1</v>
          </cell>
          <cell r="H1193">
            <v>10500</v>
          </cell>
          <cell r="I1193">
            <v>10500</v>
          </cell>
          <cell r="J1193">
            <v>108388</v>
          </cell>
          <cell r="K1193">
            <v>108388</v>
          </cell>
          <cell r="L1193">
            <v>10676</v>
          </cell>
          <cell r="M1193">
            <v>10676</v>
          </cell>
          <cell r="N1193">
            <v>129564</v>
          </cell>
          <cell r="O1193">
            <v>129564</v>
          </cell>
          <cell r="P1193" t="str">
            <v>제80호표</v>
          </cell>
        </row>
        <row r="1194">
          <cell r="B1194" t="str">
            <v>와이어로프 신설부착대7m</v>
          </cell>
          <cell r="D1194" t="str">
            <v>와이어로프 신설</v>
          </cell>
          <cell r="E1194" t="str">
            <v>부착대7m</v>
          </cell>
          <cell r="F1194" t="str">
            <v>식</v>
          </cell>
          <cell r="G1194">
            <v>1</v>
          </cell>
          <cell r="H1194">
            <v>94240</v>
          </cell>
          <cell r="I1194">
            <v>94240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94240</v>
          </cell>
          <cell r="O1194">
            <v>94240</v>
          </cell>
          <cell r="P1194" t="str">
            <v>제88호표</v>
          </cell>
        </row>
        <row r="1196">
          <cell r="A1196">
            <v>80</v>
          </cell>
          <cell r="B1196">
            <v>3</v>
          </cell>
          <cell r="C1196" t="str">
            <v>제80호표</v>
          </cell>
          <cell r="D1196" t="str">
            <v>차량등 부착대 신설</v>
          </cell>
          <cell r="E1196" t="str">
            <v>7m  (조가선 제외)</v>
          </cell>
          <cell r="F1196" t="str">
            <v>본</v>
          </cell>
          <cell r="G1196">
            <v>1</v>
          </cell>
          <cell r="I1196">
            <v>10500</v>
          </cell>
          <cell r="K1196">
            <v>108388</v>
          </cell>
          <cell r="M1196">
            <v>10676</v>
          </cell>
          <cell r="O1196">
            <v>129564</v>
          </cell>
          <cell r="P1196" t="str">
            <v>전5-46(나)</v>
          </cell>
        </row>
        <row r="1197">
          <cell r="D1197" t="str">
            <v>차량등 부착대 신설</v>
          </cell>
          <cell r="E1197" t="str">
            <v>7m  (조가선 제외)</v>
          </cell>
        </row>
        <row r="1199">
          <cell r="B1199" t="str">
            <v>차량등 부착대7m</v>
          </cell>
          <cell r="C1199" t="str">
            <v>재료비</v>
          </cell>
          <cell r="D1199" t="str">
            <v>차량등 부착대</v>
          </cell>
          <cell r="E1199" t="str">
            <v>7m</v>
          </cell>
          <cell r="F1199" t="str">
            <v>본</v>
          </cell>
          <cell r="G1199">
            <v>1</v>
          </cell>
          <cell r="I1199">
            <v>0</v>
          </cell>
          <cell r="K1199">
            <v>0</v>
          </cell>
          <cell r="M1199">
            <v>0</v>
          </cell>
          <cell r="O1199">
            <v>0</v>
          </cell>
          <cell r="P1199" t="str">
            <v>관급자재</v>
          </cell>
        </row>
        <row r="1200">
          <cell r="B1200" t="str">
            <v>육각볼트(용융도금)M16 x 60mm(너트포함)</v>
          </cell>
          <cell r="D1200" t="str">
            <v>육각볼트(용융도금)</v>
          </cell>
          <cell r="E1200" t="str">
            <v>M16 x 60mm(너트포함)</v>
          </cell>
          <cell r="F1200" t="str">
            <v>조</v>
          </cell>
          <cell r="G1200">
            <v>6</v>
          </cell>
          <cell r="H1200">
            <v>554</v>
          </cell>
          <cell r="I1200">
            <v>3324</v>
          </cell>
          <cell r="K1200">
            <v>0</v>
          </cell>
          <cell r="M1200">
            <v>0</v>
          </cell>
          <cell r="N1200">
            <v>554</v>
          </cell>
          <cell r="O1200">
            <v>3324</v>
          </cell>
        </row>
        <row r="1201">
          <cell r="C1201" t="str">
            <v>노무비</v>
          </cell>
          <cell r="D1201" t="str">
            <v>내선전공</v>
          </cell>
          <cell r="E1201" t="str">
            <v>0.98*0.4*1.1</v>
          </cell>
          <cell r="F1201" t="str">
            <v>인</v>
          </cell>
          <cell r="G1201">
            <v>0.43120000000000003</v>
          </cell>
          <cell r="I1201">
            <v>0</v>
          </cell>
          <cell r="J1201">
            <v>135106</v>
          </cell>
          <cell r="K1201">
            <v>58257</v>
          </cell>
          <cell r="M1201">
            <v>0</v>
          </cell>
          <cell r="N1201">
            <v>135106</v>
          </cell>
          <cell r="O1201">
            <v>58257</v>
          </cell>
        </row>
        <row r="1202">
          <cell r="D1202" t="str">
            <v>보통인부</v>
          </cell>
          <cell r="E1202" t="str">
            <v>0.75*0.4*1.1</v>
          </cell>
          <cell r="F1202" t="str">
            <v>인</v>
          </cell>
          <cell r="G1202">
            <v>0.33000000000000007</v>
          </cell>
          <cell r="I1202">
            <v>0</v>
          </cell>
          <cell r="J1202">
            <v>81443</v>
          </cell>
          <cell r="K1202">
            <v>26876</v>
          </cell>
          <cell r="M1202">
            <v>0</v>
          </cell>
          <cell r="N1202">
            <v>81443</v>
          </cell>
          <cell r="O1202">
            <v>26876</v>
          </cell>
        </row>
        <row r="1203">
          <cell r="D1203" t="str">
            <v>공구손료</v>
          </cell>
          <cell r="E1203" t="str">
            <v>노무비의</v>
          </cell>
          <cell r="F1203" t="str">
            <v>%</v>
          </cell>
          <cell r="G1203">
            <v>3</v>
          </cell>
          <cell r="L1203">
            <v>85133</v>
          </cell>
          <cell r="M1203">
            <v>2553</v>
          </cell>
          <cell r="N1203">
            <v>85133</v>
          </cell>
          <cell r="O1203">
            <v>2553</v>
          </cell>
        </row>
        <row r="1204">
          <cell r="C1204" t="str">
            <v>기계경비</v>
          </cell>
          <cell r="D1204" t="str">
            <v>트럭탑재형크레인(5ton)</v>
          </cell>
          <cell r="E1204" t="str">
            <v>1.96*0.4</v>
          </cell>
          <cell r="F1204" t="str">
            <v>hr</v>
          </cell>
          <cell r="G1204">
            <v>0.78400000000000003</v>
          </cell>
          <cell r="H1204">
            <v>9154</v>
          </cell>
          <cell r="I1204">
            <v>7176</v>
          </cell>
          <cell r="J1204">
            <v>20522</v>
          </cell>
          <cell r="K1204">
            <v>16089</v>
          </cell>
          <cell r="L1204">
            <v>10362</v>
          </cell>
          <cell r="M1204">
            <v>8123</v>
          </cell>
          <cell r="N1204">
            <v>40038</v>
          </cell>
          <cell r="O1204">
            <v>31388</v>
          </cell>
          <cell r="P1204" t="str">
            <v>m21호표</v>
          </cell>
        </row>
        <row r="1205">
          <cell r="C1205" t="str">
            <v>도로교통정리</v>
          </cell>
          <cell r="D1205" t="str">
            <v>보통인부</v>
          </cell>
          <cell r="E1205" t="str">
            <v>0.2*0.4*1.1</v>
          </cell>
          <cell r="F1205" t="str">
            <v>인</v>
          </cell>
          <cell r="G1205">
            <v>8.8000000000000023E-2</v>
          </cell>
          <cell r="I1205">
            <v>0</v>
          </cell>
          <cell r="J1205">
            <v>81443</v>
          </cell>
          <cell r="K1205">
            <v>7166</v>
          </cell>
          <cell r="M1205">
            <v>0</v>
          </cell>
          <cell r="N1205">
            <v>81443</v>
          </cell>
          <cell r="O1205">
            <v>7166</v>
          </cell>
        </row>
        <row r="1206">
          <cell r="A1206">
            <v>81</v>
          </cell>
          <cell r="B1206">
            <v>3</v>
          </cell>
          <cell r="C1206" t="str">
            <v>제81호표</v>
          </cell>
          <cell r="D1206" t="str">
            <v>차량등 부착대 및 와이어로프신설</v>
          </cell>
          <cell r="E1206" t="str">
            <v>5m</v>
          </cell>
          <cell r="F1206" t="str">
            <v>본</v>
          </cell>
          <cell r="G1206">
            <v>1</v>
          </cell>
          <cell r="I1206">
            <v>96781</v>
          </cell>
          <cell r="K1206">
            <v>108388</v>
          </cell>
          <cell r="M1206">
            <v>10676</v>
          </cell>
          <cell r="O1206">
            <v>215845</v>
          </cell>
          <cell r="P1206" t="str">
            <v>전5-46(나)</v>
          </cell>
        </row>
        <row r="1208">
          <cell r="D1208" t="str">
            <v>차량등 부착대 및 와이어로프신설</v>
          </cell>
          <cell r="E1208" t="str">
            <v>5m</v>
          </cell>
        </row>
        <row r="1210">
          <cell r="B1210" t="str">
            <v>차량등 부착대 신설5m  (조가선 제외)</v>
          </cell>
          <cell r="D1210" t="str">
            <v>차량등 부착대 신설</v>
          </cell>
          <cell r="E1210" t="str">
            <v>5m  (조가선 제외)</v>
          </cell>
          <cell r="F1210" t="str">
            <v>본</v>
          </cell>
          <cell r="G1210">
            <v>1</v>
          </cell>
          <cell r="H1210">
            <v>10500</v>
          </cell>
          <cell r="I1210">
            <v>10500</v>
          </cell>
          <cell r="J1210">
            <v>108388</v>
          </cell>
          <cell r="K1210">
            <v>108388</v>
          </cell>
          <cell r="L1210">
            <v>10676</v>
          </cell>
          <cell r="M1210">
            <v>10676</v>
          </cell>
          <cell r="N1210">
            <v>129564</v>
          </cell>
          <cell r="O1210">
            <v>129564</v>
          </cell>
          <cell r="P1210" t="str">
            <v>제82호표</v>
          </cell>
        </row>
        <row r="1211">
          <cell r="B1211" t="str">
            <v>와이어로프 신설부착대5m</v>
          </cell>
          <cell r="D1211" t="str">
            <v>와이어로프 신설</v>
          </cell>
          <cell r="E1211" t="str">
            <v>부착대5m</v>
          </cell>
          <cell r="F1211" t="str">
            <v>식</v>
          </cell>
          <cell r="G1211">
            <v>1</v>
          </cell>
          <cell r="H1211">
            <v>86281</v>
          </cell>
          <cell r="I1211">
            <v>86281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86281</v>
          </cell>
          <cell r="O1211">
            <v>86281</v>
          </cell>
          <cell r="P1211" t="str">
            <v>제89호표</v>
          </cell>
        </row>
        <row r="1213">
          <cell r="A1213">
            <v>82</v>
          </cell>
          <cell r="B1213">
            <v>3</v>
          </cell>
          <cell r="C1213" t="str">
            <v>제82호표</v>
          </cell>
          <cell r="D1213" t="str">
            <v>차량등 부착대 신설</v>
          </cell>
          <cell r="E1213" t="str">
            <v>5m  (조가선 제외)</v>
          </cell>
          <cell r="F1213" t="str">
            <v>본</v>
          </cell>
          <cell r="G1213">
            <v>1</v>
          </cell>
          <cell r="I1213">
            <v>10500</v>
          </cell>
          <cell r="K1213">
            <v>108388</v>
          </cell>
          <cell r="M1213">
            <v>10676</v>
          </cell>
          <cell r="O1213">
            <v>129564</v>
          </cell>
          <cell r="P1213" t="str">
            <v>전5-46(나)</v>
          </cell>
        </row>
        <row r="1215">
          <cell r="D1215" t="str">
            <v>차량등 부착대 신설</v>
          </cell>
          <cell r="E1215" t="str">
            <v>5m  (조가선 제외)</v>
          </cell>
        </row>
        <row r="1217">
          <cell r="B1217" t="str">
            <v>차량등 부착대5m</v>
          </cell>
          <cell r="C1217" t="str">
            <v>재료비</v>
          </cell>
          <cell r="D1217" t="str">
            <v>차량등 부착대</v>
          </cell>
          <cell r="E1217" t="str">
            <v>5m</v>
          </cell>
          <cell r="F1217" t="str">
            <v>본</v>
          </cell>
          <cell r="G1217">
            <v>1</v>
          </cell>
          <cell r="I1217">
            <v>0</v>
          </cell>
          <cell r="K1217">
            <v>0</v>
          </cell>
          <cell r="M1217">
            <v>0</v>
          </cell>
          <cell r="O1217">
            <v>0</v>
          </cell>
          <cell r="P1217" t="str">
            <v>관급자재</v>
          </cell>
        </row>
        <row r="1218">
          <cell r="B1218" t="str">
            <v>육각볼트(용융도금)M16 x 60mm(너트포함)</v>
          </cell>
          <cell r="D1218" t="str">
            <v>육각볼트(용융도금)</v>
          </cell>
          <cell r="E1218" t="str">
            <v>M16 x 60mm(너트포함)</v>
          </cell>
          <cell r="F1218" t="str">
            <v>조</v>
          </cell>
          <cell r="G1218">
            <v>6</v>
          </cell>
          <cell r="H1218">
            <v>554</v>
          </cell>
          <cell r="I1218">
            <v>3324</v>
          </cell>
          <cell r="K1218">
            <v>0</v>
          </cell>
          <cell r="M1218">
            <v>0</v>
          </cell>
          <cell r="N1218">
            <v>554</v>
          </cell>
          <cell r="O1218">
            <v>3324</v>
          </cell>
        </row>
        <row r="1219">
          <cell r="C1219" t="str">
            <v>노무비</v>
          </cell>
          <cell r="D1219" t="str">
            <v>내선전공</v>
          </cell>
          <cell r="E1219" t="str">
            <v>0.98*0.4*1.1</v>
          </cell>
          <cell r="F1219" t="str">
            <v>인</v>
          </cell>
          <cell r="G1219">
            <v>0.43120000000000003</v>
          </cell>
          <cell r="I1219">
            <v>0</v>
          </cell>
          <cell r="J1219">
            <v>135106</v>
          </cell>
          <cell r="K1219">
            <v>58257</v>
          </cell>
          <cell r="M1219">
            <v>0</v>
          </cell>
          <cell r="N1219">
            <v>135106</v>
          </cell>
          <cell r="O1219">
            <v>58257</v>
          </cell>
        </row>
        <row r="1220">
          <cell r="D1220" t="str">
            <v>보통인부</v>
          </cell>
          <cell r="E1220" t="str">
            <v>0.75*0.4*1.1</v>
          </cell>
          <cell r="F1220" t="str">
            <v>인</v>
          </cell>
          <cell r="G1220">
            <v>0.33000000000000007</v>
          </cell>
          <cell r="I1220">
            <v>0</v>
          </cell>
          <cell r="J1220">
            <v>81443</v>
          </cell>
          <cell r="K1220">
            <v>26876</v>
          </cell>
          <cell r="M1220">
            <v>0</v>
          </cell>
          <cell r="N1220">
            <v>81443</v>
          </cell>
          <cell r="O1220">
            <v>26876</v>
          </cell>
        </row>
        <row r="1221">
          <cell r="D1221" t="str">
            <v>공구손료</v>
          </cell>
          <cell r="E1221" t="str">
            <v>노무비의</v>
          </cell>
          <cell r="F1221" t="str">
            <v>%</v>
          </cell>
          <cell r="G1221">
            <v>3</v>
          </cell>
          <cell r="L1221">
            <v>85133</v>
          </cell>
          <cell r="M1221">
            <v>2553</v>
          </cell>
          <cell r="N1221">
            <v>85133</v>
          </cell>
          <cell r="O1221">
            <v>2553</v>
          </cell>
        </row>
        <row r="1222">
          <cell r="C1222" t="str">
            <v>기계경비</v>
          </cell>
          <cell r="D1222" t="str">
            <v>트럭탑재형크레인(5ton)</v>
          </cell>
          <cell r="E1222" t="str">
            <v>1.96*0.4</v>
          </cell>
          <cell r="F1222" t="str">
            <v>hr</v>
          </cell>
          <cell r="G1222">
            <v>0.78400000000000003</v>
          </cell>
          <cell r="H1222">
            <v>9154</v>
          </cell>
          <cell r="I1222">
            <v>7176</v>
          </cell>
          <cell r="J1222">
            <v>20522</v>
          </cell>
          <cell r="K1222">
            <v>16089</v>
          </cell>
          <cell r="L1222">
            <v>10362</v>
          </cell>
          <cell r="M1222">
            <v>8123</v>
          </cell>
          <cell r="N1222">
            <v>40038</v>
          </cell>
          <cell r="O1222">
            <v>31388</v>
          </cell>
          <cell r="P1222" t="str">
            <v>m21호표</v>
          </cell>
        </row>
        <row r="1223">
          <cell r="C1223" t="str">
            <v>도로교통정리</v>
          </cell>
          <cell r="D1223" t="str">
            <v>보통인부</v>
          </cell>
          <cell r="E1223" t="str">
            <v>0.2*0.4*1.1</v>
          </cell>
          <cell r="F1223" t="str">
            <v>인</v>
          </cell>
          <cell r="G1223">
            <v>8.8000000000000023E-2</v>
          </cell>
          <cell r="I1223">
            <v>0</v>
          </cell>
          <cell r="J1223">
            <v>81443</v>
          </cell>
          <cell r="K1223">
            <v>7166</v>
          </cell>
          <cell r="M1223">
            <v>0</v>
          </cell>
          <cell r="N1223">
            <v>81443</v>
          </cell>
          <cell r="O1223">
            <v>7166</v>
          </cell>
        </row>
        <row r="1225">
          <cell r="A1225">
            <v>83</v>
          </cell>
          <cell r="B1225">
            <v>3</v>
          </cell>
          <cell r="C1225" t="str">
            <v>제83호표</v>
          </cell>
          <cell r="D1225" t="str">
            <v>차량등 부착대 및 와이어로프신설</v>
          </cell>
          <cell r="E1225" t="str">
            <v>3m</v>
          </cell>
          <cell r="F1225" t="str">
            <v>본</v>
          </cell>
          <cell r="G1225">
            <v>1</v>
          </cell>
          <cell r="I1225">
            <v>50480</v>
          </cell>
          <cell r="K1225">
            <v>108388</v>
          </cell>
          <cell r="M1225">
            <v>10676</v>
          </cell>
          <cell r="O1225">
            <v>169544</v>
          </cell>
          <cell r="P1225" t="str">
            <v>전5-46(나)</v>
          </cell>
        </row>
        <row r="1227">
          <cell r="D1227" t="str">
            <v>차량등 부착대 및 와이어로프신설</v>
          </cell>
          <cell r="E1227" t="str">
            <v>3m</v>
          </cell>
        </row>
        <row r="1229">
          <cell r="B1229" t="str">
            <v>차량등 부착대 신설3m  (조가선 제외)</v>
          </cell>
          <cell r="D1229" t="str">
            <v>차량등 부착대 신설</v>
          </cell>
          <cell r="E1229" t="str">
            <v>3m  (조가선 제외)</v>
          </cell>
          <cell r="F1229" t="str">
            <v>본</v>
          </cell>
          <cell r="G1229">
            <v>1</v>
          </cell>
          <cell r="H1229">
            <v>10500</v>
          </cell>
          <cell r="I1229">
            <v>10500</v>
          </cell>
          <cell r="J1229">
            <v>108388</v>
          </cell>
          <cell r="K1229">
            <v>108388</v>
          </cell>
          <cell r="L1229">
            <v>10676</v>
          </cell>
          <cell r="M1229">
            <v>10676</v>
          </cell>
          <cell r="N1229">
            <v>129564</v>
          </cell>
          <cell r="O1229">
            <v>129564</v>
          </cell>
          <cell r="P1229" t="str">
            <v>제84호표</v>
          </cell>
        </row>
        <row r="1230">
          <cell r="B1230" t="str">
            <v>와이어로프 신설부착대3m</v>
          </cell>
          <cell r="D1230" t="str">
            <v>와이어로프 신설</v>
          </cell>
          <cell r="E1230" t="str">
            <v>부착대3m</v>
          </cell>
          <cell r="F1230" t="str">
            <v>식</v>
          </cell>
          <cell r="G1230">
            <v>1</v>
          </cell>
          <cell r="H1230">
            <v>39980</v>
          </cell>
          <cell r="I1230">
            <v>39980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39980</v>
          </cell>
          <cell r="O1230">
            <v>39980</v>
          </cell>
          <cell r="P1230" t="str">
            <v>제90호표</v>
          </cell>
        </row>
        <row r="1232">
          <cell r="A1232">
            <v>84</v>
          </cell>
          <cell r="B1232">
            <v>3</v>
          </cell>
          <cell r="C1232" t="str">
            <v>제84호표</v>
          </cell>
          <cell r="D1232" t="str">
            <v>차량등 부착대 신설</v>
          </cell>
          <cell r="E1232" t="str">
            <v>3m  (조가선 제외)</v>
          </cell>
          <cell r="F1232" t="str">
            <v>본</v>
          </cell>
          <cell r="G1232">
            <v>1</v>
          </cell>
          <cell r="I1232">
            <v>10500</v>
          </cell>
          <cell r="K1232">
            <v>108388</v>
          </cell>
          <cell r="M1232">
            <v>10676</v>
          </cell>
          <cell r="O1232">
            <v>129564</v>
          </cell>
          <cell r="P1232" t="str">
            <v>전5-46(나)</v>
          </cell>
        </row>
        <row r="1234">
          <cell r="D1234" t="str">
            <v>차량등 부착대 신설</v>
          </cell>
          <cell r="E1234" t="str">
            <v>3m  (조가선 제외)</v>
          </cell>
        </row>
        <row r="1236">
          <cell r="B1236" t="str">
            <v>차량등 부착대3m</v>
          </cell>
          <cell r="C1236" t="str">
            <v>재료비</v>
          </cell>
          <cell r="D1236" t="str">
            <v>차량등 부착대</v>
          </cell>
          <cell r="E1236" t="str">
            <v>3m</v>
          </cell>
          <cell r="F1236" t="str">
            <v>본</v>
          </cell>
          <cell r="G1236">
            <v>1</v>
          </cell>
          <cell r="I1236">
            <v>0</v>
          </cell>
          <cell r="K1236">
            <v>0</v>
          </cell>
          <cell r="M1236">
            <v>0</v>
          </cell>
          <cell r="O1236">
            <v>0</v>
          </cell>
          <cell r="P1236" t="str">
            <v>관급자재</v>
          </cell>
        </row>
        <row r="1237">
          <cell r="B1237" t="str">
            <v>육각볼트(용융도금)M16 x 60mm(너트포함)</v>
          </cell>
          <cell r="D1237" t="str">
            <v>육각볼트(용융도금)</v>
          </cell>
          <cell r="E1237" t="str">
            <v>M16 x 60mm(너트포함)</v>
          </cell>
          <cell r="F1237" t="str">
            <v>조</v>
          </cell>
          <cell r="G1237">
            <v>6</v>
          </cell>
          <cell r="H1237">
            <v>554</v>
          </cell>
          <cell r="I1237">
            <v>3324</v>
          </cell>
          <cell r="K1237">
            <v>0</v>
          </cell>
          <cell r="M1237">
            <v>0</v>
          </cell>
          <cell r="N1237">
            <v>554</v>
          </cell>
          <cell r="O1237">
            <v>3324</v>
          </cell>
        </row>
        <row r="1238">
          <cell r="C1238" t="str">
            <v>노무비</v>
          </cell>
          <cell r="D1238" t="str">
            <v>내선전공</v>
          </cell>
          <cell r="E1238" t="str">
            <v>0.98*0.4*1.1</v>
          </cell>
          <cell r="F1238" t="str">
            <v>인</v>
          </cell>
          <cell r="G1238">
            <v>0.43120000000000003</v>
          </cell>
          <cell r="I1238">
            <v>0</v>
          </cell>
          <cell r="J1238">
            <v>135106</v>
          </cell>
          <cell r="K1238">
            <v>58257</v>
          </cell>
          <cell r="M1238">
            <v>0</v>
          </cell>
          <cell r="N1238">
            <v>135106</v>
          </cell>
          <cell r="O1238">
            <v>58257</v>
          </cell>
        </row>
        <row r="1239">
          <cell r="D1239" t="str">
            <v>보통인부</v>
          </cell>
          <cell r="E1239" t="str">
            <v>0.75*0.4*1.1</v>
          </cell>
          <cell r="F1239" t="str">
            <v>인</v>
          </cell>
          <cell r="G1239">
            <v>0.33000000000000007</v>
          </cell>
          <cell r="I1239">
            <v>0</v>
          </cell>
          <cell r="J1239">
            <v>81443</v>
          </cell>
          <cell r="K1239">
            <v>26876</v>
          </cell>
          <cell r="M1239">
            <v>0</v>
          </cell>
          <cell r="N1239">
            <v>81443</v>
          </cell>
          <cell r="O1239">
            <v>26876</v>
          </cell>
        </row>
        <row r="1240">
          <cell r="D1240" t="str">
            <v>공구손료</v>
          </cell>
          <cell r="E1240" t="str">
            <v>노무비의</v>
          </cell>
          <cell r="F1240" t="str">
            <v>%</v>
          </cell>
          <cell r="G1240">
            <v>3</v>
          </cell>
          <cell r="L1240">
            <v>85133</v>
          </cell>
          <cell r="M1240">
            <v>2553</v>
          </cell>
          <cell r="N1240">
            <v>85133</v>
          </cell>
          <cell r="O1240">
            <v>2553</v>
          </cell>
        </row>
        <row r="1241">
          <cell r="C1241" t="str">
            <v>기계경비</v>
          </cell>
          <cell r="D1241" t="str">
            <v>트럭탑재형크레인(5ton)</v>
          </cell>
          <cell r="E1241" t="str">
            <v>1.96*0.4</v>
          </cell>
          <cell r="F1241" t="str">
            <v>hr</v>
          </cell>
          <cell r="G1241">
            <v>0.78400000000000003</v>
          </cell>
          <cell r="H1241">
            <v>9154</v>
          </cell>
          <cell r="I1241">
            <v>7176</v>
          </cell>
          <cell r="J1241">
            <v>20522</v>
          </cell>
          <cell r="K1241">
            <v>16089</v>
          </cell>
          <cell r="L1241">
            <v>10362</v>
          </cell>
          <cell r="M1241">
            <v>8123</v>
          </cell>
          <cell r="N1241">
            <v>40038</v>
          </cell>
          <cell r="O1241">
            <v>31388</v>
          </cell>
          <cell r="P1241" t="str">
            <v>m21호표</v>
          </cell>
        </row>
        <row r="1242">
          <cell r="C1242" t="str">
            <v>도로교통정리</v>
          </cell>
          <cell r="D1242" t="str">
            <v>보통인부</v>
          </cell>
          <cell r="E1242" t="str">
            <v>0.2*0.4*1.1</v>
          </cell>
          <cell r="F1242" t="str">
            <v>인</v>
          </cell>
          <cell r="G1242">
            <v>8.8000000000000023E-2</v>
          </cell>
          <cell r="I1242">
            <v>0</v>
          </cell>
          <cell r="J1242">
            <v>81443</v>
          </cell>
          <cell r="K1242">
            <v>7166</v>
          </cell>
          <cell r="M1242">
            <v>0</v>
          </cell>
          <cell r="N1242">
            <v>81443</v>
          </cell>
          <cell r="O1242">
            <v>7166</v>
          </cell>
        </row>
        <row r="1244">
          <cell r="A1244">
            <v>85</v>
          </cell>
          <cell r="B1244">
            <v>3</v>
          </cell>
          <cell r="C1244" t="str">
            <v>제85호표</v>
          </cell>
          <cell r="D1244" t="str">
            <v>와이어로프 신설</v>
          </cell>
          <cell r="E1244" t="str">
            <v>부착대13m</v>
          </cell>
          <cell r="F1244" t="str">
            <v>식</v>
          </cell>
          <cell r="G1244">
            <v>1</v>
          </cell>
          <cell r="I1244">
            <v>212630</v>
          </cell>
          <cell r="K1244">
            <v>0</v>
          </cell>
          <cell r="M1244">
            <v>0</v>
          </cell>
          <cell r="O1244">
            <v>212630</v>
          </cell>
          <cell r="P1244" t="str">
            <v>전5-46(나)</v>
          </cell>
        </row>
        <row r="1246">
          <cell r="B1246" t="str">
            <v>와이어로프 신설부착대13m</v>
          </cell>
          <cell r="D1246" t="str">
            <v>와이어로프 신설</v>
          </cell>
          <cell r="E1246" t="str">
            <v>부착대13m</v>
          </cell>
          <cell r="F1246" t="str">
            <v>식</v>
          </cell>
          <cell r="G1246">
            <v>1</v>
          </cell>
        </row>
        <row r="1248">
          <cell r="B1248" t="str">
            <v>턴버클(STS304)1/2"×6", Hook&amp;Eye</v>
          </cell>
          <cell r="C1248" t="str">
            <v>재료비</v>
          </cell>
          <cell r="D1248" t="str">
            <v>턴버클(STS304)</v>
          </cell>
          <cell r="E1248" t="str">
            <v>1/2"×6", Hook&amp;Eye</v>
          </cell>
          <cell r="F1248" t="str">
            <v>EA</v>
          </cell>
          <cell r="G1248">
            <v>4</v>
          </cell>
          <cell r="H1248">
            <v>23400</v>
          </cell>
          <cell r="I1248">
            <v>93600</v>
          </cell>
          <cell r="J1248">
            <v>0</v>
          </cell>
          <cell r="L1248">
            <v>0</v>
          </cell>
          <cell r="N1248">
            <v>23400</v>
          </cell>
          <cell r="O1248">
            <v>93600</v>
          </cell>
        </row>
        <row r="1249">
          <cell r="B1249" t="str">
            <v>와이어로프(STS304)6mm</v>
          </cell>
          <cell r="D1249" t="str">
            <v>와이어로프(STS304)</v>
          </cell>
          <cell r="E1249" t="str">
            <v>6mm</v>
          </cell>
          <cell r="F1249" t="str">
            <v>m</v>
          </cell>
          <cell r="G1249">
            <v>37.1</v>
          </cell>
          <cell r="H1249">
            <v>2100</v>
          </cell>
          <cell r="I1249">
            <v>77910</v>
          </cell>
          <cell r="J1249">
            <v>0</v>
          </cell>
          <cell r="L1249">
            <v>0</v>
          </cell>
          <cell r="N1249">
            <v>2100</v>
          </cell>
          <cell r="O1249">
            <v>77910</v>
          </cell>
        </row>
        <row r="1250">
          <cell r="B1250" t="str">
            <v>스텐크립(STS304)6mm</v>
          </cell>
          <cell r="D1250" t="str">
            <v>스텐크립(STS304)</v>
          </cell>
          <cell r="E1250" t="str">
            <v>6mm</v>
          </cell>
          <cell r="F1250" t="str">
            <v>EA</v>
          </cell>
          <cell r="G1250">
            <v>16</v>
          </cell>
          <cell r="H1250">
            <v>2570</v>
          </cell>
          <cell r="I1250">
            <v>41120</v>
          </cell>
          <cell r="J1250">
            <v>0</v>
          </cell>
          <cell r="L1250">
            <v>0</v>
          </cell>
          <cell r="N1250">
            <v>2570</v>
          </cell>
          <cell r="O1250">
            <v>41120</v>
          </cell>
        </row>
        <row r="1254">
          <cell r="A1254">
            <v>86</v>
          </cell>
          <cell r="B1254">
            <v>3</v>
          </cell>
          <cell r="C1254" t="str">
            <v>제86호표</v>
          </cell>
          <cell r="D1254" t="str">
            <v>와이어로프 신설</v>
          </cell>
          <cell r="E1254" t="str">
            <v>부착대11m</v>
          </cell>
          <cell r="F1254" t="str">
            <v>식</v>
          </cell>
          <cell r="G1254">
            <v>1</v>
          </cell>
          <cell r="I1254">
            <v>154800</v>
          </cell>
          <cell r="K1254">
            <v>0</v>
          </cell>
          <cell r="M1254">
            <v>0</v>
          </cell>
          <cell r="O1254">
            <v>154800</v>
          </cell>
          <cell r="P1254" t="str">
            <v>전5-46(나)</v>
          </cell>
        </row>
        <row r="1256">
          <cell r="D1256" t="str">
            <v>와이어로프 신설</v>
          </cell>
          <cell r="E1256" t="str">
            <v>부착대11m</v>
          </cell>
          <cell r="F1256" t="str">
            <v>식</v>
          </cell>
          <cell r="G1256">
            <v>1</v>
          </cell>
        </row>
        <row r="1258">
          <cell r="B1258" t="str">
            <v>턴버클(STS304)1/2"×6", Hook&amp;Eye</v>
          </cell>
          <cell r="C1258" t="str">
            <v>재료비</v>
          </cell>
          <cell r="D1258" t="str">
            <v>턴버클(STS304)</v>
          </cell>
          <cell r="E1258" t="str">
            <v>1/2"×6", Hook&amp;Eye</v>
          </cell>
          <cell r="F1258" t="str">
            <v>EA</v>
          </cell>
          <cell r="G1258">
            <v>3</v>
          </cell>
          <cell r="H1258">
            <v>23400</v>
          </cell>
          <cell r="I1258">
            <v>70200</v>
          </cell>
          <cell r="J1258">
            <v>0</v>
          </cell>
          <cell r="L1258">
            <v>0</v>
          </cell>
          <cell r="N1258">
            <v>23400</v>
          </cell>
          <cell r="O1258">
            <v>70200</v>
          </cell>
        </row>
        <row r="1259">
          <cell r="B1259" t="str">
            <v>와이어로프(STS304)6mm</v>
          </cell>
          <cell r="D1259" t="str">
            <v>와이어로프(STS304)</v>
          </cell>
          <cell r="E1259" t="str">
            <v>6mm</v>
          </cell>
          <cell r="F1259" t="str">
            <v>m</v>
          </cell>
          <cell r="G1259">
            <v>25.6</v>
          </cell>
          <cell r="H1259">
            <v>2100</v>
          </cell>
          <cell r="I1259">
            <v>53760</v>
          </cell>
          <cell r="J1259">
            <v>0</v>
          </cell>
          <cell r="L1259">
            <v>0</v>
          </cell>
          <cell r="N1259">
            <v>2100</v>
          </cell>
          <cell r="O1259">
            <v>53760</v>
          </cell>
        </row>
        <row r="1260">
          <cell r="B1260" t="str">
            <v>스텐크립(STS304)6mm</v>
          </cell>
          <cell r="D1260" t="str">
            <v>스텐크립(STS304)</v>
          </cell>
          <cell r="E1260" t="str">
            <v>6mm</v>
          </cell>
          <cell r="F1260" t="str">
            <v>EA</v>
          </cell>
          <cell r="G1260">
            <v>12</v>
          </cell>
          <cell r="H1260">
            <v>2570</v>
          </cell>
          <cell r="I1260">
            <v>30840</v>
          </cell>
          <cell r="J1260">
            <v>0</v>
          </cell>
          <cell r="L1260">
            <v>0</v>
          </cell>
          <cell r="N1260">
            <v>2570</v>
          </cell>
          <cell r="O1260">
            <v>30840</v>
          </cell>
        </row>
        <row r="1262">
          <cell r="A1262">
            <v>87</v>
          </cell>
          <cell r="B1262">
            <v>3</v>
          </cell>
          <cell r="C1262" t="str">
            <v>제87호표</v>
          </cell>
          <cell r="D1262" t="str">
            <v>와이어로프 신설</v>
          </cell>
          <cell r="E1262" t="str">
            <v>부착대9m</v>
          </cell>
          <cell r="F1262" t="str">
            <v>식</v>
          </cell>
          <cell r="G1262">
            <v>1</v>
          </cell>
          <cell r="I1262">
            <v>143250</v>
          </cell>
          <cell r="K1262">
            <v>0</v>
          </cell>
          <cell r="M1262">
            <v>0</v>
          </cell>
          <cell r="O1262">
            <v>143250</v>
          </cell>
          <cell r="P1262" t="str">
            <v>전5-46(나)</v>
          </cell>
        </row>
        <row r="1264">
          <cell r="D1264" t="str">
            <v>와이어로프 신설</v>
          </cell>
          <cell r="E1264" t="str">
            <v>부착대9m</v>
          </cell>
          <cell r="F1264" t="str">
            <v>식</v>
          </cell>
          <cell r="G1264">
            <v>1</v>
          </cell>
        </row>
        <row r="1265">
          <cell r="B1265" t="str">
            <v>턴버클(STS304)1/2"×6", Hook&amp;Eye</v>
          </cell>
          <cell r="C1265" t="str">
            <v>재료비</v>
          </cell>
          <cell r="D1265" t="str">
            <v>턴버클(STS304)</v>
          </cell>
          <cell r="E1265" t="str">
            <v>1/2"×6", Hook&amp;Eye</v>
          </cell>
          <cell r="F1265" t="str">
            <v>EA</v>
          </cell>
          <cell r="G1265">
            <v>3</v>
          </cell>
          <cell r="H1265">
            <v>23400</v>
          </cell>
          <cell r="I1265">
            <v>70200</v>
          </cell>
          <cell r="J1265">
            <v>0</v>
          </cell>
          <cell r="L1265">
            <v>0</v>
          </cell>
          <cell r="N1265">
            <v>23400</v>
          </cell>
          <cell r="O1265">
            <v>70200</v>
          </cell>
        </row>
        <row r="1266">
          <cell r="B1266" t="str">
            <v>와이어로프(STS304)6mm</v>
          </cell>
          <cell r="D1266" t="str">
            <v>와이어로프(STS304)</v>
          </cell>
          <cell r="E1266" t="str">
            <v>6mm</v>
          </cell>
          <cell r="F1266" t="str">
            <v>m</v>
          </cell>
          <cell r="G1266">
            <v>20.100000000000001</v>
          </cell>
          <cell r="H1266">
            <v>2100</v>
          </cell>
          <cell r="I1266">
            <v>42210</v>
          </cell>
          <cell r="J1266">
            <v>0</v>
          </cell>
          <cell r="L1266">
            <v>0</v>
          </cell>
          <cell r="N1266">
            <v>2100</v>
          </cell>
          <cell r="O1266">
            <v>42210</v>
          </cell>
        </row>
        <row r="1267">
          <cell r="B1267" t="str">
            <v>스텐크립(STS304)6mm</v>
          </cell>
          <cell r="D1267" t="str">
            <v>스텐크립(STS304)</v>
          </cell>
          <cell r="E1267" t="str">
            <v>6mm</v>
          </cell>
          <cell r="F1267" t="str">
            <v>EA</v>
          </cell>
          <cell r="G1267">
            <v>12</v>
          </cell>
          <cell r="H1267">
            <v>2570</v>
          </cell>
          <cell r="I1267">
            <v>30840</v>
          </cell>
          <cell r="J1267">
            <v>0</v>
          </cell>
          <cell r="L1267">
            <v>0</v>
          </cell>
          <cell r="N1267">
            <v>2570</v>
          </cell>
          <cell r="O1267">
            <v>30840</v>
          </cell>
        </row>
        <row r="1269">
          <cell r="A1269">
            <v>88</v>
          </cell>
          <cell r="B1269">
            <v>3</v>
          </cell>
          <cell r="C1269" t="str">
            <v>제88호표</v>
          </cell>
          <cell r="D1269" t="str">
            <v>와이어로프 신설</v>
          </cell>
          <cell r="E1269" t="str">
            <v>부착대7m</v>
          </cell>
          <cell r="F1269" t="str">
            <v>식</v>
          </cell>
          <cell r="G1269">
            <v>1</v>
          </cell>
          <cell r="I1269">
            <v>94240</v>
          </cell>
          <cell r="K1269">
            <v>0</v>
          </cell>
          <cell r="M1269">
            <v>0</v>
          </cell>
          <cell r="O1269">
            <v>94240</v>
          </cell>
          <cell r="P1269" t="str">
            <v>전5-46(나)</v>
          </cell>
        </row>
        <row r="1271">
          <cell r="D1271" t="str">
            <v>와이어로프 신설</v>
          </cell>
          <cell r="E1271" t="str">
            <v>부착대7m</v>
          </cell>
          <cell r="F1271" t="str">
            <v>식</v>
          </cell>
          <cell r="G1271">
            <v>1</v>
          </cell>
        </row>
        <row r="1272">
          <cell r="B1272" t="str">
            <v>턴버클(STS304)1/2"×6", Hook&amp;Eye</v>
          </cell>
          <cell r="C1272" t="str">
            <v>재료비</v>
          </cell>
          <cell r="D1272" t="str">
            <v>턴버클(STS304)</v>
          </cell>
          <cell r="E1272" t="str">
            <v>1/2"×6", Hook&amp;Eye</v>
          </cell>
          <cell r="F1272" t="str">
            <v>EA</v>
          </cell>
          <cell r="G1272">
            <v>2</v>
          </cell>
          <cell r="H1272">
            <v>23400</v>
          </cell>
          <cell r="I1272">
            <v>46800</v>
          </cell>
          <cell r="J1272">
            <v>0</v>
          </cell>
          <cell r="L1272">
            <v>0</v>
          </cell>
          <cell r="N1272">
            <v>23400</v>
          </cell>
          <cell r="O1272">
            <v>46800</v>
          </cell>
        </row>
        <row r="1273">
          <cell r="B1273" t="str">
            <v>와이어로프(STS304)6mm</v>
          </cell>
          <cell r="D1273" t="str">
            <v>와이어로프(STS304)</v>
          </cell>
          <cell r="E1273" t="str">
            <v>6mm</v>
          </cell>
          <cell r="F1273" t="str">
            <v>m</v>
          </cell>
          <cell r="G1273">
            <v>12.8</v>
          </cell>
          <cell r="H1273">
            <v>2100</v>
          </cell>
          <cell r="I1273">
            <v>26880</v>
          </cell>
          <cell r="J1273">
            <v>0</v>
          </cell>
          <cell r="L1273">
            <v>0</v>
          </cell>
          <cell r="N1273">
            <v>2100</v>
          </cell>
          <cell r="O1273">
            <v>26880</v>
          </cell>
        </row>
        <row r="1274">
          <cell r="B1274" t="str">
            <v>스텐크립(STS304)6mm</v>
          </cell>
          <cell r="D1274" t="str">
            <v>스텐크립(STS304)</v>
          </cell>
          <cell r="E1274" t="str">
            <v>6mm</v>
          </cell>
          <cell r="F1274" t="str">
            <v>EA</v>
          </cell>
          <cell r="G1274">
            <v>8</v>
          </cell>
          <cell r="H1274">
            <v>2570</v>
          </cell>
          <cell r="I1274">
            <v>20560</v>
          </cell>
          <cell r="J1274">
            <v>0</v>
          </cell>
          <cell r="L1274">
            <v>0</v>
          </cell>
          <cell r="N1274">
            <v>2570</v>
          </cell>
          <cell r="O1274">
            <v>20560</v>
          </cell>
        </row>
        <row r="1276">
          <cell r="A1276">
            <v>89</v>
          </cell>
          <cell r="B1276">
            <v>3</v>
          </cell>
          <cell r="C1276" t="str">
            <v>제89호표</v>
          </cell>
          <cell r="D1276" t="str">
            <v>와이어로프 신설</v>
          </cell>
          <cell r="E1276" t="str">
            <v>부착대5m</v>
          </cell>
          <cell r="F1276" t="str">
            <v>식</v>
          </cell>
          <cell r="G1276">
            <v>1</v>
          </cell>
          <cell r="I1276">
            <v>86281</v>
          </cell>
          <cell r="K1276">
            <v>0</v>
          </cell>
          <cell r="M1276">
            <v>0</v>
          </cell>
          <cell r="O1276">
            <v>86281</v>
          </cell>
          <cell r="P1276" t="str">
            <v>전5-46(나)</v>
          </cell>
        </row>
        <row r="1278">
          <cell r="D1278" t="str">
            <v>와이어로프 신설</v>
          </cell>
          <cell r="E1278" t="str">
            <v>부착대5m</v>
          </cell>
          <cell r="F1278" t="str">
            <v>식</v>
          </cell>
          <cell r="G1278">
            <v>1</v>
          </cell>
        </row>
        <row r="1279">
          <cell r="B1279" t="str">
            <v>턴버클(STS304)1/2"×6", Hook&amp;Eye</v>
          </cell>
          <cell r="C1279" t="str">
            <v>재료비</v>
          </cell>
          <cell r="D1279" t="str">
            <v>턴버클(STS304)</v>
          </cell>
          <cell r="E1279" t="str">
            <v>1/2"×6", Hook&amp;Eye</v>
          </cell>
          <cell r="F1279" t="str">
            <v>EA</v>
          </cell>
          <cell r="G1279">
            <v>2</v>
          </cell>
          <cell r="H1279">
            <v>23400</v>
          </cell>
          <cell r="I1279">
            <v>46800</v>
          </cell>
          <cell r="J1279">
            <v>0</v>
          </cell>
          <cell r="L1279">
            <v>0</v>
          </cell>
          <cell r="N1279">
            <v>23400</v>
          </cell>
          <cell r="O1279">
            <v>46800</v>
          </cell>
        </row>
        <row r="1280">
          <cell r="B1280" t="str">
            <v>와이어로프(STS304)6mm</v>
          </cell>
          <cell r="D1280" t="str">
            <v>와이어로프(STS304)</v>
          </cell>
          <cell r="E1280" t="str">
            <v>6mm</v>
          </cell>
          <cell r="F1280" t="str">
            <v>EA</v>
          </cell>
          <cell r="G1280">
            <v>9.01</v>
          </cell>
          <cell r="H1280">
            <v>2100</v>
          </cell>
          <cell r="I1280">
            <v>18921</v>
          </cell>
          <cell r="J1280">
            <v>0</v>
          </cell>
          <cell r="L1280">
            <v>0</v>
          </cell>
          <cell r="N1280">
            <v>2100</v>
          </cell>
          <cell r="O1280">
            <v>18921</v>
          </cell>
        </row>
        <row r="1281">
          <cell r="B1281" t="str">
            <v>스텐크립(STS304)6mm</v>
          </cell>
          <cell r="D1281" t="str">
            <v>스텐크립(STS304)</v>
          </cell>
          <cell r="E1281" t="str">
            <v>6mm</v>
          </cell>
          <cell r="F1281" t="str">
            <v>EA</v>
          </cell>
          <cell r="G1281">
            <v>8</v>
          </cell>
          <cell r="H1281">
            <v>2570</v>
          </cell>
          <cell r="I1281">
            <v>20560</v>
          </cell>
          <cell r="J1281">
            <v>0</v>
          </cell>
          <cell r="L1281">
            <v>0</v>
          </cell>
          <cell r="N1281">
            <v>2570</v>
          </cell>
          <cell r="O1281">
            <v>20560</v>
          </cell>
        </row>
        <row r="1283">
          <cell r="A1283">
            <v>90</v>
          </cell>
          <cell r="B1283">
            <v>3</v>
          </cell>
          <cell r="C1283" t="str">
            <v>제90호표</v>
          </cell>
          <cell r="D1283" t="str">
            <v>와이어로프 신설</v>
          </cell>
          <cell r="E1283" t="str">
            <v>부착대3m</v>
          </cell>
          <cell r="F1283" t="str">
            <v>식</v>
          </cell>
          <cell r="G1283">
            <v>1</v>
          </cell>
          <cell r="I1283">
            <v>39980</v>
          </cell>
          <cell r="K1283">
            <v>0</v>
          </cell>
          <cell r="M1283">
            <v>0</v>
          </cell>
          <cell r="O1283">
            <v>39980</v>
          </cell>
          <cell r="P1283" t="str">
            <v>전5-46(나)</v>
          </cell>
        </row>
        <row r="1285">
          <cell r="D1285" t="str">
            <v>와이어로프 신설</v>
          </cell>
          <cell r="E1285" t="str">
            <v>부착대3m</v>
          </cell>
          <cell r="F1285" t="str">
            <v>식</v>
          </cell>
          <cell r="G1285">
            <v>1</v>
          </cell>
        </row>
        <row r="1286">
          <cell r="B1286" t="str">
            <v>턴버클(STS304)1/2"×6", Hook&amp;Eye</v>
          </cell>
          <cell r="C1286" t="str">
            <v>재료비</v>
          </cell>
          <cell r="D1286" t="str">
            <v>턴버클(STS304)</v>
          </cell>
          <cell r="E1286" t="str">
            <v>1/2"×6", Hook&amp;Eye</v>
          </cell>
          <cell r="F1286" t="str">
            <v>EA</v>
          </cell>
          <cell r="G1286">
            <v>1</v>
          </cell>
          <cell r="H1286">
            <v>23400</v>
          </cell>
          <cell r="I1286">
            <v>23400</v>
          </cell>
          <cell r="J1286">
            <v>0</v>
          </cell>
          <cell r="L1286">
            <v>0</v>
          </cell>
          <cell r="N1286">
            <v>23400</v>
          </cell>
          <cell r="O1286">
            <v>23400</v>
          </cell>
        </row>
        <row r="1287">
          <cell r="B1287" t="str">
            <v>와이어로프(STS304)6mm</v>
          </cell>
          <cell r="D1287" t="str">
            <v>와이어로프(STS304)</v>
          </cell>
          <cell r="E1287" t="str">
            <v>6mm</v>
          </cell>
          <cell r="F1287" t="str">
            <v>EA</v>
          </cell>
          <cell r="G1287">
            <v>3</v>
          </cell>
          <cell r="H1287">
            <v>2100</v>
          </cell>
          <cell r="I1287">
            <v>6300</v>
          </cell>
          <cell r="J1287">
            <v>0</v>
          </cell>
          <cell r="L1287">
            <v>0</v>
          </cell>
          <cell r="N1287">
            <v>2100</v>
          </cell>
          <cell r="O1287">
            <v>6300</v>
          </cell>
        </row>
        <row r="1288">
          <cell r="B1288" t="str">
            <v>스텐크립(STS304)6mm</v>
          </cell>
          <cell r="D1288" t="str">
            <v>스텐크립(STS304)</v>
          </cell>
          <cell r="E1288" t="str">
            <v>6mm</v>
          </cell>
          <cell r="F1288" t="str">
            <v>EA</v>
          </cell>
          <cell r="G1288">
            <v>4</v>
          </cell>
          <cell r="H1288">
            <v>2570</v>
          </cell>
          <cell r="I1288">
            <v>10280</v>
          </cell>
          <cell r="J1288">
            <v>0</v>
          </cell>
          <cell r="L1288">
            <v>0</v>
          </cell>
          <cell r="N1288">
            <v>2570</v>
          </cell>
          <cell r="O1288">
            <v>10280</v>
          </cell>
        </row>
        <row r="1290">
          <cell r="A1290">
            <v>91</v>
          </cell>
          <cell r="B1290">
            <v>3</v>
          </cell>
          <cell r="C1290" t="str">
            <v>제91호표</v>
          </cell>
          <cell r="D1290" t="str">
            <v>차량신호등 설치(1개)</v>
          </cell>
          <cell r="E1290" t="str">
            <v>1면 1색~1면 4색 LED</v>
          </cell>
          <cell r="F1290" t="str">
            <v>대</v>
          </cell>
          <cell r="G1290">
            <v>1</v>
          </cell>
          <cell r="I1290">
            <v>32000</v>
          </cell>
          <cell r="K1290">
            <v>264425</v>
          </cell>
          <cell r="M1290">
            <v>7395</v>
          </cell>
          <cell r="O1290">
            <v>303820</v>
          </cell>
          <cell r="P1290" t="str">
            <v>전5-46(가)</v>
          </cell>
        </row>
        <row r="1292">
          <cell r="B1292" t="str">
            <v>차량신호등 설치(1개)1면 1색~1면 4색 LED</v>
          </cell>
          <cell r="D1292" t="str">
            <v>차량신호등 설치(1개)</v>
          </cell>
          <cell r="E1292" t="str">
            <v>1면 1색~1면 4색 LED</v>
          </cell>
          <cell r="F1292" t="str">
            <v>대</v>
          </cell>
          <cell r="G1292">
            <v>1</v>
          </cell>
        </row>
        <row r="1293">
          <cell r="B1293" t="str">
            <v>교통신호등1면 1색~1면 4색 LED</v>
          </cell>
          <cell r="C1293" t="str">
            <v>재료비</v>
          </cell>
          <cell r="D1293" t="str">
            <v>교통신호등</v>
          </cell>
          <cell r="E1293" t="str">
            <v>1면 1색~1면 4색 LED</v>
          </cell>
          <cell r="F1293" t="str">
            <v>EA</v>
          </cell>
          <cell r="G1293">
            <v>1</v>
          </cell>
          <cell r="I1293">
            <v>0</v>
          </cell>
          <cell r="J1293">
            <v>0</v>
          </cell>
          <cell r="L1293">
            <v>0</v>
          </cell>
          <cell r="N1293">
            <v>0</v>
          </cell>
          <cell r="O1293">
            <v>0</v>
          </cell>
          <cell r="P1293" t="str">
            <v>관급자재</v>
          </cell>
        </row>
        <row r="1294">
          <cell r="B1294" t="str">
            <v>신호등 보호금구용융도금</v>
          </cell>
          <cell r="D1294" t="str">
            <v>신호등 보호금구</v>
          </cell>
          <cell r="E1294" t="str">
            <v>용융도금</v>
          </cell>
          <cell r="F1294" t="str">
            <v>EA</v>
          </cell>
          <cell r="G1294">
            <v>1</v>
          </cell>
          <cell r="H1294">
            <v>32000</v>
          </cell>
          <cell r="I1294">
            <v>32000</v>
          </cell>
          <cell r="J1294">
            <v>0</v>
          </cell>
          <cell r="L1294">
            <v>0</v>
          </cell>
          <cell r="N1294">
            <v>32000</v>
          </cell>
          <cell r="O1294">
            <v>32000</v>
          </cell>
        </row>
        <row r="1295">
          <cell r="C1295" t="str">
            <v>노무비</v>
          </cell>
          <cell r="D1295" t="str">
            <v>내선전공</v>
          </cell>
          <cell r="E1295" t="str">
            <v>(0.9*1.2)*1.1</v>
          </cell>
          <cell r="F1295" t="str">
            <v>인</v>
          </cell>
          <cell r="G1295">
            <v>1.1880000000000002</v>
          </cell>
          <cell r="I1295">
            <v>0</v>
          </cell>
          <cell r="J1295">
            <v>135106</v>
          </cell>
          <cell r="K1295">
            <v>160505</v>
          </cell>
          <cell r="M1295">
            <v>0</v>
          </cell>
          <cell r="N1295">
            <v>135106</v>
          </cell>
          <cell r="O1295">
            <v>160505</v>
          </cell>
        </row>
        <row r="1296">
          <cell r="D1296" t="str">
            <v>보통인부</v>
          </cell>
          <cell r="E1296" t="str">
            <v>(0.8*1.2)*1.1</v>
          </cell>
          <cell r="F1296" t="str">
            <v>인</v>
          </cell>
          <cell r="G1296">
            <v>1.056</v>
          </cell>
          <cell r="J1296">
            <v>81443</v>
          </cell>
          <cell r="K1296">
            <v>86003</v>
          </cell>
        </row>
        <row r="1297">
          <cell r="D1297" t="str">
            <v>공구손료</v>
          </cell>
          <cell r="E1297" t="str">
            <v>노무비의</v>
          </cell>
          <cell r="F1297" t="str">
            <v>%</v>
          </cell>
          <cell r="G1297">
            <v>3</v>
          </cell>
          <cell r="L1297">
            <v>246508</v>
          </cell>
          <cell r="M1297">
            <v>7395</v>
          </cell>
          <cell r="N1297">
            <v>246508</v>
          </cell>
          <cell r="O1297">
            <v>7395</v>
          </cell>
        </row>
        <row r="1298">
          <cell r="C1298" t="str">
            <v>도로교통정리</v>
          </cell>
          <cell r="D1298" t="str">
            <v>보통인부</v>
          </cell>
          <cell r="E1298" t="str">
            <v>0.2*1.1</v>
          </cell>
          <cell r="F1298" t="str">
            <v>인</v>
          </cell>
          <cell r="G1298">
            <v>0.22000000000000003</v>
          </cell>
          <cell r="I1298">
            <v>0</v>
          </cell>
          <cell r="J1298">
            <v>81443</v>
          </cell>
          <cell r="K1298">
            <v>17917</v>
          </cell>
          <cell r="M1298">
            <v>0</v>
          </cell>
          <cell r="N1298">
            <v>81443</v>
          </cell>
          <cell r="O1298">
            <v>17917</v>
          </cell>
        </row>
        <row r="1302">
          <cell r="A1302">
            <v>92</v>
          </cell>
          <cell r="B1302">
            <v>3</v>
          </cell>
          <cell r="C1302" t="str">
            <v>제92호표</v>
          </cell>
          <cell r="D1302" t="str">
            <v>보행신호등 신설</v>
          </cell>
          <cell r="E1302" t="str">
            <v>1면 2색 LED</v>
          </cell>
          <cell r="F1302" t="str">
            <v>EA</v>
          </cell>
          <cell r="G1302">
            <v>1</v>
          </cell>
          <cell r="I1302">
            <v>35000</v>
          </cell>
          <cell r="K1302">
            <v>80418</v>
          </cell>
          <cell r="M1302">
            <v>1875</v>
          </cell>
          <cell r="O1302">
            <v>117293</v>
          </cell>
          <cell r="P1302" t="str">
            <v>전5-46(가)</v>
          </cell>
        </row>
        <row r="1304">
          <cell r="D1304" t="str">
            <v>보행신호등 신설</v>
          </cell>
          <cell r="E1304" t="str">
            <v>1면 2색 LED</v>
          </cell>
        </row>
        <row r="1306">
          <cell r="B1306" t="str">
            <v>보행신호등1면 2색 LED</v>
          </cell>
          <cell r="C1306" t="str">
            <v>재료비</v>
          </cell>
          <cell r="D1306" t="str">
            <v>보행신호등</v>
          </cell>
          <cell r="E1306" t="str">
            <v>1면 2색 LED</v>
          </cell>
          <cell r="F1306" t="str">
            <v>EA</v>
          </cell>
          <cell r="G1306">
            <v>1</v>
          </cell>
          <cell r="I1306">
            <v>0</v>
          </cell>
          <cell r="J1306">
            <v>0</v>
          </cell>
          <cell r="L1306">
            <v>0</v>
          </cell>
          <cell r="N1306">
            <v>0</v>
          </cell>
          <cell r="O1306">
            <v>0</v>
          </cell>
          <cell r="P1306" t="str">
            <v>관급자재</v>
          </cell>
        </row>
        <row r="1307">
          <cell r="B1307" t="str">
            <v>보행등 보호금구용융도금</v>
          </cell>
          <cell r="D1307" t="str">
            <v>보행등 보호금구</v>
          </cell>
          <cell r="E1307" t="str">
            <v>용융도금</v>
          </cell>
          <cell r="F1307" t="str">
            <v>EA</v>
          </cell>
          <cell r="G1307">
            <v>1</v>
          </cell>
          <cell r="H1307">
            <v>35000</v>
          </cell>
          <cell r="I1307">
            <v>35000</v>
          </cell>
          <cell r="J1307">
            <v>0</v>
          </cell>
          <cell r="L1307">
            <v>0</v>
          </cell>
          <cell r="N1307">
            <v>35000</v>
          </cell>
          <cell r="O1307">
            <v>35000</v>
          </cell>
        </row>
        <row r="1309">
          <cell r="C1309" t="str">
            <v>노무비</v>
          </cell>
          <cell r="D1309" t="str">
            <v>내선전공</v>
          </cell>
          <cell r="E1309" t="str">
            <v>0.3*1.1</v>
          </cell>
          <cell r="F1309" t="str">
            <v>인</v>
          </cell>
          <cell r="G1309">
            <v>0.33</v>
          </cell>
          <cell r="J1309">
            <v>135106</v>
          </cell>
          <cell r="K1309">
            <v>44584</v>
          </cell>
          <cell r="M1309">
            <v>0</v>
          </cell>
          <cell r="N1309">
            <v>135106</v>
          </cell>
          <cell r="O1309">
            <v>44584</v>
          </cell>
        </row>
        <row r="1310">
          <cell r="D1310" t="str">
            <v>보통인부</v>
          </cell>
          <cell r="E1310" t="str">
            <v>0.2*1.1</v>
          </cell>
          <cell r="F1310" t="str">
            <v>인</v>
          </cell>
          <cell r="G1310">
            <v>0.22000000000000003</v>
          </cell>
          <cell r="J1310">
            <v>81443</v>
          </cell>
          <cell r="K1310">
            <v>17917</v>
          </cell>
        </row>
        <row r="1311">
          <cell r="D1311" t="str">
            <v>공구손료</v>
          </cell>
          <cell r="E1311" t="str">
            <v>노무비의</v>
          </cell>
          <cell r="F1311" t="str">
            <v>%</v>
          </cell>
          <cell r="G1311">
            <v>3</v>
          </cell>
          <cell r="L1311">
            <v>62501</v>
          </cell>
          <cell r="M1311">
            <v>1875</v>
          </cell>
          <cell r="N1311">
            <v>62501</v>
          </cell>
          <cell r="O1311">
            <v>1875</v>
          </cell>
        </row>
        <row r="1312">
          <cell r="C1312" t="str">
            <v>도로교통정리</v>
          </cell>
          <cell r="D1312" t="str">
            <v>보통인부</v>
          </cell>
          <cell r="E1312" t="str">
            <v>0.2*1.1</v>
          </cell>
          <cell r="F1312" t="str">
            <v>인</v>
          </cell>
          <cell r="G1312">
            <v>0.22000000000000003</v>
          </cell>
          <cell r="I1312">
            <v>0</v>
          </cell>
          <cell r="J1312">
            <v>81443</v>
          </cell>
          <cell r="K1312">
            <v>17917</v>
          </cell>
          <cell r="M1312">
            <v>0</v>
          </cell>
          <cell r="N1312">
            <v>81443</v>
          </cell>
          <cell r="O1312">
            <v>17917</v>
          </cell>
        </row>
        <row r="1314">
          <cell r="A1314">
            <v>93</v>
          </cell>
          <cell r="B1314">
            <v>3</v>
          </cell>
          <cell r="C1314" t="str">
            <v>제93호표</v>
          </cell>
          <cell r="D1314" t="str">
            <v>보행자잔여표시기 신설</v>
          </cell>
          <cell r="E1314" t="str">
            <v>고휘도LED(경찰청규격)</v>
          </cell>
          <cell r="F1314" t="str">
            <v>개</v>
          </cell>
          <cell r="G1314">
            <v>1</v>
          </cell>
          <cell r="I1314">
            <v>0</v>
          </cell>
          <cell r="K1314">
            <v>62501</v>
          </cell>
          <cell r="M1314">
            <v>1875</v>
          </cell>
          <cell r="O1314">
            <v>64376</v>
          </cell>
          <cell r="P1314" t="str">
            <v>전5-46</v>
          </cell>
        </row>
        <row r="1315">
          <cell r="D1315" t="str">
            <v>보행자잔여표시기 신설</v>
          </cell>
          <cell r="E1315" t="str">
            <v>고휘도LED(경찰청규격)</v>
          </cell>
        </row>
        <row r="1317">
          <cell r="B1317" t="str">
            <v>보행자잔여표시기고휘도LED(경찰청규격)</v>
          </cell>
          <cell r="C1317" t="str">
            <v>재료비</v>
          </cell>
          <cell r="D1317" t="str">
            <v>보행자잔여표시기</v>
          </cell>
          <cell r="E1317" t="str">
            <v>고휘도LED(경찰청규격)</v>
          </cell>
          <cell r="F1317" t="str">
            <v>개</v>
          </cell>
          <cell r="G1317">
            <v>1</v>
          </cell>
          <cell r="J1317">
            <v>0</v>
          </cell>
          <cell r="L1317">
            <v>0</v>
          </cell>
          <cell r="N1317">
            <v>0</v>
          </cell>
          <cell r="O1317">
            <v>0</v>
          </cell>
          <cell r="P1317" t="str">
            <v>관급자재</v>
          </cell>
        </row>
        <row r="1319">
          <cell r="C1319" t="str">
            <v>노무비</v>
          </cell>
          <cell r="D1319" t="str">
            <v>내선전공</v>
          </cell>
          <cell r="E1319" t="str">
            <v>0.3*1.1</v>
          </cell>
          <cell r="F1319" t="str">
            <v>인</v>
          </cell>
          <cell r="G1319">
            <v>0.33</v>
          </cell>
          <cell r="J1319">
            <v>135106</v>
          </cell>
          <cell r="K1319">
            <v>44584</v>
          </cell>
          <cell r="N1319">
            <v>135106</v>
          </cell>
          <cell r="O1319">
            <v>44584</v>
          </cell>
          <cell r="P1319">
            <v>0</v>
          </cell>
        </row>
        <row r="1320">
          <cell r="D1320" t="str">
            <v>보통인부</v>
          </cell>
          <cell r="E1320" t="str">
            <v>0.2*1.1</v>
          </cell>
          <cell r="F1320" t="str">
            <v>인</v>
          </cell>
          <cell r="G1320">
            <v>0.22000000000000003</v>
          </cell>
          <cell r="J1320">
            <v>81443</v>
          </cell>
          <cell r="K1320">
            <v>17917</v>
          </cell>
          <cell r="N1320">
            <v>81443</v>
          </cell>
          <cell r="O1320">
            <v>17917</v>
          </cell>
          <cell r="P1320">
            <v>0</v>
          </cell>
        </row>
        <row r="1321">
          <cell r="D1321" t="str">
            <v>공구손료</v>
          </cell>
          <cell r="E1321" t="str">
            <v>노무비의</v>
          </cell>
          <cell r="F1321" t="str">
            <v>%</v>
          </cell>
          <cell r="G1321">
            <v>3</v>
          </cell>
          <cell r="L1321">
            <v>62501</v>
          </cell>
          <cell r="M1321">
            <v>1875</v>
          </cell>
          <cell r="N1321">
            <v>62501</v>
          </cell>
          <cell r="O1321">
            <v>1875</v>
          </cell>
        </row>
        <row r="1323">
          <cell r="A1323">
            <v>94</v>
          </cell>
          <cell r="B1323">
            <v>3</v>
          </cell>
          <cell r="C1323" t="str">
            <v>제94호표</v>
          </cell>
          <cell r="D1323" t="str">
            <v>경보등제어기 신설</v>
          </cell>
          <cell r="E1323" t="str">
            <v>경찰청규격</v>
          </cell>
          <cell r="F1323" t="str">
            <v>대</v>
          </cell>
          <cell r="G1323">
            <v>1</v>
          </cell>
          <cell r="I1323">
            <v>200000</v>
          </cell>
          <cell r="K1323">
            <v>49163</v>
          </cell>
          <cell r="M1323">
            <v>1474</v>
          </cell>
          <cell r="O1323">
            <v>250637</v>
          </cell>
          <cell r="P1323" t="str">
            <v>전6-2</v>
          </cell>
        </row>
        <row r="1324">
          <cell r="D1324" t="str">
            <v>경보등제어기 신설</v>
          </cell>
          <cell r="E1324" t="str">
            <v>경찰청규격</v>
          </cell>
        </row>
        <row r="1326">
          <cell r="B1326" t="str">
            <v>경보등제어기경찰청규격</v>
          </cell>
          <cell r="C1326" t="str">
            <v>재료비</v>
          </cell>
          <cell r="D1326" t="str">
            <v>경보등제어기</v>
          </cell>
          <cell r="E1326" t="str">
            <v>경찰청규격</v>
          </cell>
          <cell r="F1326" t="str">
            <v>개</v>
          </cell>
          <cell r="G1326">
            <v>1</v>
          </cell>
          <cell r="H1326">
            <v>200000</v>
          </cell>
          <cell r="I1326">
            <v>200000</v>
          </cell>
          <cell r="J1326">
            <v>0</v>
          </cell>
          <cell r="L1326">
            <v>0</v>
          </cell>
          <cell r="N1326">
            <v>200000</v>
          </cell>
          <cell r="O1326">
            <v>200000</v>
          </cell>
        </row>
        <row r="1328">
          <cell r="C1328" t="str">
            <v>노무비</v>
          </cell>
          <cell r="D1328" t="str">
            <v>계장공</v>
          </cell>
          <cell r="E1328" t="str">
            <v>0.3*1.1</v>
          </cell>
          <cell r="F1328" t="str">
            <v>인</v>
          </cell>
          <cell r="G1328">
            <v>0.33</v>
          </cell>
          <cell r="J1328">
            <v>148981</v>
          </cell>
          <cell r="K1328">
            <v>49163</v>
          </cell>
          <cell r="N1328">
            <v>148981</v>
          </cell>
          <cell r="O1328">
            <v>49163</v>
          </cell>
          <cell r="P1328">
            <v>0</v>
          </cell>
        </row>
        <row r="1329">
          <cell r="D1329" t="str">
            <v>공구손료</v>
          </cell>
          <cell r="E1329" t="str">
            <v>노무비의</v>
          </cell>
          <cell r="F1329" t="str">
            <v>%</v>
          </cell>
          <cell r="G1329">
            <v>3</v>
          </cell>
          <cell r="L1329">
            <v>49163</v>
          </cell>
          <cell r="M1329">
            <v>1474</v>
          </cell>
          <cell r="N1329">
            <v>49163</v>
          </cell>
          <cell r="O1329">
            <v>1474</v>
          </cell>
        </row>
        <row r="1331">
          <cell r="A1331">
            <v>95</v>
          </cell>
          <cell r="B1331">
            <v>3</v>
          </cell>
          <cell r="C1331" t="str">
            <v>제95호표</v>
          </cell>
          <cell r="D1331" t="str">
            <v>시각장애인용 음향신호기 신설</v>
          </cell>
          <cell r="E1331" t="str">
            <v>경찰청 규격품(스텐함)</v>
          </cell>
          <cell r="F1331" t="str">
            <v>대</v>
          </cell>
          <cell r="G1331">
            <v>1</v>
          </cell>
          <cell r="I1331">
            <v>0</v>
          </cell>
          <cell r="K1331">
            <v>62501</v>
          </cell>
          <cell r="M1331">
            <v>1875</v>
          </cell>
          <cell r="O1331">
            <v>64376</v>
          </cell>
          <cell r="P1331" t="str">
            <v>전5-46</v>
          </cell>
        </row>
        <row r="1332">
          <cell r="D1332" t="str">
            <v>시각장애인용 음향신호기 신설</v>
          </cell>
          <cell r="E1332" t="str">
            <v>경찰청 규격품(스텐함)</v>
          </cell>
        </row>
        <row r="1334">
          <cell r="B1334" t="str">
            <v>음향신호기경찰청 규격품</v>
          </cell>
          <cell r="C1334" t="str">
            <v>재료비</v>
          </cell>
          <cell r="D1334" t="str">
            <v>음향신호기</v>
          </cell>
          <cell r="E1334" t="str">
            <v>경찰청 규격품</v>
          </cell>
          <cell r="F1334" t="str">
            <v>개</v>
          </cell>
          <cell r="G1334">
            <v>1</v>
          </cell>
          <cell r="I1334">
            <v>0</v>
          </cell>
          <cell r="J1334">
            <v>0</v>
          </cell>
          <cell r="L1334">
            <v>0</v>
          </cell>
          <cell r="N1334">
            <v>0</v>
          </cell>
          <cell r="O1334">
            <v>0</v>
          </cell>
        </row>
        <row r="1335">
          <cell r="B1335" t="str">
            <v>음향신호기 버튼스위치경찰청 규격품(스텐함)</v>
          </cell>
          <cell r="D1335" t="str">
            <v>음향신호기 버튼스위치</v>
          </cell>
          <cell r="E1335" t="str">
            <v>경찰청 규격품(스텐함)</v>
          </cell>
          <cell r="F1335" t="str">
            <v>개</v>
          </cell>
          <cell r="G1335">
            <v>1</v>
          </cell>
          <cell r="I1335">
            <v>0</v>
          </cell>
          <cell r="J1335">
            <v>0</v>
          </cell>
          <cell r="L1335">
            <v>0</v>
          </cell>
          <cell r="N1335">
            <v>0</v>
          </cell>
          <cell r="O1335">
            <v>0</v>
          </cell>
        </row>
        <row r="1337">
          <cell r="C1337" t="str">
            <v>노무비</v>
          </cell>
          <cell r="D1337" t="str">
            <v>내선전공</v>
          </cell>
          <cell r="E1337" t="str">
            <v>0.3*1.1</v>
          </cell>
          <cell r="F1337" t="str">
            <v>인</v>
          </cell>
          <cell r="G1337">
            <v>0.33</v>
          </cell>
          <cell r="J1337">
            <v>135106</v>
          </cell>
          <cell r="K1337">
            <v>44584</v>
          </cell>
          <cell r="N1337">
            <v>135106</v>
          </cell>
          <cell r="O1337">
            <v>44584</v>
          </cell>
          <cell r="P1337">
            <v>0</v>
          </cell>
        </row>
        <row r="1338">
          <cell r="D1338" t="str">
            <v>보통인부</v>
          </cell>
          <cell r="E1338" t="str">
            <v>0.2*1.1</v>
          </cell>
          <cell r="F1338" t="str">
            <v>인</v>
          </cell>
          <cell r="G1338">
            <v>0.22000000000000003</v>
          </cell>
          <cell r="J1338">
            <v>81443</v>
          </cell>
          <cell r="K1338">
            <v>17917</v>
          </cell>
          <cell r="N1338">
            <v>81443</v>
          </cell>
          <cell r="O1338">
            <v>17917</v>
          </cell>
        </row>
        <row r="1339">
          <cell r="D1339" t="str">
            <v>공구손료</v>
          </cell>
          <cell r="E1339" t="str">
            <v>노무비의</v>
          </cell>
          <cell r="F1339" t="str">
            <v>%</v>
          </cell>
          <cell r="G1339">
            <v>3</v>
          </cell>
          <cell r="L1339">
            <v>62501</v>
          </cell>
          <cell r="M1339">
            <v>1875</v>
          </cell>
          <cell r="N1339">
            <v>62501</v>
          </cell>
          <cell r="O1339">
            <v>1875</v>
          </cell>
        </row>
        <row r="1341">
          <cell r="A1341">
            <v>96</v>
          </cell>
          <cell r="B1341">
            <v>3</v>
          </cell>
          <cell r="C1341" t="str">
            <v>제96호표</v>
          </cell>
          <cell r="D1341" t="str">
            <v>교통신호제어반(슬림형)설치</v>
          </cell>
          <cell r="E1341" t="str">
            <v>경찰청 규격품</v>
          </cell>
          <cell r="F1341" t="str">
            <v>대</v>
          </cell>
          <cell r="G1341">
            <v>1</v>
          </cell>
          <cell r="I1341">
            <v>0</v>
          </cell>
          <cell r="K1341">
            <v>372166</v>
          </cell>
          <cell r="M1341">
            <v>11164</v>
          </cell>
          <cell r="O1341">
            <v>383330</v>
          </cell>
          <cell r="P1341" t="str">
            <v>전5-46(다)</v>
          </cell>
        </row>
        <row r="1342">
          <cell r="D1342" t="str">
            <v>교통신호제어반(슬림형)설치</v>
          </cell>
          <cell r="E1342" t="str">
            <v>경찰청 규격품</v>
          </cell>
        </row>
        <row r="1344">
          <cell r="B1344" t="str">
            <v>교통신호제어반(슬림형)경찰청 규격품</v>
          </cell>
          <cell r="C1344" t="str">
            <v>재료비</v>
          </cell>
          <cell r="D1344" t="str">
            <v>교통신호제어반(슬림형)</v>
          </cell>
          <cell r="E1344" t="str">
            <v>경찰청 규격품</v>
          </cell>
          <cell r="F1344" t="str">
            <v>대</v>
          </cell>
          <cell r="G1344">
            <v>1</v>
          </cell>
          <cell r="I1344">
            <v>0</v>
          </cell>
          <cell r="M1344">
            <v>0</v>
          </cell>
          <cell r="O1344">
            <v>0</v>
          </cell>
          <cell r="P1344" t="str">
            <v>관급자재</v>
          </cell>
        </row>
        <row r="1346">
          <cell r="C1346" t="str">
            <v>노무비</v>
          </cell>
          <cell r="D1346" t="str">
            <v>내선전공</v>
          </cell>
          <cell r="E1346" t="str">
            <v>1.6*1.1</v>
          </cell>
          <cell r="F1346" t="str">
            <v>인</v>
          </cell>
          <cell r="G1346">
            <v>1.7600000000000002</v>
          </cell>
          <cell r="J1346">
            <v>135106</v>
          </cell>
          <cell r="K1346">
            <v>237786</v>
          </cell>
          <cell r="M1346">
            <v>0</v>
          </cell>
          <cell r="N1346">
            <v>135106</v>
          </cell>
          <cell r="O1346">
            <v>237786</v>
          </cell>
        </row>
        <row r="1347">
          <cell r="D1347" t="str">
            <v>보통인부</v>
          </cell>
          <cell r="E1347" t="str">
            <v>1.5*1.1</v>
          </cell>
          <cell r="F1347" t="str">
            <v>인</v>
          </cell>
          <cell r="G1347">
            <v>1.6500000000000001</v>
          </cell>
          <cell r="J1347">
            <v>81443</v>
          </cell>
          <cell r="K1347">
            <v>134380</v>
          </cell>
          <cell r="M1347">
            <v>0</v>
          </cell>
          <cell r="N1347">
            <v>81443</v>
          </cell>
          <cell r="O1347">
            <v>134380</v>
          </cell>
        </row>
        <row r="1348">
          <cell r="D1348" t="str">
            <v>공구손료</v>
          </cell>
          <cell r="E1348" t="str">
            <v>노무비의</v>
          </cell>
          <cell r="F1348" t="str">
            <v>%</v>
          </cell>
          <cell r="G1348">
            <v>3</v>
          </cell>
          <cell r="L1348">
            <v>372166</v>
          </cell>
          <cell r="M1348">
            <v>11164</v>
          </cell>
          <cell r="N1348">
            <v>372166</v>
          </cell>
          <cell r="O1348">
            <v>11164</v>
          </cell>
        </row>
        <row r="1350">
          <cell r="A1350">
            <v>97</v>
          </cell>
          <cell r="B1350">
            <v>3</v>
          </cell>
          <cell r="C1350" t="str">
            <v>제97호표</v>
          </cell>
          <cell r="D1350" t="str">
            <v>MMI 점검(교체)</v>
          </cell>
          <cell r="E1350" t="str">
            <v>(노임)</v>
          </cell>
          <cell r="F1350" t="str">
            <v>대</v>
          </cell>
          <cell r="G1350">
            <v>1</v>
          </cell>
          <cell r="I1350">
            <v>0</v>
          </cell>
          <cell r="K1350">
            <v>86513</v>
          </cell>
          <cell r="M1350">
            <v>2106</v>
          </cell>
          <cell r="O1350">
            <v>88619</v>
          </cell>
          <cell r="P1350" t="str">
            <v>전5-47-2</v>
          </cell>
        </row>
        <row r="1351">
          <cell r="D1351" t="str">
            <v>MMI 점검(교체)</v>
          </cell>
          <cell r="E1351" t="str">
            <v>(노임)</v>
          </cell>
        </row>
        <row r="1353">
          <cell r="B1353" t="str">
            <v>MMI 경찰청 규격품</v>
          </cell>
          <cell r="C1353" t="str">
            <v>재료비</v>
          </cell>
          <cell r="D1353" t="str">
            <v xml:space="preserve">MMI </v>
          </cell>
          <cell r="E1353" t="str">
            <v>경찰청 규격품</v>
          </cell>
          <cell r="F1353" t="str">
            <v>대</v>
          </cell>
          <cell r="G1353">
            <v>1</v>
          </cell>
          <cell r="I1353">
            <v>0</v>
          </cell>
          <cell r="M1353">
            <v>0</v>
          </cell>
          <cell r="O1353">
            <v>0</v>
          </cell>
          <cell r="P1353" t="str">
            <v>별도계산</v>
          </cell>
        </row>
        <row r="1355">
          <cell r="C1355" t="str">
            <v>노무비</v>
          </cell>
          <cell r="D1355" t="str">
            <v>내선전공</v>
          </cell>
          <cell r="E1355">
            <v>0.25</v>
          </cell>
          <cell r="F1355" t="str">
            <v>인</v>
          </cell>
          <cell r="G1355">
            <v>0.25</v>
          </cell>
          <cell r="J1355">
            <v>135106</v>
          </cell>
          <cell r="K1355">
            <v>33776</v>
          </cell>
          <cell r="M1355">
            <v>0</v>
          </cell>
          <cell r="N1355">
            <v>135106</v>
          </cell>
          <cell r="O1355">
            <v>33776</v>
          </cell>
        </row>
        <row r="1356">
          <cell r="D1356" t="str">
            <v>H/W 시험사</v>
          </cell>
          <cell r="E1356">
            <v>0.19</v>
          </cell>
          <cell r="F1356" t="str">
            <v>인</v>
          </cell>
          <cell r="G1356">
            <v>0.19</v>
          </cell>
          <cell r="J1356">
            <v>191839</v>
          </cell>
          <cell r="K1356">
            <v>36449</v>
          </cell>
          <cell r="M1356">
            <v>0</v>
          </cell>
          <cell r="N1356">
            <v>191839</v>
          </cell>
          <cell r="O1356">
            <v>36449</v>
          </cell>
        </row>
        <row r="1357">
          <cell r="D1357" t="str">
            <v>공구손료</v>
          </cell>
          <cell r="E1357" t="str">
            <v>노무비의</v>
          </cell>
          <cell r="F1357" t="str">
            <v>%</v>
          </cell>
          <cell r="G1357">
            <v>3</v>
          </cell>
          <cell r="L1357">
            <v>70225</v>
          </cell>
          <cell r="M1357">
            <v>2106</v>
          </cell>
          <cell r="N1357">
            <v>70225</v>
          </cell>
          <cell r="O1357">
            <v>2106</v>
          </cell>
        </row>
        <row r="1358">
          <cell r="D1358" t="str">
            <v>보통인부</v>
          </cell>
          <cell r="E1358">
            <v>0.2</v>
          </cell>
          <cell r="F1358" t="str">
            <v>인</v>
          </cell>
          <cell r="G1358">
            <v>0.2</v>
          </cell>
          <cell r="J1358">
            <v>81443</v>
          </cell>
          <cell r="K1358">
            <v>16288</v>
          </cell>
          <cell r="M1358">
            <v>0</v>
          </cell>
          <cell r="N1358">
            <v>81443</v>
          </cell>
          <cell r="O1358">
            <v>16288</v>
          </cell>
          <cell r="P1358" t="str">
            <v>도로정리포함</v>
          </cell>
        </row>
        <row r="1363">
          <cell r="A1363">
            <v>98</v>
          </cell>
          <cell r="B1363">
            <v>3</v>
          </cell>
          <cell r="C1363" t="str">
            <v>제98호표</v>
          </cell>
          <cell r="D1363" t="str">
            <v>CPU 점검(교체)</v>
          </cell>
          <cell r="E1363" t="str">
            <v>(노임)</v>
          </cell>
          <cell r="F1363" t="str">
            <v>대</v>
          </cell>
          <cell r="G1363">
            <v>1</v>
          </cell>
          <cell r="I1363">
            <v>0</v>
          </cell>
          <cell r="K1363">
            <v>90249</v>
          </cell>
          <cell r="M1363">
            <v>2218</v>
          </cell>
          <cell r="O1363">
            <v>92467</v>
          </cell>
          <cell r="P1363" t="str">
            <v>전5-47-2</v>
          </cell>
        </row>
        <row r="1364">
          <cell r="D1364" t="str">
            <v>CPU 점검(교체)</v>
          </cell>
          <cell r="E1364" t="str">
            <v>(노임)</v>
          </cell>
        </row>
        <row r="1366">
          <cell r="B1366" t="str">
            <v>CPU경찰청 규격품</v>
          </cell>
          <cell r="C1366" t="str">
            <v>재료비</v>
          </cell>
          <cell r="D1366" t="str">
            <v>CPU</v>
          </cell>
          <cell r="E1366" t="str">
            <v>경찰청 규격품</v>
          </cell>
          <cell r="F1366" t="str">
            <v>대</v>
          </cell>
          <cell r="G1366">
            <v>1</v>
          </cell>
          <cell r="I1366">
            <v>0</v>
          </cell>
          <cell r="M1366">
            <v>0</v>
          </cell>
          <cell r="O1366">
            <v>0</v>
          </cell>
          <cell r="P1366" t="str">
            <v>별도계산</v>
          </cell>
        </row>
        <row r="1367">
          <cell r="C1367" t="str">
            <v>노무비</v>
          </cell>
          <cell r="D1367" t="str">
            <v>내선전공</v>
          </cell>
          <cell r="E1367">
            <v>0.25</v>
          </cell>
          <cell r="F1367" t="str">
            <v>인</v>
          </cell>
          <cell r="G1367">
            <v>0.25</v>
          </cell>
          <cell r="J1367">
            <v>135106</v>
          </cell>
          <cell r="K1367">
            <v>33776</v>
          </cell>
          <cell r="M1367">
            <v>0</v>
          </cell>
          <cell r="N1367">
            <v>135106</v>
          </cell>
          <cell r="O1367">
            <v>33776</v>
          </cell>
        </row>
        <row r="1368">
          <cell r="D1368" t="str">
            <v>S/W 시험사</v>
          </cell>
          <cell r="E1368">
            <v>0.19</v>
          </cell>
          <cell r="F1368" t="str">
            <v>인</v>
          </cell>
          <cell r="G1368">
            <v>0.19</v>
          </cell>
          <cell r="J1368">
            <v>211502</v>
          </cell>
          <cell r="K1368">
            <v>40185</v>
          </cell>
          <cell r="M1368">
            <v>0</v>
          </cell>
          <cell r="N1368">
            <v>211502</v>
          </cell>
          <cell r="O1368">
            <v>40185</v>
          </cell>
        </row>
        <row r="1369">
          <cell r="D1369" t="str">
            <v>공구손료</v>
          </cell>
          <cell r="E1369" t="str">
            <v>노무비의</v>
          </cell>
          <cell r="F1369" t="str">
            <v>%</v>
          </cell>
          <cell r="G1369">
            <v>3</v>
          </cell>
          <cell r="L1369">
            <v>73961</v>
          </cell>
          <cell r="M1369">
            <v>2218</v>
          </cell>
          <cell r="N1369">
            <v>73961</v>
          </cell>
          <cell r="O1369">
            <v>2218</v>
          </cell>
        </row>
        <row r="1370">
          <cell r="D1370" t="str">
            <v>보통인부</v>
          </cell>
          <cell r="E1370">
            <v>0.2</v>
          </cell>
          <cell r="F1370" t="str">
            <v>인</v>
          </cell>
          <cell r="G1370">
            <v>0.2</v>
          </cell>
          <cell r="J1370">
            <v>81443</v>
          </cell>
          <cell r="K1370">
            <v>16288</v>
          </cell>
          <cell r="M1370">
            <v>0</v>
          </cell>
          <cell r="N1370">
            <v>81443</v>
          </cell>
          <cell r="O1370">
            <v>16288</v>
          </cell>
          <cell r="P1370" t="str">
            <v>도로정리포함</v>
          </cell>
        </row>
        <row r="1372">
          <cell r="A1372">
            <v>99</v>
          </cell>
          <cell r="B1372">
            <v>3</v>
          </cell>
          <cell r="C1372" t="str">
            <v>제99호표</v>
          </cell>
          <cell r="D1372" t="str">
            <v>SCU 점거(교체)</v>
          </cell>
          <cell r="E1372" t="str">
            <v>(노임)</v>
          </cell>
          <cell r="F1372" t="str">
            <v>대</v>
          </cell>
          <cell r="G1372">
            <v>1</v>
          </cell>
          <cell r="I1372">
            <v>0</v>
          </cell>
          <cell r="K1372">
            <v>40831</v>
          </cell>
          <cell r="M1372">
            <v>736</v>
          </cell>
          <cell r="O1372">
            <v>41567</v>
          </cell>
          <cell r="P1372" t="str">
            <v>전5-47-2</v>
          </cell>
        </row>
        <row r="1373">
          <cell r="D1373" t="str">
            <v>SCU 점거(교체)</v>
          </cell>
          <cell r="E1373" t="str">
            <v>(노임)</v>
          </cell>
        </row>
        <row r="1374">
          <cell r="B1374" t="str">
            <v>SCU경찰청 규격품</v>
          </cell>
          <cell r="C1374" t="str">
            <v>재료비</v>
          </cell>
          <cell r="D1374" t="str">
            <v>SCU</v>
          </cell>
          <cell r="E1374" t="str">
            <v>경찰청 규격품</v>
          </cell>
          <cell r="F1374" t="str">
            <v>대</v>
          </cell>
          <cell r="G1374">
            <v>1</v>
          </cell>
          <cell r="I1374">
            <v>0</v>
          </cell>
          <cell r="M1374">
            <v>0</v>
          </cell>
          <cell r="O1374">
            <v>0</v>
          </cell>
          <cell r="P1374" t="str">
            <v>별도계산</v>
          </cell>
        </row>
        <row r="1375">
          <cell r="C1375" t="str">
            <v>노무비</v>
          </cell>
          <cell r="D1375" t="str">
            <v>내선전공</v>
          </cell>
          <cell r="E1375">
            <v>0.06</v>
          </cell>
          <cell r="F1375" t="str">
            <v>인</v>
          </cell>
          <cell r="G1375">
            <v>0.06</v>
          </cell>
          <cell r="J1375">
            <v>135106</v>
          </cell>
          <cell r="K1375">
            <v>8106</v>
          </cell>
          <cell r="M1375">
            <v>0</v>
          </cell>
          <cell r="N1375">
            <v>135106</v>
          </cell>
          <cell r="O1375">
            <v>8106</v>
          </cell>
        </row>
        <row r="1376">
          <cell r="D1376" t="str">
            <v>전기공사산업기사</v>
          </cell>
          <cell r="E1376">
            <v>0.13</v>
          </cell>
          <cell r="F1376" t="str">
            <v>인</v>
          </cell>
          <cell r="G1376">
            <v>0.13</v>
          </cell>
          <cell r="J1376">
            <v>126445</v>
          </cell>
          <cell r="K1376">
            <v>16437</v>
          </cell>
          <cell r="M1376">
            <v>0</v>
          </cell>
          <cell r="N1376">
            <v>126445</v>
          </cell>
          <cell r="O1376">
            <v>16437</v>
          </cell>
        </row>
        <row r="1377">
          <cell r="D1377" t="str">
            <v>공구손료</v>
          </cell>
          <cell r="E1377" t="str">
            <v>노무비의</v>
          </cell>
          <cell r="F1377" t="str">
            <v>%</v>
          </cell>
          <cell r="G1377">
            <v>3</v>
          </cell>
          <cell r="L1377">
            <v>24543</v>
          </cell>
          <cell r="M1377">
            <v>736</v>
          </cell>
          <cell r="N1377">
            <v>24543</v>
          </cell>
          <cell r="O1377">
            <v>736</v>
          </cell>
        </row>
        <row r="1378">
          <cell r="D1378" t="str">
            <v>보통인부</v>
          </cell>
          <cell r="E1378">
            <v>0.2</v>
          </cell>
          <cell r="F1378" t="str">
            <v>인</v>
          </cell>
          <cell r="G1378">
            <v>0.2</v>
          </cell>
          <cell r="J1378">
            <v>81443</v>
          </cell>
          <cell r="K1378">
            <v>16288</v>
          </cell>
          <cell r="M1378">
            <v>0</v>
          </cell>
          <cell r="N1378">
            <v>81443</v>
          </cell>
          <cell r="O1378">
            <v>16288</v>
          </cell>
          <cell r="P1378" t="str">
            <v>도로정리포함</v>
          </cell>
        </row>
        <row r="1380">
          <cell r="A1380">
            <v>100</v>
          </cell>
          <cell r="B1380">
            <v>3</v>
          </cell>
          <cell r="C1380" t="str">
            <v>제100호표</v>
          </cell>
          <cell r="D1380" t="str">
            <v>LSU 점검(교체)</v>
          </cell>
          <cell r="E1380" t="str">
            <v>(노임)</v>
          </cell>
          <cell r="F1380" t="str">
            <v>대</v>
          </cell>
          <cell r="G1380">
            <v>1</v>
          </cell>
          <cell r="I1380">
            <v>0</v>
          </cell>
          <cell r="K1380">
            <v>40831</v>
          </cell>
          <cell r="M1380">
            <v>736</v>
          </cell>
          <cell r="O1380">
            <v>41567</v>
          </cell>
          <cell r="P1380" t="str">
            <v>전5-47-2</v>
          </cell>
        </row>
        <row r="1381">
          <cell r="D1381" t="str">
            <v>LSU 점검(교체)</v>
          </cell>
          <cell r="E1381" t="str">
            <v>(노임)</v>
          </cell>
        </row>
        <row r="1382">
          <cell r="B1382" t="str">
            <v>LSU경찰청 규격품</v>
          </cell>
          <cell r="C1382" t="str">
            <v>재료비</v>
          </cell>
          <cell r="D1382" t="str">
            <v>LSU</v>
          </cell>
          <cell r="E1382" t="str">
            <v>경찰청 규격품</v>
          </cell>
          <cell r="F1382" t="str">
            <v>대</v>
          </cell>
          <cell r="G1382">
            <v>1</v>
          </cell>
          <cell r="I1382">
            <v>0</v>
          </cell>
          <cell r="M1382">
            <v>0</v>
          </cell>
          <cell r="O1382">
            <v>0</v>
          </cell>
          <cell r="P1382" t="str">
            <v>별도계산</v>
          </cell>
        </row>
        <row r="1383">
          <cell r="C1383" t="str">
            <v>노무비</v>
          </cell>
          <cell r="D1383" t="str">
            <v>내선전공</v>
          </cell>
          <cell r="E1383">
            <v>0.06</v>
          </cell>
          <cell r="F1383" t="str">
            <v>인</v>
          </cell>
          <cell r="G1383">
            <v>0.06</v>
          </cell>
          <cell r="J1383">
            <v>135106</v>
          </cell>
          <cell r="K1383">
            <v>8106</v>
          </cell>
          <cell r="M1383">
            <v>0</v>
          </cell>
          <cell r="N1383">
            <v>135106</v>
          </cell>
          <cell r="O1383">
            <v>8106</v>
          </cell>
        </row>
        <row r="1384">
          <cell r="D1384" t="str">
            <v>전기공사산업기사</v>
          </cell>
          <cell r="E1384">
            <v>0.13</v>
          </cell>
          <cell r="F1384" t="str">
            <v>인</v>
          </cell>
          <cell r="G1384">
            <v>0.13</v>
          </cell>
          <cell r="J1384">
            <v>126445</v>
          </cell>
          <cell r="K1384">
            <v>16437</v>
          </cell>
          <cell r="M1384">
            <v>0</v>
          </cell>
          <cell r="N1384">
            <v>126445</v>
          </cell>
          <cell r="O1384">
            <v>16437</v>
          </cell>
        </row>
        <row r="1385">
          <cell r="D1385" t="str">
            <v>공구손료</v>
          </cell>
          <cell r="E1385" t="str">
            <v>노무비의</v>
          </cell>
          <cell r="F1385" t="str">
            <v>%</v>
          </cell>
          <cell r="G1385">
            <v>3</v>
          </cell>
          <cell r="L1385">
            <v>24543</v>
          </cell>
          <cell r="M1385">
            <v>736</v>
          </cell>
          <cell r="N1385">
            <v>24543</v>
          </cell>
          <cell r="O1385">
            <v>736</v>
          </cell>
        </row>
        <row r="1386">
          <cell r="D1386" t="str">
            <v>보통인부</v>
          </cell>
          <cell r="E1386">
            <v>0.2</v>
          </cell>
          <cell r="F1386" t="str">
            <v>인</v>
          </cell>
          <cell r="G1386">
            <v>0.2</v>
          </cell>
          <cell r="J1386">
            <v>81443</v>
          </cell>
          <cell r="K1386">
            <v>16288</v>
          </cell>
          <cell r="M1386">
            <v>0</v>
          </cell>
          <cell r="N1386">
            <v>81443</v>
          </cell>
          <cell r="O1386">
            <v>16288</v>
          </cell>
          <cell r="P1386" t="str">
            <v>도로정리포함</v>
          </cell>
        </row>
        <row r="1388">
          <cell r="A1388">
            <v>101</v>
          </cell>
          <cell r="B1388">
            <v>3</v>
          </cell>
          <cell r="C1388" t="str">
            <v>제101호표</v>
          </cell>
          <cell r="D1388" t="str">
            <v>보행자작동지압카드 점검(교체)</v>
          </cell>
          <cell r="E1388" t="str">
            <v>(노임)</v>
          </cell>
          <cell r="F1388" t="str">
            <v>대</v>
          </cell>
          <cell r="G1388">
            <v>1</v>
          </cell>
          <cell r="I1388">
            <v>0</v>
          </cell>
          <cell r="K1388">
            <v>40831</v>
          </cell>
          <cell r="M1388">
            <v>736</v>
          </cell>
          <cell r="O1388">
            <v>41567</v>
          </cell>
          <cell r="P1388" t="str">
            <v>전5-47-2</v>
          </cell>
        </row>
        <row r="1390">
          <cell r="D1390" t="str">
            <v>보행자작동지압카드 점검(교체)</v>
          </cell>
          <cell r="E1390" t="str">
            <v>(노임)</v>
          </cell>
        </row>
        <row r="1392">
          <cell r="B1392" t="str">
            <v>보행자작동지압카드</v>
          </cell>
          <cell r="C1392" t="str">
            <v>재료비</v>
          </cell>
          <cell r="D1392" t="str">
            <v>보행자작동지압카드</v>
          </cell>
          <cell r="F1392" t="str">
            <v>대</v>
          </cell>
          <cell r="G1392">
            <v>1</v>
          </cell>
          <cell r="I1392">
            <v>0</v>
          </cell>
          <cell r="M1392">
            <v>0</v>
          </cell>
          <cell r="O1392">
            <v>0</v>
          </cell>
          <cell r="P1392" t="str">
            <v>별도계산</v>
          </cell>
        </row>
        <row r="1393">
          <cell r="C1393" t="str">
            <v>노무비</v>
          </cell>
          <cell r="D1393" t="str">
            <v>내선전공</v>
          </cell>
          <cell r="E1393">
            <v>0.06</v>
          </cell>
          <cell r="F1393" t="str">
            <v>인</v>
          </cell>
          <cell r="G1393">
            <v>0.06</v>
          </cell>
          <cell r="J1393">
            <v>135106</v>
          </cell>
          <cell r="K1393">
            <v>8106</v>
          </cell>
          <cell r="M1393">
            <v>0</v>
          </cell>
          <cell r="N1393">
            <v>135106</v>
          </cell>
          <cell r="O1393">
            <v>8106</v>
          </cell>
        </row>
        <row r="1394">
          <cell r="D1394" t="str">
            <v>전기공사산업기사</v>
          </cell>
          <cell r="E1394">
            <v>0.13</v>
          </cell>
          <cell r="F1394" t="str">
            <v>인</v>
          </cell>
          <cell r="G1394">
            <v>0.13</v>
          </cell>
          <cell r="J1394">
            <v>126445</v>
          </cell>
          <cell r="K1394">
            <v>16437</v>
          </cell>
          <cell r="M1394">
            <v>0</v>
          </cell>
          <cell r="N1394">
            <v>126445</v>
          </cell>
          <cell r="O1394">
            <v>16437</v>
          </cell>
        </row>
        <row r="1395">
          <cell r="D1395" t="str">
            <v>공구손료</v>
          </cell>
          <cell r="E1395" t="str">
            <v>노무비의</v>
          </cell>
          <cell r="F1395" t="str">
            <v>%</v>
          </cell>
          <cell r="G1395">
            <v>3</v>
          </cell>
          <cell r="L1395">
            <v>24543</v>
          </cell>
          <cell r="M1395">
            <v>736</v>
          </cell>
          <cell r="N1395">
            <v>24543</v>
          </cell>
          <cell r="O1395">
            <v>736</v>
          </cell>
        </row>
        <row r="1396">
          <cell r="D1396" t="str">
            <v>보통인부</v>
          </cell>
          <cell r="E1396">
            <v>0.2</v>
          </cell>
          <cell r="F1396" t="str">
            <v>인</v>
          </cell>
          <cell r="G1396">
            <v>0.2</v>
          </cell>
          <cell r="J1396">
            <v>81443</v>
          </cell>
          <cell r="K1396">
            <v>16288</v>
          </cell>
          <cell r="M1396">
            <v>0</v>
          </cell>
          <cell r="N1396">
            <v>81443</v>
          </cell>
          <cell r="O1396">
            <v>16288</v>
          </cell>
          <cell r="P1396" t="str">
            <v>도로정리포함</v>
          </cell>
        </row>
        <row r="1398">
          <cell r="A1398">
            <v>102</v>
          </cell>
          <cell r="B1398">
            <v>3</v>
          </cell>
          <cell r="C1398" t="str">
            <v>제102호표</v>
          </cell>
          <cell r="D1398" t="str">
            <v>점멸장치유니트 점검(교체)</v>
          </cell>
          <cell r="E1398" t="str">
            <v>(노임)</v>
          </cell>
          <cell r="F1398" t="str">
            <v>대</v>
          </cell>
          <cell r="G1398">
            <v>1</v>
          </cell>
          <cell r="I1398">
            <v>0</v>
          </cell>
          <cell r="K1398">
            <v>18048</v>
          </cell>
          <cell r="M1398">
            <v>541</v>
          </cell>
          <cell r="O1398">
            <v>18589</v>
          </cell>
          <cell r="P1398" t="str">
            <v>전5-47-2</v>
          </cell>
        </row>
        <row r="1400">
          <cell r="D1400" t="str">
            <v>점멸장치유니트 점검(교체)</v>
          </cell>
          <cell r="E1400" t="str">
            <v>(노임)</v>
          </cell>
        </row>
        <row r="1402">
          <cell r="B1402" t="str">
            <v>점멸장치유니트경찰청 규격품</v>
          </cell>
          <cell r="C1402" t="str">
            <v>재료비</v>
          </cell>
          <cell r="D1402" t="str">
            <v>점멸장치유니트</v>
          </cell>
          <cell r="E1402" t="str">
            <v>경찰청 규격품</v>
          </cell>
          <cell r="F1402" t="str">
            <v>대</v>
          </cell>
          <cell r="G1402">
            <v>1</v>
          </cell>
          <cell r="I1402">
            <v>0</v>
          </cell>
          <cell r="M1402">
            <v>0</v>
          </cell>
          <cell r="O1402">
            <v>0</v>
          </cell>
          <cell r="P1402" t="str">
            <v>별도계산</v>
          </cell>
        </row>
        <row r="1404">
          <cell r="C1404" t="str">
            <v>노무비</v>
          </cell>
          <cell r="D1404" t="str">
            <v>내선전공</v>
          </cell>
          <cell r="E1404">
            <v>0.04</v>
          </cell>
          <cell r="F1404" t="str">
            <v>인</v>
          </cell>
          <cell r="G1404">
            <v>0.04</v>
          </cell>
          <cell r="J1404">
            <v>135106</v>
          </cell>
          <cell r="K1404">
            <v>5404</v>
          </cell>
          <cell r="M1404">
            <v>0</v>
          </cell>
          <cell r="N1404">
            <v>135106</v>
          </cell>
          <cell r="O1404">
            <v>5404</v>
          </cell>
        </row>
        <row r="1405">
          <cell r="D1405" t="str">
            <v>전기공사산업기사</v>
          </cell>
          <cell r="E1405">
            <v>0.1</v>
          </cell>
          <cell r="F1405" t="str">
            <v>인</v>
          </cell>
          <cell r="G1405">
            <v>0.1</v>
          </cell>
          <cell r="J1405">
            <v>126445</v>
          </cell>
          <cell r="K1405">
            <v>12644</v>
          </cell>
          <cell r="M1405">
            <v>0</v>
          </cell>
          <cell r="N1405">
            <v>126445</v>
          </cell>
          <cell r="O1405">
            <v>12644</v>
          </cell>
        </row>
        <row r="1406">
          <cell r="D1406" t="str">
            <v>공구손료</v>
          </cell>
          <cell r="E1406" t="str">
            <v>노무비의</v>
          </cell>
          <cell r="F1406" t="str">
            <v>%</v>
          </cell>
          <cell r="G1406">
            <v>3</v>
          </cell>
          <cell r="L1406">
            <v>18048</v>
          </cell>
          <cell r="M1406">
            <v>541</v>
          </cell>
          <cell r="N1406">
            <v>18048</v>
          </cell>
          <cell r="O1406">
            <v>541</v>
          </cell>
        </row>
        <row r="1411">
          <cell r="A1411">
            <v>103</v>
          </cell>
          <cell r="B1411">
            <v>3</v>
          </cell>
          <cell r="C1411" t="str">
            <v>제103호표</v>
          </cell>
          <cell r="D1411" t="str">
            <v>GPS 점검(교체)</v>
          </cell>
          <cell r="E1411" t="str">
            <v>(노임)</v>
          </cell>
          <cell r="F1411" t="str">
            <v>대</v>
          </cell>
          <cell r="G1411">
            <v>1</v>
          </cell>
          <cell r="I1411">
            <v>0</v>
          </cell>
          <cell r="K1411">
            <v>24543</v>
          </cell>
          <cell r="M1411">
            <v>736</v>
          </cell>
          <cell r="O1411">
            <v>25279</v>
          </cell>
          <cell r="P1411" t="str">
            <v>전5-47-2</v>
          </cell>
        </row>
        <row r="1413">
          <cell r="D1413" t="str">
            <v>GPS 점검(교체)</v>
          </cell>
          <cell r="E1413" t="str">
            <v>(노임)</v>
          </cell>
        </row>
        <row r="1415">
          <cell r="B1415" t="str">
            <v>GPS경찰청 규격품</v>
          </cell>
          <cell r="C1415" t="str">
            <v>재료비</v>
          </cell>
          <cell r="D1415" t="str">
            <v>GPS</v>
          </cell>
          <cell r="E1415" t="str">
            <v>경찰청 규격품</v>
          </cell>
          <cell r="F1415" t="str">
            <v>대</v>
          </cell>
          <cell r="G1415">
            <v>1</v>
          </cell>
          <cell r="I1415">
            <v>0</v>
          </cell>
          <cell r="M1415">
            <v>0</v>
          </cell>
          <cell r="O1415">
            <v>0</v>
          </cell>
          <cell r="P1415" t="str">
            <v>별도계산</v>
          </cell>
        </row>
        <row r="1417">
          <cell r="C1417" t="str">
            <v>노무비</v>
          </cell>
          <cell r="D1417" t="str">
            <v>내선전공</v>
          </cell>
          <cell r="E1417">
            <v>0.06</v>
          </cell>
          <cell r="F1417" t="str">
            <v>인</v>
          </cell>
          <cell r="G1417">
            <v>0.06</v>
          </cell>
          <cell r="J1417">
            <v>135106</v>
          </cell>
          <cell r="K1417">
            <v>8106</v>
          </cell>
          <cell r="M1417">
            <v>0</v>
          </cell>
          <cell r="N1417">
            <v>135106</v>
          </cell>
          <cell r="O1417">
            <v>8106</v>
          </cell>
        </row>
        <row r="1418">
          <cell r="D1418" t="str">
            <v>전기공사산업기사</v>
          </cell>
          <cell r="E1418">
            <v>0.13</v>
          </cell>
          <cell r="F1418" t="str">
            <v>인</v>
          </cell>
          <cell r="G1418">
            <v>0.13</v>
          </cell>
          <cell r="J1418">
            <v>126445</v>
          </cell>
          <cell r="K1418">
            <v>16437</v>
          </cell>
          <cell r="M1418">
            <v>0</v>
          </cell>
          <cell r="N1418">
            <v>126445</v>
          </cell>
          <cell r="O1418">
            <v>16437</v>
          </cell>
        </row>
        <row r="1419">
          <cell r="D1419" t="str">
            <v>공구손료</v>
          </cell>
          <cell r="E1419" t="str">
            <v>노무비의</v>
          </cell>
          <cell r="F1419" t="str">
            <v>%</v>
          </cell>
          <cell r="G1419">
            <v>3</v>
          </cell>
          <cell r="L1419">
            <v>24543</v>
          </cell>
          <cell r="M1419">
            <v>736</v>
          </cell>
          <cell r="N1419">
            <v>24543</v>
          </cell>
          <cell r="O1419">
            <v>736</v>
          </cell>
        </row>
        <row r="1422">
          <cell r="A1422">
            <v>104</v>
          </cell>
          <cell r="B1422">
            <v>3</v>
          </cell>
          <cell r="C1422" t="str">
            <v>제104호표</v>
          </cell>
          <cell r="D1422" t="str">
            <v>절연측정·제어기현장종합시험</v>
          </cell>
          <cell r="E1422" t="str">
            <v>고장 민원처리</v>
          </cell>
          <cell r="F1422" t="str">
            <v>대</v>
          </cell>
          <cell r="G1422">
            <v>1</v>
          </cell>
          <cell r="I1422">
            <v>0</v>
          </cell>
          <cell r="K1422">
            <v>133482</v>
          </cell>
          <cell r="M1422">
            <v>3515</v>
          </cell>
          <cell r="O1422">
            <v>136997</v>
          </cell>
          <cell r="P1422" t="str">
            <v>전5-47-2</v>
          </cell>
        </row>
        <row r="1423">
          <cell r="D1423" t="str">
            <v>절연측정·제어기현장종합시험</v>
          </cell>
          <cell r="E1423" t="str">
            <v>고장 민원처리</v>
          </cell>
        </row>
        <row r="1425">
          <cell r="B1425" t="str">
            <v>절연측정·제어기현장종합시험경찰청 규격품</v>
          </cell>
          <cell r="C1425" t="str">
            <v>재료비</v>
          </cell>
          <cell r="D1425" t="str">
            <v>절연측정·제어기현장종합시험</v>
          </cell>
          <cell r="E1425" t="str">
            <v>경찰청 규격품</v>
          </cell>
          <cell r="F1425" t="str">
            <v>대</v>
          </cell>
          <cell r="G1425">
            <v>1</v>
          </cell>
          <cell r="I1425">
            <v>0</v>
          </cell>
          <cell r="M1425">
            <v>0</v>
          </cell>
          <cell r="O1425">
            <v>0</v>
          </cell>
        </row>
        <row r="1427">
          <cell r="C1427" t="str">
            <v>노무비</v>
          </cell>
          <cell r="D1427" t="str">
            <v>내선전공</v>
          </cell>
          <cell r="E1427">
            <v>0.49</v>
          </cell>
          <cell r="F1427" t="str">
            <v>인</v>
          </cell>
          <cell r="G1427">
            <v>0.49</v>
          </cell>
          <cell r="J1427">
            <v>135106</v>
          </cell>
          <cell r="K1427">
            <v>66201</v>
          </cell>
          <cell r="M1427">
            <v>0</v>
          </cell>
          <cell r="N1427">
            <v>135106</v>
          </cell>
          <cell r="O1427">
            <v>66201</v>
          </cell>
        </row>
        <row r="1428">
          <cell r="D1428" t="str">
            <v>S/W 시험사</v>
          </cell>
          <cell r="E1428">
            <v>0.19</v>
          </cell>
          <cell r="F1428" t="str">
            <v>인</v>
          </cell>
          <cell r="G1428">
            <v>0.19</v>
          </cell>
          <cell r="J1428">
            <v>211502</v>
          </cell>
          <cell r="K1428">
            <v>40185</v>
          </cell>
          <cell r="M1428">
            <v>0</v>
          </cell>
          <cell r="N1428">
            <v>211502</v>
          </cell>
          <cell r="O1428">
            <v>40185</v>
          </cell>
        </row>
        <row r="1429">
          <cell r="D1429" t="str">
            <v>공구손료</v>
          </cell>
          <cell r="E1429" t="str">
            <v>노무비의</v>
          </cell>
          <cell r="F1429" t="str">
            <v>%</v>
          </cell>
          <cell r="G1429">
            <v>3</v>
          </cell>
          <cell r="L1429">
            <v>106386</v>
          </cell>
          <cell r="M1429">
            <v>3191</v>
          </cell>
          <cell r="N1429">
            <v>106386</v>
          </cell>
          <cell r="O1429">
            <v>3191</v>
          </cell>
        </row>
        <row r="1430">
          <cell r="D1430" t="str">
            <v>보통인부</v>
          </cell>
          <cell r="E1430">
            <v>0.2</v>
          </cell>
          <cell r="F1430" t="str">
            <v>인</v>
          </cell>
          <cell r="G1430">
            <v>0.2</v>
          </cell>
          <cell r="J1430">
            <v>81443</v>
          </cell>
          <cell r="K1430">
            <v>16288</v>
          </cell>
          <cell r="N1430">
            <v>81443</v>
          </cell>
          <cell r="O1430">
            <v>16288</v>
          </cell>
          <cell r="P1430" t="str">
            <v>도로정리</v>
          </cell>
        </row>
        <row r="1432">
          <cell r="D1432" t="str">
            <v>절연측정</v>
          </cell>
        </row>
        <row r="1433">
          <cell r="C1433" t="str">
            <v>노무비</v>
          </cell>
          <cell r="D1433" t="str">
            <v>내선전공</v>
          </cell>
          <cell r="E1433">
            <v>0.08</v>
          </cell>
          <cell r="F1433" t="str">
            <v>인</v>
          </cell>
          <cell r="G1433">
            <v>0.08</v>
          </cell>
          <cell r="J1433">
            <v>135106</v>
          </cell>
          <cell r="K1433">
            <v>10808</v>
          </cell>
          <cell r="M1433">
            <v>0</v>
          </cell>
          <cell r="N1433">
            <v>135106</v>
          </cell>
          <cell r="O1433">
            <v>10808</v>
          </cell>
          <cell r="P1433" t="str">
            <v>전4-77</v>
          </cell>
        </row>
        <row r="1434">
          <cell r="D1434" t="str">
            <v>공구손료</v>
          </cell>
          <cell r="E1434" t="str">
            <v>노무비의</v>
          </cell>
          <cell r="F1434" t="str">
            <v>%</v>
          </cell>
          <cell r="G1434">
            <v>3</v>
          </cell>
          <cell r="L1434">
            <v>10808</v>
          </cell>
          <cell r="M1434">
            <v>324</v>
          </cell>
          <cell r="N1434">
            <v>10808</v>
          </cell>
          <cell r="O1434">
            <v>324</v>
          </cell>
        </row>
        <row r="1436">
          <cell r="A1436">
            <v>105</v>
          </cell>
          <cell r="B1436">
            <v>3</v>
          </cell>
          <cell r="C1436" t="str">
            <v>제105호표</v>
          </cell>
          <cell r="D1436" t="str">
            <v>현시조정</v>
          </cell>
          <cell r="E1436" t="str">
            <v>D/B입력</v>
          </cell>
          <cell r="F1436" t="str">
            <v>개소</v>
          </cell>
          <cell r="G1436">
            <v>1</v>
          </cell>
          <cell r="I1436">
            <v>0</v>
          </cell>
          <cell r="K1436">
            <v>86513</v>
          </cell>
          <cell r="M1436">
            <v>2106</v>
          </cell>
          <cell r="O1436">
            <v>88619</v>
          </cell>
          <cell r="P1436" t="str">
            <v>전5-47-2</v>
          </cell>
        </row>
        <row r="1437">
          <cell r="D1437" t="str">
            <v>현시조정</v>
          </cell>
          <cell r="E1437" t="str">
            <v>D/B입력</v>
          </cell>
        </row>
        <row r="1439">
          <cell r="B1439" t="str">
            <v>현시조정D/B입력</v>
          </cell>
          <cell r="C1439" t="str">
            <v>재료비</v>
          </cell>
          <cell r="D1439" t="str">
            <v>현시조정</v>
          </cell>
          <cell r="E1439" t="str">
            <v>D/B입력</v>
          </cell>
          <cell r="F1439" t="str">
            <v>개소</v>
          </cell>
          <cell r="G1439">
            <v>1</v>
          </cell>
          <cell r="I1439">
            <v>0</v>
          </cell>
          <cell r="M1439">
            <v>0</v>
          </cell>
          <cell r="O1439">
            <v>0</v>
          </cell>
        </row>
        <row r="1441">
          <cell r="C1441" t="str">
            <v>노무비</v>
          </cell>
          <cell r="D1441" t="str">
            <v>내선전공</v>
          </cell>
          <cell r="E1441">
            <v>0.25</v>
          </cell>
          <cell r="F1441" t="str">
            <v>인</v>
          </cell>
          <cell r="G1441">
            <v>0.25</v>
          </cell>
          <cell r="J1441">
            <v>135106</v>
          </cell>
          <cell r="K1441">
            <v>33776</v>
          </cell>
          <cell r="M1441">
            <v>0</v>
          </cell>
          <cell r="N1441">
            <v>135106</v>
          </cell>
          <cell r="O1441">
            <v>33776</v>
          </cell>
        </row>
        <row r="1442">
          <cell r="D1442" t="str">
            <v>H/W 시험사</v>
          </cell>
          <cell r="E1442">
            <v>0.19</v>
          </cell>
          <cell r="F1442" t="str">
            <v>인</v>
          </cell>
          <cell r="G1442">
            <v>0.19</v>
          </cell>
          <cell r="J1442">
            <v>191839</v>
          </cell>
          <cell r="K1442">
            <v>36449</v>
          </cell>
          <cell r="M1442">
            <v>0</v>
          </cell>
          <cell r="N1442">
            <v>191839</v>
          </cell>
          <cell r="O1442">
            <v>36449</v>
          </cell>
        </row>
        <row r="1443">
          <cell r="D1443" t="str">
            <v>공구손료</v>
          </cell>
          <cell r="E1443" t="str">
            <v>노무비의</v>
          </cell>
          <cell r="F1443" t="str">
            <v>%</v>
          </cell>
          <cell r="G1443">
            <v>3</v>
          </cell>
          <cell r="L1443">
            <v>70225</v>
          </cell>
          <cell r="M1443">
            <v>2106</v>
          </cell>
          <cell r="N1443">
            <v>70225</v>
          </cell>
          <cell r="O1443">
            <v>2106</v>
          </cell>
        </row>
        <row r="1444">
          <cell r="D1444" t="str">
            <v>보통인부</v>
          </cell>
          <cell r="E1444">
            <v>0.2</v>
          </cell>
          <cell r="F1444" t="str">
            <v>인</v>
          </cell>
          <cell r="G1444">
            <v>0.2</v>
          </cell>
          <cell r="J1444">
            <v>81443</v>
          </cell>
          <cell r="K1444">
            <v>16288</v>
          </cell>
          <cell r="N1444">
            <v>81443</v>
          </cell>
          <cell r="O1444">
            <v>16288</v>
          </cell>
          <cell r="P1444" t="str">
            <v>도로정리</v>
          </cell>
        </row>
        <row r="1446">
          <cell r="A1446">
            <v>106</v>
          </cell>
          <cell r="B1446">
            <v>3</v>
          </cell>
          <cell r="C1446" t="str">
            <v>제106호표</v>
          </cell>
          <cell r="D1446" t="str">
            <v>연동D/B산출 및 입력(사거리)</v>
          </cell>
          <cell r="E1446">
            <v>0</v>
          </cell>
          <cell r="F1446" t="str">
            <v>개소</v>
          </cell>
          <cell r="G1446">
            <v>1</v>
          </cell>
          <cell r="I1446">
            <v>0</v>
          </cell>
          <cell r="K1446">
            <v>714520</v>
          </cell>
          <cell r="M1446">
            <v>20946</v>
          </cell>
          <cell r="O1446">
            <v>735466</v>
          </cell>
        </row>
        <row r="1448">
          <cell r="D1448" t="str">
            <v>연동D/B산출 및 입력(사거리)</v>
          </cell>
        </row>
        <row r="1450">
          <cell r="B1450" t="str">
            <v>연동D/B산출 및 입력경찰청 규격품</v>
          </cell>
          <cell r="C1450" t="str">
            <v>재료비</v>
          </cell>
          <cell r="D1450" t="str">
            <v>연동D/B산출 및 입력</v>
          </cell>
          <cell r="E1450" t="str">
            <v>경찰청 규격품</v>
          </cell>
          <cell r="F1450" t="str">
            <v>개소</v>
          </cell>
          <cell r="G1450">
            <v>1</v>
          </cell>
          <cell r="I1450">
            <v>0</v>
          </cell>
          <cell r="M1450">
            <v>0</v>
          </cell>
          <cell r="O1450">
            <v>0</v>
          </cell>
        </row>
        <row r="1452">
          <cell r="C1452" t="str">
            <v>노무비</v>
          </cell>
          <cell r="D1452" t="str">
            <v>보통인부</v>
          </cell>
          <cell r="E1452">
            <v>3</v>
          </cell>
          <cell r="F1452" t="str">
            <v>인</v>
          </cell>
          <cell r="G1452">
            <v>3</v>
          </cell>
          <cell r="J1452">
            <v>81443</v>
          </cell>
          <cell r="K1452">
            <v>244329</v>
          </cell>
          <cell r="M1452">
            <v>0</v>
          </cell>
          <cell r="N1452">
            <v>81443</v>
          </cell>
          <cell r="O1452">
            <v>244329</v>
          </cell>
        </row>
        <row r="1453">
          <cell r="D1453" t="str">
            <v>H/W 시험사</v>
          </cell>
          <cell r="E1453">
            <v>2</v>
          </cell>
          <cell r="F1453" t="str">
            <v>인</v>
          </cell>
          <cell r="G1453">
            <v>2</v>
          </cell>
          <cell r="J1453">
            <v>191839</v>
          </cell>
          <cell r="K1453">
            <v>383678</v>
          </cell>
          <cell r="M1453">
            <v>0</v>
          </cell>
          <cell r="N1453">
            <v>191839</v>
          </cell>
          <cell r="O1453">
            <v>383678</v>
          </cell>
        </row>
        <row r="1454">
          <cell r="D1454" t="str">
            <v>내선전공</v>
          </cell>
          <cell r="E1454">
            <v>0.25</v>
          </cell>
          <cell r="F1454" t="str">
            <v>인</v>
          </cell>
          <cell r="G1454">
            <v>0.25</v>
          </cell>
          <cell r="J1454">
            <v>135106</v>
          </cell>
          <cell r="K1454">
            <v>33776</v>
          </cell>
          <cell r="M1454">
            <v>0</v>
          </cell>
          <cell r="N1454">
            <v>135106</v>
          </cell>
          <cell r="O1454">
            <v>33776</v>
          </cell>
        </row>
        <row r="1455">
          <cell r="D1455" t="str">
            <v>H/W 시험사</v>
          </cell>
          <cell r="E1455">
            <v>0.19</v>
          </cell>
          <cell r="F1455" t="str">
            <v>인</v>
          </cell>
          <cell r="G1455">
            <v>0.19</v>
          </cell>
          <cell r="J1455">
            <v>191839</v>
          </cell>
          <cell r="K1455">
            <v>36449</v>
          </cell>
          <cell r="M1455">
            <v>0</v>
          </cell>
          <cell r="N1455">
            <v>191839</v>
          </cell>
          <cell r="O1455">
            <v>36449</v>
          </cell>
        </row>
        <row r="1456">
          <cell r="D1456" t="str">
            <v>공구손료</v>
          </cell>
          <cell r="E1456" t="str">
            <v>노무비의</v>
          </cell>
          <cell r="F1456" t="str">
            <v>%</v>
          </cell>
          <cell r="G1456">
            <v>3</v>
          </cell>
          <cell r="L1456">
            <v>698232</v>
          </cell>
          <cell r="M1456">
            <v>20946</v>
          </cell>
          <cell r="N1456">
            <v>698232</v>
          </cell>
          <cell r="O1456">
            <v>20946</v>
          </cell>
        </row>
        <row r="1457">
          <cell r="D1457" t="str">
            <v>보통인부</v>
          </cell>
          <cell r="E1457">
            <v>0.2</v>
          </cell>
          <cell r="F1457" t="str">
            <v>인</v>
          </cell>
          <cell r="G1457">
            <v>0.2</v>
          </cell>
          <cell r="J1457">
            <v>81443</v>
          </cell>
          <cell r="K1457">
            <v>16288</v>
          </cell>
          <cell r="N1457">
            <v>81443</v>
          </cell>
          <cell r="O1457">
            <v>16288</v>
          </cell>
          <cell r="P1457" t="str">
            <v>도로정리</v>
          </cell>
        </row>
        <row r="1460">
          <cell r="C1460" t="str">
            <v>구분</v>
          </cell>
          <cell r="D1460" t="str">
            <v>산출근거</v>
          </cell>
        </row>
        <row r="1461">
          <cell r="C1461" t="str">
            <v>교통량조사</v>
          </cell>
          <cell r="D1461" t="str">
            <v>보통인부 : (2시간×3회×4차로)/8시간 = 3인</v>
          </cell>
        </row>
        <row r="1462">
          <cell r="D1462" t="str">
            <v>교통량조사 : 1회(07:00~09:00), 2회(12:00~14:00), 3회(18:00~20:00)</v>
          </cell>
        </row>
        <row r="1463">
          <cell r="C1463" t="str">
            <v>자료분석비</v>
          </cell>
          <cell r="D1463" t="str">
            <v>H/W시험사 : (4시간*4차로(진행방향))/8시간 = 2인</v>
          </cell>
        </row>
        <row r="1464">
          <cell r="D1464" t="str">
            <v>일일 TOD 데이터(주기, 녹색시간, 연동값)</v>
          </cell>
        </row>
        <row r="1465">
          <cell r="C1465" t="str">
            <v>자료입력</v>
          </cell>
          <cell r="D1465" t="str">
            <v>내선전공 : 0.25</v>
          </cell>
          <cell r="E1465" t="str">
            <v>H/W 시험사 : 0.19</v>
          </cell>
          <cell r="P1465" t="str">
            <v>전5-47-2</v>
          </cell>
        </row>
        <row r="1466">
          <cell r="C1466" t="str">
            <v>도로정리</v>
          </cell>
          <cell r="D1466" t="str">
            <v>보통인부 : 0.2</v>
          </cell>
        </row>
        <row r="1472">
          <cell r="A1472">
            <v>107</v>
          </cell>
          <cell r="B1472">
            <v>3</v>
          </cell>
          <cell r="C1472" t="str">
            <v>제107호표</v>
          </cell>
          <cell r="D1472" t="str">
            <v>연동D/B산출 및 입력(삼거리)</v>
          </cell>
          <cell r="E1472">
            <v>0</v>
          </cell>
          <cell r="F1472" t="str">
            <v>개소</v>
          </cell>
          <cell r="G1472">
            <v>1</v>
          </cell>
          <cell r="I1472">
            <v>0</v>
          </cell>
          <cell r="K1472">
            <v>557517</v>
          </cell>
          <cell r="M1472">
            <v>16236</v>
          </cell>
          <cell r="O1472">
            <v>573753</v>
          </cell>
        </row>
        <row r="1474">
          <cell r="D1474" t="str">
            <v>연동D/B산출 및 입력(삼거리)</v>
          </cell>
        </row>
        <row r="1476">
          <cell r="B1476" t="str">
            <v>연동D/B산출 및 입력경찰청 규격품</v>
          </cell>
          <cell r="C1476" t="str">
            <v>재료비</v>
          </cell>
          <cell r="D1476" t="str">
            <v>연동D/B산출 및 입력</v>
          </cell>
          <cell r="E1476" t="str">
            <v>경찰청 규격품</v>
          </cell>
          <cell r="F1476" t="str">
            <v>개소</v>
          </cell>
          <cell r="G1476">
            <v>1</v>
          </cell>
          <cell r="I1476">
            <v>0</v>
          </cell>
          <cell r="M1476">
            <v>0</v>
          </cell>
          <cell r="O1476">
            <v>0</v>
          </cell>
        </row>
        <row r="1477">
          <cell r="C1477" t="str">
            <v>노무비</v>
          </cell>
          <cell r="D1477" t="str">
            <v>보통인부</v>
          </cell>
          <cell r="E1477">
            <v>2.25</v>
          </cell>
          <cell r="F1477" t="str">
            <v>인</v>
          </cell>
          <cell r="G1477">
            <v>2.25</v>
          </cell>
          <cell r="J1477">
            <v>81443</v>
          </cell>
          <cell r="K1477">
            <v>183246</v>
          </cell>
          <cell r="M1477">
            <v>0</v>
          </cell>
          <cell r="N1477">
            <v>81443</v>
          </cell>
          <cell r="O1477">
            <v>183246</v>
          </cell>
        </row>
        <row r="1478">
          <cell r="D1478" t="str">
            <v>H/W 시험사</v>
          </cell>
          <cell r="E1478">
            <v>1.5</v>
          </cell>
          <cell r="F1478" t="str">
            <v>인</v>
          </cell>
          <cell r="G1478">
            <v>1.5</v>
          </cell>
          <cell r="J1478">
            <v>191839</v>
          </cell>
          <cell r="K1478">
            <v>287758</v>
          </cell>
          <cell r="M1478">
            <v>0</v>
          </cell>
          <cell r="N1478">
            <v>191839</v>
          </cell>
          <cell r="O1478">
            <v>287758</v>
          </cell>
        </row>
        <row r="1479">
          <cell r="D1479" t="str">
            <v>내선전공</v>
          </cell>
          <cell r="E1479">
            <v>0.25</v>
          </cell>
          <cell r="F1479" t="str">
            <v>인</v>
          </cell>
          <cell r="G1479">
            <v>0.25</v>
          </cell>
          <cell r="J1479">
            <v>135106</v>
          </cell>
          <cell r="K1479">
            <v>33776</v>
          </cell>
          <cell r="M1479">
            <v>0</v>
          </cell>
          <cell r="N1479">
            <v>135106</v>
          </cell>
          <cell r="O1479">
            <v>33776</v>
          </cell>
        </row>
        <row r="1480">
          <cell r="D1480" t="str">
            <v>H/W 시험사</v>
          </cell>
          <cell r="E1480">
            <v>0.19</v>
          </cell>
          <cell r="F1480" t="str">
            <v>인</v>
          </cell>
          <cell r="G1480">
            <v>0.19</v>
          </cell>
          <cell r="J1480">
            <v>191839</v>
          </cell>
          <cell r="K1480">
            <v>36449</v>
          </cell>
          <cell r="M1480">
            <v>0</v>
          </cell>
          <cell r="N1480">
            <v>191839</v>
          </cell>
          <cell r="O1480">
            <v>36449</v>
          </cell>
        </row>
        <row r="1481">
          <cell r="D1481" t="str">
            <v>공구손료</v>
          </cell>
          <cell r="E1481" t="str">
            <v>노무비의</v>
          </cell>
          <cell r="F1481" t="str">
            <v>%</v>
          </cell>
          <cell r="G1481">
            <v>3</v>
          </cell>
          <cell r="L1481">
            <v>541229</v>
          </cell>
          <cell r="M1481">
            <v>16236</v>
          </cell>
          <cell r="N1481">
            <v>541229</v>
          </cell>
          <cell r="O1481">
            <v>16236</v>
          </cell>
        </row>
        <row r="1482">
          <cell r="D1482" t="str">
            <v>보통인부</v>
          </cell>
          <cell r="E1482">
            <v>0.2</v>
          </cell>
          <cell r="F1482" t="str">
            <v>인</v>
          </cell>
          <cell r="G1482">
            <v>0.2</v>
          </cell>
          <cell r="J1482">
            <v>81443</v>
          </cell>
          <cell r="K1482">
            <v>16288</v>
          </cell>
          <cell r="N1482">
            <v>81443</v>
          </cell>
          <cell r="O1482">
            <v>16288</v>
          </cell>
          <cell r="P1482" t="str">
            <v>도로정리</v>
          </cell>
        </row>
        <row r="1483">
          <cell r="C1483" t="str">
            <v>구분</v>
          </cell>
          <cell r="D1483" t="str">
            <v>산출근거</v>
          </cell>
        </row>
        <row r="1484">
          <cell r="C1484" t="str">
            <v>교통량조사</v>
          </cell>
          <cell r="D1484" t="str">
            <v>보통인부 : (2시간×3회×3차로)/8시간 = 2.25인</v>
          </cell>
        </row>
        <row r="1485">
          <cell r="D1485" t="str">
            <v>교통량조사 : 1회(07:00~09:00), 2회(12:00~14:00), 3회(18:00~20:00)</v>
          </cell>
        </row>
        <row r="1486">
          <cell r="C1486" t="str">
            <v>자료분석비</v>
          </cell>
          <cell r="D1486" t="str">
            <v>H/W시험사 : (4시간*3차로(진행방향))/8시간 = 1.5인</v>
          </cell>
        </row>
        <row r="1487">
          <cell r="D1487" t="str">
            <v>일일 TOD 데이터(주기, 녹색시간, 연동값)</v>
          </cell>
        </row>
        <row r="1488">
          <cell r="C1488" t="str">
            <v>자료입력</v>
          </cell>
          <cell r="D1488" t="str">
            <v>내선전공 : 0.25</v>
          </cell>
          <cell r="E1488" t="str">
            <v>H/W 시험사 : 0.19</v>
          </cell>
          <cell r="P1488" t="str">
            <v>전5-47-2</v>
          </cell>
        </row>
        <row r="1489">
          <cell r="C1489" t="str">
            <v>도로정리</v>
          </cell>
          <cell r="D1489" t="str">
            <v>보통인부 : 0.2</v>
          </cell>
        </row>
        <row r="1494">
          <cell r="A1494">
            <v>108</v>
          </cell>
          <cell r="B1494">
            <v>3</v>
          </cell>
          <cell r="C1494" t="str">
            <v>제108호표</v>
          </cell>
          <cell r="D1494" t="str">
            <v>연동D/B산출 및 입력(단일로)</v>
          </cell>
          <cell r="E1494">
            <v>0</v>
          </cell>
          <cell r="F1494" t="str">
            <v>개소</v>
          </cell>
          <cell r="G1494">
            <v>1</v>
          </cell>
          <cell r="I1494">
            <v>0</v>
          </cell>
          <cell r="K1494">
            <v>400516</v>
          </cell>
          <cell r="M1494">
            <v>11526</v>
          </cell>
          <cell r="O1494">
            <v>412042</v>
          </cell>
        </row>
        <row r="1496">
          <cell r="D1496" t="str">
            <v>연동D/B산출 및 입력(단일로)</v>
          </cell>
        </row>
        <row r="1498">
          <cell r="B1498" t="str">
            <v>연동D/B산출 및 입력경찰청 규격품</v>
          </cell>
          <cell r="C1498" t="str">
            <v>재료비</v>
          </cell>
          <cell r="D1498" t="str">
            <v>연동D/B산출 및 입력</v>
          </cell>
          <cell r="E1498" t="str">
            <v>경찰청 규격품</v>
          </cell>
          <cell r="F1498" t="str">
            <v>대</v>
          </cell>
          <cell r="G1498">
            <v>1</v>
          </cell>
          <cell r="I1498">
            <v>0</v>
          </cell>
          <cell r="M1498">
            <v>0</v>
          </cell>
          <cell r="O1498">
            <v>0</v>
          </cell>
        </row>
        <row r="1499">
          <cell r="C1499" t="str">
            <v>노무비</v>
          </cell>
          <cell r="D1499" t="str">
            <v>보통인부</v>
          </cell>
          <cell r="E1499">
            <v>1.5</v>
          </cell>
          <cell r="F1499" t="str">
            <v>인</v>
          </cell>
          <cell r="G1499">
            <v>1.5</v>
          </cell>
          <cell r="J1499">
            <v>81443</v>
          </cell>
          <cell r="K1499">
            <v>122164</v>
          </cell>
          <cell r="M1499">
            <v>0</v>
          </cell>
          <cell r="N1499">
            <v>81443</v>
          </cell>
          <cell r="O1499">
            <v>122164</v>
          </cell>
        </row>
        <row r="1500">
          <cell r="D1500" t="str">
            <v>H/W 시험사</v>
          </cell>
          <cell r="E1500">
            <v>1</v>
          </cell>
          <cell r="F1500" t="str">
            <v>인</v>
          </cell>
          <cell r="G1500">
            <v>1</v>
          </cell>
          <cell r="J1500">
            <v>191839</v>
          </cell>
          <cell r="K1500">
            <v>191839</v>
          </cell>
          <cell r="M1500">
            <v>0</v>
          </cell>
          <cell r="N1500">
            <v>191839</v>
          </cell>
          <cell r="O1500">
            <v>191839</v>
          </cell>
        </row>
        <row r="1501">
          <cell r="D1501" t="str">
            <v>내선전공</v>
          </cell>
          <cell r="E1501">
            <v>0.25</v>
          </cell>
          <cell r="F1501" t="str">
            <v>인</v>
          </cell>
          <cell r="G1501">
            <v>0.25</v>
          </cell>
          <cell r="J1501">
            <v>135106</v>
          </cell>
          <cell r="K1501">
            <v>33776</v>
          </cell>
          <cell r="M1501">
            <v>0</v>
          </cell>
          <cell r="N1501">
            <v>135106</v>
          </cell>
          <cell r="O1501">
            <v>33776</v>
          </cell>
        </row>
        <row r="1502">
          <cell r="D1502" t="str">
            <v>H/W 시험사</v>
          </cell>
          <cell r="E1502">
            <v>0.19</v>
          </cell>
          <cell r="F1502" t="str">
            <v>인</v>
          </cell>
          <cell r="G1502">
            <v>0.19</v>
          </cell>
          <cell r="J1502">
            <v>191839</v>
          </cell>
          <cell r="K1502">
            <v>36449</v>
          </cell>
          <cell r="M1502">
            <v>0</v>
          </cell>
          <cell r="N1502">
            <v>191839</v>
          </cell>
          <cell r="O1502">
            <v>36449</v>
          </cell>
        </row>
        <row r="1503">
          <cell r="D1503" t="str">
            <v>공구손료</v>
          </cell>
          <cell r="E1503" t="str">
            <v>노무비의</v>
          </cell>
          <cell r="F1503" t="str">
            <v>%</v>
          </cell>
          <cell r="G1503">
            <v>3</v>
          </cell>
          <cell r="L1503">
            <v>384228</v>
          </cell>
          <cell r="M1503">
            <v>11526</v>
          </cell>
          <cell r="N1503">
            <v>384228</v>
          </cell>
          <cell r="O1503">
            <v>11526</v>
          </cell>
        </row>
        <row r="1504">
          <cell r="D1504" t="str">
            <v>보통인부</v>
          </cell>
          <cell r="E1504">
            <v>0.2</v>
          </cell>
          <cell r="F1504" t="str">
            <v>인</v>
          </cell>
          <cell r="G1504">
            <v>0.2</v>
          </cell>
          <cell r="J1504">
            <v>81443</v>
          </cell>
          <cell r="K1504">
            <v>16288</v>
          </cell>
          <cell r="N1504">
            <v>81443</v>
          </cell>
          <cell r="O1504">
            <v>16288</v>
          </cell>
          <cell r="P1504" t="str">
            <v>도로정리</v>
          </cell>
        </row>
        <row r="1505">
          <cell r="C1505" t="str">
            <v>구분</v>
          </cell>
          <cell r="D1505" t="str">
            <v>산출근거</v>
          </cell>
        </row>
        <row r="1506">
          <cell r="C1506" t="str">
            <v>교통량조사</v>
          </cell>
          <cell r="D1506" t="str">
            <v>보통인부 : (2시간×3회×2차로)/8시간 = 1.5인</v>
          </cell>
        </row>
        <row r="1507">
          <cell r="D1507" t="str">
            <v>교통량조사 : 1회(07:00~09:00), 2회(12:00~14:00), 3회(18:00~20:00)</v>
          </cell>
        </row>
        <row r="1508">
          <cell r="C1508" t="str">
            <v>자료분석비</v>
          </cell>
          <cell r="D1508" t="str">
            <v>H/W시험사 : (4시간*2차로(진행방향))/8시간 = 1인</v>
          </cell>
        </row>
        <row r="1509">
          <cell r="D1509" t="str">
            <v>일일 TOD 데이터(주기, 녹색시간, 연동값)</v>
          </cell>
        </row>
        <row r="1510">
          <cell r="C1510" t="str">
            <v>자료입력</v>
          </cell>
          <cell r="D1510" t="str">
            <v>내선전공 : 0.25</v>
          </cell>
          <cell r="E1510" t="str">
            <v>H/W 시험사 : 0.19</v>
          </cell>
          <cell r="P1510" t="str">
            <v>전5-47-2</v>
          </cell>
        </row>
        <row r="1511">
          <cell r="C1511" t="str">
            <v>도로정리</v>
          </cell>
          <cell r="D1511" t="str">
            <v>보통인부 : 0.2</v>
          </cell>
        </row>
        <row r="1513">
          <cell r="A1513">
            <v>109</v>
          </cell>
          <cell r="B1513">
            <v>3</v>
          </cell>
          <cell r="C1513" t="str">
            <v>제109호표</v>
          </cell>
          <cell r="D1513" t="str">
            <v>횡단보도 조명기구 신설</v>
          </cell>
          <cell r="E1513" t="str">
            <v>LED [90W~130W]</v>
          </cell>
          <cell r="F1513" t="str">
            <v>개</v>
          </cell>
          <cell r="G1513">
            <v>1</v>
          </cell>
          <cell r="I1513">
            <v>0</v>
          </cell>
          <cell r="K1513">
            <v>262159</v>
          </cell>
          <cell r="M1513">
            <v>7864</v>
          </cell>
          <cell r="O1513">
            <v>270023</v>
          </cell>
          <cell r="P1513" t="str">
            <v>전5-26</v>
          </cell>
        </row>
        <row r="1515">
          <cell r="D1515" t="str">
            <v>횡단보도 조명기구 신설</v>
          </cell>
          <cell r="E1515" t="str">
            <v>LED [90W~130W]</v>
          </cell>
        </row>
        <row r="1517">
          <cell r="B1517" t="str">
            <v>횡단보도 조명기구LED [90W~130W]</v>
          </cell>
          <cell r="C1517" t="str">
            <v>재료비</v>
          </cell>
          <cell r="D1517" t="str">
            <v>횡단보도 조명기구</v>
          </cell>
          <cell r="E1517" t="str">
            <v>LED [90W~130W]</v>
          </cell>
          <cell r="F1517" t="str">
            <v>개</v>
          </cell>
          <cell r="G1517">
            <v>1</v>
          </cell>
          <cell r="I1517">
            <v>0</v>
          </cell>
          <cell r="M1517">
            <v>0</v>
          </cell>
          <cell r="O1517">
            <v>0</v>
          </cell>
        </row>
        <row r="1518">
          <cell r="C1518" t="str">
            <v>노무비</v>
          </cell>
          <cell r="D1518" t="str">
            <v>내선전공</v>
          </cell>
          <cell r="E1518" t="str">
            <v>(1.47*1.2)*1.1</v>
          </cell>
          <cell r="F1518" t="str">
            <v>인</v>
          </cell>
          <cell r="G1518">
            <v>1.9404000000000001</v>
          </cell>
          <cell r="J1518">
            <v>135106</v>
          </cell>
          <cell r="K1518">
            <v>262159</v>
          </cell>
          <cell r="M1518">
            <v>0</v>
          </cell>
          <cell r="N1518">
            <v>135106</v>
          </cell>
          <cell r="O1518">
            <v>262159</v>
          </cell>
        </row>
        <row r="1519">
          <cell r="D1519" t="str">
            <v>공구손료</v>
          </cell>
          <cell r="E1519" t="str">
            <v>노무비의</v>
          </cell>
          <cell r="F1519" t="str">
            <v>%</v>
          </cell>
          <cell r="G1519">
            <v>3</v>
          </cell>
          <cell r="L1519">
            <v>262159</v>
          </cell>
          <cell r="M1519">
            <v>7864</v>
          </cell>
          <cell r="N1519">
            <v>262159</v>
          </cell>
          <cell r="O1519">
            <v>7864</v>
          </cell>
        </row>
        <row r="1521">
          <cell r="A1521">
            <v>110</v>
          </cell>
          <cell r="B1521">
            <v>3</v>
          </cell>
          <cell r="C1521" t="str">
            <v>제110호표</v>
          </cell>
          <cell r="D1521" t="str">
            <v>보행자보호등 점멸기 신설</v>
          </cell>
          <cell r="E1521" t="str">
            <v>무선전자식,ELB내장형</v>
          </cell>
          <cell r="F1521" t="str">
            <v>개</v>
          </cell>
          <cell r="G1521">
            <v>1</v>
          </cell>
          <cell r="I1521">
            <v>80000</v>
          </cell>
          <cell r="K1521">
            <v>31209</v>
          </cell>
          <cell r="M1521">
            <v>936</v>
          </cell>
          <cell r="O1521">
            <v>112145</v>
          </cell>
          <cell r="P1521" t="str">
            <v>전5-23(나)</v>
          </cell>
        </row>
        <row r="1523">
          <cell r="D1523" t="str">
            <v>보행자보호등 점멸기 신설</v>
          </cell>
          <cell r="E1523" t="str">
            <v>무선전자식,ELB내장형</v>
          </cell>
        </row>
        <row r="1525">
          <cell r="B1525" t="str">
            <v>보행자보호등 자동점멸기무선전자식,ELB내장형</v>
          </cell>
          <cell r="C1525" t="str">
            <v>재료비</v>
          </cell>
          <cell r="D1525" t="str">
            <v>보행자보호등 자동점멸기</v>
          </cell>
          <cell r="E1525" t="str">
            <v>무선전자식,ELB내장형</v>
          </cell>
          <cell r="F1525" t="str">
            <v>개</v>
          </cell>
          <cell r="G1525">
            <v>1</v>
          </cell>
          <cell r="H1525">
            <v>80000</v>
          </cell>
          <cell r="I1525">
            <v>80000</v>
          </cell>
          <cell r="M1525">
            <v>0</v>
          </cell>
          <cell r="N1525">
            <v>80000</v>
          </cell>
          <cell r="O1525">
            <v>80000</v>
          </cell>
        </row>
        <row r="1526">
          <cell r="C1526" t="str">
            <v>노무비</v>
          </cell>
          <cell r="D1526" t="str">
            <v>내선전공</v>
          </cell>
          <cell r="E1526" t="str">
            <v>0.21*1.1</v>
          </cell>
          <cell r="F1526" t="str">
            <v>인</v>
          </cell>
          <cell r="G1526">
            <v>0.23100000000000001</v>
          </cell>
          <cell r="J1526">
            <v>135106</v>
          </cell>
          <cell r="K1526">
            <v>31209</v>
          </cell>
          <cell r="M1526">
            <v>0</v>
          </cell>
          <cell r="N1526">
            <v>135106</v>
          </cell>
          <cell r="O1526">
            <v>31209</v>
          </cell>
        </row>
        <row r="1527">
          <cell r="D1527" t="str">
            <v>공구손료</v>
          </cell>
          <cell r="E1527" t="str">
            <v>노무비의</v>
          </cell>
          <cell r="F1527" t="str">
            <v>%</v>
          </cell>
          <cell r="G1527">
            <v>3</v>
          </cell>
          <cell r="L1527">
            <v>31209</v>
          </cell>
          <cell r="M1527">
            <v>936</v>
          </cell>
          <cell r="N1527">
            <v>31209</v>
          </cell>
          <cell r="O1527">
            <v>936</v>
          </cell>
        </row>
        <row r="1529">
          <cell r="A1529">
            <v>111</v>
          </cell>
          <cell r="B1529">
            <v>3</v>
          </cell>
          <cell r="C1529" t="str">
            <v>제111호표</v>
          </cell>
          <cell r="D1529" t="str">
            <v>보행자보호등 점멸기 신설</v>
          </cell>
          <cell r="E1529" t="str">
            <v>GPS내장형</v>
          </cell>
          <cell r="F1529" t="str">
            <v>개</v>
          </cell>
          <cell r="G1529">
            <v>1</v>
          </cell>
          <cell r="I1529">
            <v>90000</v>
          </cell>
          <cell r="K1529">
            <v>31209</v>
          </cell>
          <cell r="M1529">
            <v>936</v>
          </cell>
          <cell r="O1529">
            <v>122145</v>
          </cell>
          <cell r="P1529" t="str">
            <v>전5-23(나)</v>
          </cell>
        </row>
        <row r="1530">
          <cell r="D1530" t="str">
            <v>보행자보호등 점멸기 신설</v>
          </cell>
          <cell r="E1530" t="str">
            <v>GPS내장형</v>
          </cell>
        </row>
        <row r="1531">
          <cell r="B1531" t="str">
            <v>보행자보호등 자동점멸기GPS내장형</v>
          </cell>
          <cell r="C1531" t="str">
            <v>재료비</v>
          </cell>
          <cell r="D1531" t="str">
            <v>보행자보호등 자동점멸기</v>
          </cell>
          <cell r="E1531" t="str">
            <v>GPS내장형</v>
          </cell>
          <cell r="F1531" t="str">
            <v>개</v>
          </cell>
          <cell r="G1531">
            <v>1</v>
          </cell>
          <cell r="H1531">
            <v>90000</v>
          </cell>
          <cell r="I1531">
            <v>90000</v>
          </cell>
          <cell r="M1531">
            <v>0</v>
          </cell>
          <cell r="N1531">
            <v>90000</v>
          </cell>
          <cell r="O1531">
            <v>90000</v>
          </cell>
        </row>
        <row r="1532">
          <cell r="C1532" t="str">
            <v>노무비</v>
          </cell>
          <cell r="D1532" t="str">
            <v>내선전공</v>
          </cell>
          <cell r="E1532" t="str">
            <v>0.21*1.1</v>
          </cell>
          <cell r="F1532" t="str">
            <v>인</v>
          </cell>
          <cell r="G1532">
            <v>0.23100000000000001</v>
          </cell>
          <cell r="J1532">
            <v>135106</v>
          </cell>
          <cell r="K1532">
            <v>31209</v>
          </cell>
          <cell r="M1532">
            <v>0</v>
          </cell>
          <cell r="N1532">
            <v>135106</v>
          </cell>
          <cell r="O1532">
            <v>31209</v>
          </cell>
        </row>
        <row r="1533">
          <cell r="D1533" t="str">
            <v>공구손료</v>
          </cell>
          <cell r="E1533" t="str">
            <v>노무비의</v>
          </cell>
          <cell r="F1533" t="str">
            <v>%</v>
          </cell>
          <cell r="G1533">
            <v>3</v>
          </cell>
          <cell r="L1533">
            <v>31209</v>
          </cell>
          <cell r="M1533">
            <v>936</v>
          </cell>
          <cell r="N1533">
            <v>31209</v>
          </cell>
          <cell r="O1533">
            <v>936</v>
          </cell>
        </row>
        <row r="1535">
          <cell r="A1535">
            <v>112</v>
          </cell>
          <cell r="B1535">
            <v>3</v>
          </cell>
          <cell r="C1535" t="str">
            <v>제112호표</v>
          </cell>
          <cell r="D1535" t="str">
            <v>전력량계함 설치</v>
          </cell>
          <cell r="E1535" t="str">
            <v>230x140x95</v>
          </cell>
          <cell r="F1535" t="str">
            <v>개</v>
          </cell>
          <cell r="G1535">
            <v>1</v>
          </cell>
          <cell r="I1535">
            <v>12450</v>
          </cell>
          <cell r="K1535">
            <v>40531</v>
          </cell>
          <cell r="M1535">
            <v>1215</v>
          </cell>
          <cell r="O1535">
            <v>54196</v>
          </cell>
          <cell r="P1535" t="str">
            <v>전5-21</v>
          </cell>
        </row>
        <row r="1537">
          <cell r="D1537" t="str">
            <v>전력량계함 설치</v>
          </cell>
          <cell r="E1537" t="str">
            <v>230x140x95</v>
          </cell>
        </row>
        <row r="1539">
          <cell r="B1539" t="str">
            <v>합성수지 계량기함230x140x95</v>
          </cell>
          <cell r="C1539" t="str">
            <v>재료비</v>
          </cell>
          <cell r="D1539" t="str">
            <v>합성수지 계량기함</v>
          </cell>
          <cell r="E1539" t="str">
            <v>230x140x95</v>
          </cell>
          <cell r="F1539" t="str">
            <v>개</v>
          </cell>
          <cell r="G1539">
            <v>1</v>
          </cell>
          <cell r="H1539">
            <v>12450</v>
          </cell>
          <cell r="I1539">
            <v>12450</v>
          </cell>
          <cell r="N1539">
            <v>12450</v>
          </cell>
          <cell r="O1539">
            <v>12450</v>
          </cell>
        </row>
        <row r="1540">
          <cell r="C1540" t="str">
            <v>노무비</v>
          </cell>
          <cell r="D1540" t="str">
            <v>내선전공</v>
          </cell>
          <cell r="E1540">
            <v>0.3</v>
          </cell>
          <cell r="F1540" t="str">
            <v>인</v>
          </cell>
          <cell r="G1540">
            <v>0.3</v>
          </cell>
          <cell r="J1540">
            <v>135106</v>
          </cell>
          <cell r="K1540">
            <v>40531</v>
          </cell>
          <cell r="M1540">
            <v>0</v>
          </cell>
          <cell r="N1540">
            <v>135106</v>
          </cell>
          <cell r="O1540">
            <v>40531</v>
          </cell>
        </row>
        <row r="1541">
          <cell r="D1541" t="str">
            <v>공구손료</v>
          </cell>
          <cell r="E1541" t="str">
            <v>노무비의</v>
          </cell>
          <cell r="F1541" t="str">
            <v>%</v>
          </cell>
          <cell r="G1541">
            <v>3</v>
          </cell>
          <cell r="L1541">
            <v>40531</v>
          </cell>
          <cell r="M1541">
            <v>1215</v>
          </cell>
          <cell r="N1541">
            <v>40531</v>
          </cell>
          <cell r="O1541">
            <v>1215</v>
          </cell>
        </row>
        <row r="1542">
          <cell r="A1542">
            <v>113</v>
          </cell>
          <cell r="B1542">
            <v>3</v>
          </cell>
          <cell r="C1542" t="str">
            <v>제113호표</v>
          </cell>
          <cell r="D1542" t="str">
            <v>농사용 계량기함</v>
          </cell>
          <cell r="E1542" t="str">
            <v>소형A</v>
          </cell>
          <cell r="F1542" t="str">
            <v>개</v>
          </cell>
          <cell r="G1542">
            <v>1</v>
          </cell>
          <cell r="I1542">
            <v>63000</v>
          </cell>
          <cell r="K1542">
            <v>60797</v>
          </cell>
          <cell r="M1542">
            <v>1823</v>
          </cell>
          <cell r="O1542">
            <v>125620</v>
          </cell>
          <cell r="P1542" t="str">
            <v>전5-21</v>
          </cell>
        </row>
        <row r="1544">
          <cell r="D1544" t="str">
            <v>농사용 계량기함</v>
          </cell>
          <cell r="E1544" t="str">
            <v>소형A</v>
          </cell>
        </row>
        <row r="1546">
          <cell r="B1546" t="str">
            <v>농사용 계량기함소형A</v>
          </cell>
          <cell r="C1546" t="str">
            <v>재료비</v>
          </cell>
          <cell r="D1546" t="str">
            <v>농사용 계량기함</v>
          </cell>
          <cell r="E1546" t="str">
            <v>소형A</v>
          </cell>
          <cell r="F1546" t="str">
            <v>개</v>
          </cell>
          <cell r="G1546">
            <v>1</v>
          </cell>
          <cell r="H1546">
            <v>63000</v>
          </cell>
          <cell r="I1546">
            <v>63000</v>
          </cell>
          <cell r="N1546">
            <v>63000</v>
          </cell>
          <cell r="O1546">
            <v>63000</v>
          </cell>
        </row>
        <row r="1548">
          <cell r="C1548" t="str">
            <v>노무비</v>
          </cell>
          <cell r="D1548" t="str">
            <v>내선전공</v>
          </cell>
          <cell r="E1548">
            <v>0.45</v>
          </cell>
          <cell r="F1548" t="str">
            <v>인</v>
          </cell>
          <cell r="G1548">
            <v>0.45</v>
          </cell>
          <cell r="J1548">
            <v>135106</v>
          </cell>
          <cell r="K1548">
            <v>60797</v>
          </cell>
          <cell r="M1548">
            <v>0</v>
          </cell>
          <cell r="N1548">
            <v>135106</v>
          </cell>
          <cell r="O1548">
            <v>60797</v>
          </cell>
        </row>
        <row r="1549">
          <cell r="D1549" t="str">
            <v>공구손료</v>
          </cell>
          <cell r="E1549" t="str">
            <v>노무비의</v>
          </cell>
          <cell r="F1549" t="str">
            <v>%</v>
          </cell>
          <cell r="G1549">
            <v>3</v>
          </cell>
          <cell r="L1549">
            <v>60797</v>
          </cell>
          <cell r="M1549">
            <v>1823</v>
          </cell>
          <cell r="N1549">
            <v>60797</v>
          </cell>
          <cell r="O1549">
            <v>1823</v>
          </cell>
        </row>
        <row r="1550">
          <cell r="A1550">
            <v>114</v>
          </cell>
          <cell r="B1550">
            <v>3</v>
          </cell>
          <cell r="C1550" t="str">
            <v>제114호표</v>
          </cell>
          <cell r="D1550" t="str">
            <v>관내 시설물조사</v>
          </cell>
          <cell r="E1550" t="str">
            <v>현장시설물조사 및 작성</v>
          </cell>
          <cell r="F1550" t="str">
            <v>개소</v>
          </cell>
          <cell r="G1550">
            <v>1</v>
          </cell>
          <cell r="I1550">
            <v>0</v>
          </cell>
          <cell r="K1550">
            <v>18176</v>
          </cell>
          <cell r="M1550">
            <v>0</v>
          </cell>
          <cell r="O1550">
            <v>18176</v>
          </cell>
        </row>
        <row r="1552">
          <cell r="D1552" t="str">
            <v>관내 시설물조사</v>
          </cell>
          <cell r="E1552" t="str">
            <v>현장시설물조사 및 작성</v>
          </cell>
          <cell r="F1552" t="str">
            <v>개소</v>
          </cell>
          <cell r="G1552">
            <v>1</v>
          </cell>
        </row>
        <row r="1554">
          <cell r="D1554" t="str">
            <v>현장시설물조사 및 작성</v>
          </cell>
        </row>
        <row r="1555">
          <cell r="C1555" t="str">
            <v>노무비</v>
          </cell>
          <cell r="D1555" t="str">
            <v>전기공사산업기사</v>
          </cell>
          <cell r="E1555" t="str">
            <v>1*1.15/8</v>
          </cell>
          <cell r="F1555" t="str">
            <v>인</v>
          </cell>
          <cell r="G1555">
            <v>0.14374999999999999</v>
          </cell>
          <cell r="J1555">
            <v>126445</v>
          </cell>
          <cell r="K1555">
            <v>18176</v>
          </cell>
          <cell r="M1555">
            <v>0</v>
          </cell>
          <cell r="N1555">
            <v>126445</v>
          </cell>
          <cell r="O1555">
            <v>18176</v>
          </cell>
        </row>
        <row r="1556">
          <cell r="C1556" t="str">
            <v>산출근거</v>
          </cell>
          <cell r="D1556" t="str">
            <v>전기공사산업기사 : 현장답사15분, 현장조사30분, 서류작성30분 = 1.15hr</v>
          </cell>
        </row>
        <row r="1559">
          <cell r="A1559">
            <v>115</v>
          </cell>
          <cell r="B1559">
            <v>3</v>
          </cell>
          <cell r="C1559" t="str">
            <v>제115호표</v>
          </cell>
          <cell r="D1559" t="str">
            <v>접지저항/절연저항측정/제어기점검</v>
          </cell>
          <cell r="E1559" t="str">
            <v>민원발생출동(주간)</v>
          </cell>
          <cell r="F1559" t="str">
            <v>인</v>
          </cell>
          <cell r="G1559">
            <v>1</v>
          </cell>
          <cell r="I1559">
            <v>0</v>
          </cell>
          <cell r="K1559">
            <v>39291</v>
          </cell>
          <cell r="M1559">
            <v>1178</v>
          </cell>
          <cell r="O1559">
            <v>40469</v>
          </cell>
          <cell r="P1559" t="str">
            <v>전5-47-2</v>
          </cell>
        </row>
        <row r="1560">
          <cell r="D1560" t="str">
            <v>접지저항/절연저항측정/제어기점검</v>
          </cell>
          <cell r="E1560" t="str">
            <v>민원발생출동(주간)</v>
          </cell>
        </row>
        <row r="1562">
          <cell r="D1562" t="str">
            <v>제어기 점검</v>
          </cell>
        </row>
        <row r="1563">
          <cell r="B1563" t="str">
            <v>전기공사산업기사0.13*1.1</v>
          </cell>
          <cell r="C1563" t="str">
            <v>노무비</v>
          </cell>
          <cell r="D1563" t="str">
            <v>전기공사산업기사</v>
          </cell>
          <cell r="E1563" t="str">
            <v>0.13*1.1</v>
          </cell>
          <cell r="F1563" t="str">
            <v>인</v>
          </cell>
          <cell r="G1563">
            <v>0.14300000000000002</v>
          </cell>
          <cell r="J1563">
            <v>126445</v>
          </cell>
          <cell r="K1563">
            <v>18081</v>
          </cell>
          <cell r="M1563">
            <v>0</v>
          </cell>
          <cell r="N1563">
            <v>126445</v>
          </cell>
          <cell r="O1563">
            <v>18081</v>
          </cell>
        </row>
        <row r="1564">
          <cell r="D1564" t="str">
            <v>내선전공</v>
          </cell>
          <cell r="E1564" t="str">
            <v>0.06*1.1</v>
          </cell>
          <cell r="F1564" t="str">
            <v>인</v>
          </cell>
          <cell r="G1564">
            <v>0.06</v>
          </cell>
          <cell r="J1564">
            <v>135106</v>
          </cell>
          <cell r="K1564">
            <v>8106</v>
          </cell>
          <cell r="M1564">
            <v>0</v>
          </cell>
          <cell r="N1564">
            <v>135106</v>
          </cell>
          <cell r="O1564">
            <v>8106</v>
          </cell>
        </row>
        <row r="1566">
          <cell r="D1566" t="str">
            <v>절연저항 측정</v>
          </cell>
        </row>
        <row r="1567">
          <cell r="C1567" t="str">
            <v>노무비</v>
          </cell>
          <cell r="D1567" t="str">
            <v>저압케이블공</v>
          </cell>
          <cell r="E1567">
            <v>0.08</v>
          </cell>
          <cell r="F1567" t="str">
            <v>인</v>
          </cell>
          <cell r="G1567">
            <v>0.08</v>
          </cell>
          <cell r="J1567">
            <v>163808</v>
          </cell>
          <cell r="K1567">
            <v>13104</v>
          </cell>
          <cell r="M1567">
            <v>0</v>
          </cell>
          <cell r="N1567">
            <v>163808</v>
          </cell>
          <cell r="O1567">
            <v>13104</v>
          </cell>
          <cell r="P1567" t="str">
            <v>전4-77</v>
          </cell>
        </row>
        <row r="1568">
          <cell r="D1568" t="str">
            <v>공구손료</v>
          </cell>
          <cell r="E1568" t="str">
            <v>노무비의</v>
          </cell>
          <cell r="F1568" t="str">
            <v>%</v>
          </cell>
          <cell r="G1568">
            <v>3</v>
          </cell>
          <cell r="L1568">
            <v>39291</v>
          </cell>
          <cell r="M1568">
            <v>1178</v>
          </cell>
          <cell r="N1568">
            <v>39291</v>
          </cell>
          <cell r="O1568">
            <v>1178</v>
          </cell>
        </row>
        <row r="1570">
          <cell r="A1570">
            <v>116</v>
          </cell>
          <cell r="B1570">
            <v>3</v>
          </cell>
          <cell r="C1570" t="str">
            <v>제116호표</v>
          </cell>
          <cell r="D1570" t="str">
            <v>접지저항/절연저항측정/제어기점검</v>
          </cell>
          <cell r="E1570" t="str">
            <v xml:space="preserve">민원발생출동(야간) </v>
          </cell>
          <cell r="F1570" t="str">
            <v>인</v>
          </cell>
          <cell r="G1570">
            <v>1</v>
          </cell>
          <cell r="I1570">
            <v>0</v>
          </cell>
          <cell r="K1570">
            <v>50128</v>
          </cell>
          <cell r="M1570">
            <v>1503</v>
          </cell>
          <cell r="O1570">
            <v>51631</v>
          </cell>
          <cell r="P1570" t="str">
            <v>전5-47-2</v>
          </cell>
        </row>
        <row r="1571">
          <cell r="D1571" t="str">
            <v>접지저항/절연저항측정/제어기점검</v>
          </cell>
          <cell r="E1571" t="str">
            <v xml:space="preserve">민원발생출동(야간) </v>
          </cell>
        </row>
        <row r="1573">
          <cell r="D1573" t="str">
            <v>제어기 점검</v>
          </cell>
        </row>
        <row r="1574">
          <cell r="B1574" t="str">
            <v>전기공사산업기사0.13*1.1*1.25</v>
          </cell>
          <cell r="C1574" t="str">
            <v>노무비</v>
          </cell>
          <cell r="D1574" t="str">
            <v>전기공사산업기사</v>
          </cell>
          <cell r="E1574" t="str">
            <v>0.13*1.1*1.25</v>
          </cell>
          <cell r="F1574" t="str">
            <v>인</v>
          </cell>
          <cell r="G1574">
            <v>0.17875000000000002</v>
          </cell>
          <cell r="J1574">
            <v>126445</v>
          </cell>
          <cell r="K1574">
            <v>22602</v>
          </cell>
          <cell r="M1574">
            <v>0</v>
          </cell>
          <cell r="N1574">
            <v>126445</v>
          </cell>
          <cell r="O1574">
            <v>22602</v>
          </cell>
        </row>
        <row r="1575">
          <cell r="D1575" t="str">
            <v>내선전공</v>
          </cell>
          <cell r="E1575" t="str">
            <v>0.06*1.1*1.25</v>
          </cell>
          <cell r="F1575" t="str">
            <v>인</v>
          </cell>
          <cell r="G1575">
            <v>8.2500000000000004E-2</v>
          </cell>
          <cell r="J1575">
            <v>135106</v>
          </cell>
          <cell r="K1575">
            <v>11146</v>
          </cell>
          <cell r="M1575">
            <v>0</v>
          </cell>
          <cell r="N1575">
            <v>135106</v>
          </cell>
          <cell r="O1575">
            <v>11146</v>
          </cell>
        </row>
        <row r="1577">
          <cell r="D1577" t="str">
            <v>절연저항 측정</v>
          </cell>
        </row>
        <row r="1578">
          <cell r="C1578" t="str">
            <v>노무비</v>
          </cell>
          <cell r="D1578" t="str">
            <v>저압케이블공</v>
          </cell>
          <cell r="E1578" t="str">
            <v>0.08*1.25</v>
          </cell>
          <cell r="F1578" t="str">
            <v>인</v>
          </cell>
          <cell r="G1578">
            <v>0.1</v>
          </cell>
          <cell r="J1578">
            <v>163808</v>
          </cell>
          <cell r="K1578">
            <v>16380</v>
          </cell>
          <cell r="M1578">
            <v>0</v>
          </cell>
          <cell r="N1578">
            <v>163808</v>
          </cell>
          <cell r="O1578">
            <v>16380</v>
          </cell>
          <cell r="P1578" t="str">
            <v>전4-77</v>
          </cell>
        </row>
        <row r="1579">
          <cell r="D1579" t="str">
            <v>공구손료</v>
          </cell>
          <cell r="E1579" t="str">
            <v>노무비의</v>
          </cell>
          <cell r="F1579" t="str">
            <v>%</v>
          </cell>
          <cell r="G1579">
            <v>3</v>
          </cell>
          <cell r="L1579">
            <v>50128</v>
          </cell>
          <cell r="M1579">
            <v>1503</v>
          </cell>
          <cell r="N1579">
            <v>50128</v>
          </cell>
          <cell r="O1579">
            <v>1503</v>
          </cell>
        </row>
        <row r="1581">
          <cell r="A1581">
            <v>117</v>
          </cell>
          <cell r="B1581">
            <v>3</v>
          </cell>
          <cell r="C1581" t="str">
            <v>제117호표</v>
          </cell>
          <cell r="D1581" t="str">
            <v>LED 옥외 전광판 설치</v>
          </cell>
          <cell r="E1581" t="str">
            <v>1단6열(2520*420)</v>
          </cell>
          <cell r="F1581" t="str">
            <v>개소</v>
          </cell>
          <cell r="G1581">
            <v>1</v>
          </cell>
          <cell r="I1581">
            <v>0</v>
          </cell>
          <cell r="K1581">
            <v>208818</v>
          </cell>
          <cell r="M1581">
            <v>5775</v>
          </cell>
          <cell r="O1581">
            <v>214593</v>
          </cell>
          <cell r="P1581" t="str">
            <v>전5-55</v>
          </cell>
        </row>
        <row r="1582">
          <cell r="D1582" t="str">
            <v>LED 옥외 전광판 설치</v>
          </cell>
          <cell r="E1582" t="str">
            <v>1단6열(2520*420)</v>
          </cell>
        </row>
        <row r="1584">
          <cell r="B1584" t="str">
            <v>LED 옥외 전광판 설치기존철주에부착</v>
          </cell>
          <cell r="C1584" t="str">
            <v>재료비</v>
          </cell>
          <cell r="D1584" t="str">
            <v>LED 옥외 전광판 설치</v>
          </cell>
          <cell r="E1584" t="str">
            <v>기존철주에부착</v>
          </cell>
          <cell r="F1584" t="str">
            <v>개소</v>
          </cell>
          <cell r="G1584">
            <v>1</v>
          </cell>
          <cell r="I1584">
            <v>0</v>
          </cell>
          <cell r="N1584">
            <v>0</v>
          </cell>
          <cell r="O1584">
            <v>0</v>
          </cell>
        </row>
        <row r="1586">
          <cell r="C1586" t="str">
            <v>노무비</v>
          </cell>
          <cell r="D1586" t="str">
            <v>내선전공</v>
          </cell>
          <cell r="E1586" t="str">
            <v>1.02*(2.520*0.42)*1.2*1.1</v>
          </cell>
          <cell r="F1586" t="str">
            <v>인</v>
          </cell>
          <cell r="G1586">
            <v>1.4250297600000001</v>
          </cell>
          <cell r="J1586">
            <v>135106</v>
          </cell>
          <cell r="K1586">
            <v>192530</v>
          </cell>
          <cell r="M1586">
            <v>0</v>
          </cell>
          <cell r="N1586">
            <v>135106</v>
          </cell>
          <cell r="O1586">
            <v>192530</v>
          </cell>
        </row>
        <row r="1587">
          <cell r="D1587" t="str">
            <v>공구손료</v>
          </cell>
          <cell r="E1587" t="str">
            <v>노무비의</v>
          </cell>
          <cell r="F1587" t="str">
            <v>%</v>
          </cell>
          <cell r="G1587">
            <v>3</v>
          </cell>
          <cell r="L1587">
            <v>192530</v>
          </cell>
          <cell r="M1587">
            <v>5775</v>
          </cell>
          <cell r="N1587">
            <v>192530</v>
          </cell>
          <cell r="O1587">
            <v>5775</v>
          </cell>
        </row>
        <row r="1588">
          <cell r="C1588" t="str">
            <v>도로정리</v>
          </cell>
          <cell r="D1588" t="str">
            <v>보통인부</v>
          </cell>
          <cell r="E1588">
            <v>0.2</v>
          </cell>
          <cell r="F1588" t="str">
            <v>인</v>
          </cell>
          <cell r="G1588">
            <v>0.2</v>
          </cell>
          <cell r="J1588">
            <v>81443</v>
          </cell>
          <cell r="K1588">
            <v>16288</v>
          </cell>
        </row>
        <row r="1590">
          <cell r="A1590">
            <v>118</v>
          </cell>
          <cell r="B1590">
            <v>3</v>
          </cell>
          <cell r="C1590" t="str">
            <v>제118호표</v>
          </cell>
          <cell r="D1590" t="str">
            <v>LED 전광판 문구수정</v>
          </cell>
          <cell r="E1590" t="str">
            <v>1단6열(2520*420)</v>
          </cell>
          <cell r="F1590" t="str">
            <v>개소</v>
          </cell>
          <cell r="G1590">
            <v>1</v>
          </cell>
          <cell r="I1590">
            <v>0</v>
          </cell>
          <cell r="K1590">
            <v>84409</v>
          </cell>
          <cell r="M1590">
            <v>2532</v>
          </cell>
          <cell r="O1590">
            <v>86941</v>
          </cell>
          <cell r="P1590" t="str">
            <v>전5-55</v>
          </cell>
        </row>
        <row r="1592">
          <cell r="D1592" t="str">
            <v>LED 전광판 문구수정</v>
          </cell>
          <cell r="E1592" t="str">
            <v>1단6열(2520*420)</v>
          </cell>
        </row>
        <row r="1594">
          <cell r="B1594" t="str">
            <v>LED 전광판 문구수정</v>
          </cell>
          <cell r="C1594" t="str">
            <v>재료비</v>
          </cell>
          <cell r="D1594" t="str">
            <v>LED 전광판 문구수정</v>
          </cell>
          <cell r="F1594" t="str">
            <v>개소</v>
          </cell>
          <cell r="G1594">
            <v>1</v>
          </cell>
          <cell r="I1594">
            <v>0</v>
          </cell>
          <cell r="N1594">
            <v>0</v>
          </cell>
          <cell r="O1594">
            <v>0</v>
          </cell>
        </row>
        <row r="1596">
          <cell r="C1596" t="str">
            <v>노무비</v>
          </cell>
          <cell r="D1596" t="str">
            <v>H/W 시험사</v>
          </cell>
          <cell r="E1596">
            <v>0.44</v>
          </cell>
          <cell r="F1596" t="str">
            <v>인</v>
          </cell>
          <cell r="G1596">
            <v>0.44</v>
          </cell>
          <cell r="J1596">
            <v>191839</v>
          </cell>
          <cell r="K1596">
            <v>84409</v>
          </cell>
          <cell r="N1596">
            <v>191839</v>
          </cell>
          <cell r="O1596">
            <v>84409</v>
          </cell>
        </row>
        <row r="1597">
          <cell r="D1597" t="str">
            <v>공구손료</v>
          </cell>
          <cell r="E1597" t="str">
            <v>노무비의</v>
          </cell>
          <cell r="F1597" t="str">
            <v>%</v>
          </cell>
          <cell r="G1597">
            <v>3</v>
          </cell>
          <cell r="L1597">
            <v>84409</v>
          </cell>
          <cell r="M1597">
            <v>2532</v>
          </cell>
          <cell r="N1597">
            <v>84409</v>
          </cell>
          <cell r="O1597">
            <v>2532</v>
          </cell>
        </row>
        <row r="1599">
          <cell r="A1599">
            <v>119</v>
          </cell>
          <cell r="B1599">
            <v>3</v>
          </cell>
          <cell r="C1599" t="str">
            <v>제119호표</v>
          </cell>
          <cell r="D1599" t="str">
            <v>조가선 설치(가공)</v>
          </cell>
          <cell r="E1599" t="str">
            <v>용융도금6MM</v>
          </cell>
          <cell r="F1599" t="str">
            <v>m</v>
          </cell>
          <cell r="G1599">
            <v>1</v>
          </cell>
          <cell r="I1599">
            <v>1380</v>
          </cell>
          <cell r="K1599">
            <v>1390</v>
          </cell>
          <cell r="M1599">
            <v>41</v>
          </cell>
          <cell r="O1599">
            <v>2811</v>
          </cell>
          <cell r="P1599" t="str">
            <v>전4-28</v>
          </cell>
        </row>
        <row r="1601">
          <cell r="D1601" t="str">
            <v>조가선 설치(가공)</v>
          </cell>
          <cell r="E1601" t="str">
            <v>용융도금6MM</v>
          </cell>
        </row>
        <row r="1603">
          <cell r="B1603" t="str">
            <v>와이어로프(용융도금)6mm</v>
          </cell>
          <cell r="C1603" t="str">
            <v>재료비</v>
          </cell>
          <cell r="D1603" t="str">
            <v>와이어로프(용융도금)</v>
          </cell>
          <cell r="E1603" t="str">
            <v>6mm</v>
          </cell>
          <cell r="F1603" t="str">
            <v>m</v>
          </cell>
          <cell r="G1603">
            <v>1</v>
          </cell>
          <cell r="H1603">
            <v>1380</v>
          </cell>
          <cell r="I1603">
            <v>1380</v>
          </cell>
          <cell r="J1603">
            <v>0</v>
          </cell>
          <cell r="L1603">
            <v>0</v>
          </cell>
          <cell r="N1603">
            <v>1380</v>
          </cell>
          <cell r="O1603">
            <v>1380</v>
          </cell>
        </row>
        <row r="1604">
          <cell r="C1604" t="str">
            <v>노무비</v>
          </cell>
          <cell r="D1604" t="str">
            <v>저압케이블공</v>
          </cell>
          <cell r="E1604" t="str">
            <v>0.00483*1.2*1.1</v>
          </cell>
          <cell r="F1604" t="str">
            <v>인</v>
          </cell>
          <cell r="G1604">
            <v>6.3756000000000004E-3</v>
          </cell>
          <cell r="J1604">
            <v>163808</v>
          </cell>
          <cell r="K1604">
            <v>1044</v>
          </cell>
          <cell r="N1604">
            <v>163808</v>
          </cell>
          <cell r="O1604">
            <v>1044</v>
          </cell>
          <cell r="P1604">
            <v>0</v>
          </cell>
        </row>
        <row r="1605">
          <cell r="D1605" t="str">
            <v>보통인부</v>
          </cell>
          <cell r="E1605" t="str">
            <v>0.00322*1.2*1.1</v>
          </cell>
          <cell r="F1605" t="str">
            <v>인</v>
          </cell>
          <cell r="G1605">
            <v>4.2504000000000005E-3</v>
          </cell>
          <cell r="J1605">
            <v>81443</v>
          </cell>
          <cell r="K1605">
            <v>346</v>
          </cell>
          <cell r="N1605">
            <v>81443</v>
          </cell>
          <cell r="O1605">
            <v>346</v>
          </cell>
          <cell r="P1605">
            <v>0</v>
          </cell>
        </row>
        <row r="1606">
          <cell r="D1606" t="str">
            <v>공구손료</v>
          </cell>
          <cell r="E1606" t="str">
            <v>노무비의</v>
          </cell>
          <cell r="F1606" t="str">
            <v>%</v>
          </cell>
          <cell r="G1606">
            <v>3</v>
          </cell>
          <cell r="L1606">
            <v>1390</v>
          </cell>
          <cell r="M1606">
            <v>41</v>
          </cell>
          <cell r="N1606">
            <v>1390</v>
          </cell>
          <cell r="O1606">
            <v>41</v>
          </cell>
        </row>
        <row r="1608">
          <cell r="A1608">
            <v>120</v>
          </cell>
          <cell r="B1608">
            <v>3</v>
          </cell>
          <cell r="C1608" t="str">
            <v>제120호표</v>
          </cell>
          <cell r="D1608" t="str">
            <v>로봇팔 설치</v>
          </cell>
          <cell r="E1608" t="str">
            <v>(노임)</v>
          </cell>
          <cell r="F1608" t="str">
            <v>개</v>
          </cell>
          <cell r="G1608">
            <v>1</v>
          </cell>
          <cell r="I1608">
            <v>0</v>
          </cell>
          <cell r="K1608">
            <v>49163</v>
          </cell>
          <cell r="M1608">
            <v>1474</v>
          </cell>
          <cell r="O1608">
            <v>50637</v>
          </cell>
          <cell r="P1608" t="str">
            <v>전6-2</v>
          </cell>
        </row>
        <row r="1610">
          <cell r="D1610" t="str">
            <v>로봇팔 설치</v>
          </cell>
          <cell r="E1610" t="str">
            <v>(노임)</v>
          </cell>
        </row>
        <row r="1612">
          <cell r="B1612" t="str">
            <v>로봇팔</v>
          </cell>
          <cell r="C1612" t="str">
            <v>재료비</v>
          </cell>
          <cell r="D1612" t="str">
            <v>로봇팔</v>
          </cell>
          <cell r="F1612" t="str">
            <v>개</v>
          </cell>
          <cell r="G1612">
            <v>1</v>
          </cell>
          <cell r="I1612">
            <v>0</v>
          </cell>
          <cell r="J1612">
            <v>0</v>
          </cell>
          <cell r="L1612">
            <v>0</v>
          </cell>
          <cell r="N1612">
            <v>0</v>
          </cell>
          <cell r="O1612">
            <v>0</v>
          </cell>
        </row>
        <row r="1613">
          <cell r="C1613" t="str">
            <v>노무비</v>
          </cell>
          <cell r="D1613" t="str">
            <v>계장공</v>
          </cell>
          <cell r="E1613" t="str">
            <v>0.3*1.1</v>
          </cell>
          <cell r="F1613" t="str">
            <v>인</v>
          </cell>
          <cell r="G1613">
            <v>0.33</v>
          </cell>
          <cell r="J1613">
            <v>148981</v>
          </cell>
          <cell r="K1613">
            <v>49163</v>
          </cell>
          <cell r="N1613">
            <v>148981</v>
          </cell>
          <cell r="O1613">
            <v>49163</v>
          </cell>
          <cell r="P1613">
            <v>0</v>
          </cell>
        </row>
        <row r="1614">
          <cell r="D1614" t="str">
            <v>공구손료</v>
          </cell>
          <cell r="E1614" t="str">
            <v>노무비의</v>
          </cell>
          <cell r="F1614" t="str">
            <v>%</v>
          </cell>
          <cell r="G1614">
            <v>3</v>
          </cell>
          <cell r="L1614">
            <v>49163</v>
          </cell>
          <cell r="M1614">
            <v>1474</v>
          </cell>
          <cell r="N1614">
            <v>49163</v>
          </cell>
          <cell r="O1614">
            <v>1474</v>
          </cell>
        </row>
        <row r="1616">
          <cell r="A1616">
            <v>121</v>
          </cell>
          <cell r="B1616">
            <v>3</v>
          </cell>
          <cell r="C1616" t="str">
            <v>제121호표</v>
          </cell>
          <cell r="D1616" t="str">
            <v>랙(반도) 설치</v>
          </cell>
          <cell r="E1616" t="str">
            <v>용융도금</v>
          </cell>
          <cell r="F1616" t="str">
            <v>개</v>
          </cell>
          <cell r="G1616">
            <v>1</v>
          </cell>
          <cell r="I1616">
            <v>5553</v>
          </cell>
          <cell r="K1616">
            <v>13601</v>
          </cell>
          <cell r="M1616">
            <v>408</v>
          </cell>
          <cell r="O1616">
            <v>19562</v>
          </cell>
          <cell r="P1616" t="str">
            <v>전4-8</v>
          </cell>
        </row>
        <row r="1618">
          <cell r="D1618" t="str">
            <v>랙(반도) 설치</v>
          </cell>
          <cell r="E1618" t="str">
            <v>용융도금</v>
          </cell>
        </row>
        <row r="1620">
          <cell r="B1620" t="str">
            <v>랙크1선</v>
          </cell>
          <cell r="C1620" t="str">
            <v>재료비</v>
          </cell>
          <cell r="D1620" t="str">
            <v>랙크</v>
          </cell>
          <cell r="E1620" t="str">
            <v>1선</v>
          </cell>
          <cell r="F1620" t="str">
            <v>개</v>
          </cell>
          <cell r="G1620">
            <v>1</v>
          </cell>
          <cell r="H1620">
            <v>1650</v>
          </cell>
          <cell r="I1620">
            <v>1650</v>
          </cell>
          <cell r="J1620">
            <v>0</v>
          </cell>
          <cell r="L1620">
            <v>0</v>
          </cell>
          <cell r="N1620">
            <v>1650</v>
          </cell>
          <cell r="O1620">
            <v>1650</v>
          </cell>
        </row>
        <row r="1621">
          <cell r="B1621" t="str">
            <v>암타이밴드1방4호</v>
          </cell>
          <cell r="C1621" t="str">
            <v>재료비</v>
          </cell>
          <cell r="D1621" t="str">
            <v>암타이밴드</v>
          </cell>
          <cell r="E1621" t="str">
            <v>1방4호</v>
          </cell>
          <cell r="F1621" t="str">
            <v>개</v>
          </cell>
          <cell r="G1621">
            <v>1</v>
          </cell>
          <cell r="H1621">
            <v>3903</v>
          </cell>
          <cell r="I1621">
            <v>3903</v>
          </cell>
          <cell r="J1621">
            <v>0</v>
          </cell>
          <cell r="L1621">
            <v>0</v>
          </cell>
          <cell r="N1621">
            <v>3903</v>
          </cell>
          <cell r="O1621">
            <v>3903</v>
          </cell>
        </row>
        <row r="1623">
          <cell r="C1623" t="str">
            <v>노무비</v>
          </cell>
          <cell r="D1623" t="str">
            <v>배전전공</v>
          </cell>
          <cell r="E1623" t="str">
            <v>0.048*1.1</v>
          </cell>
          <cell r="F1623" t="str">
            <v>인</v>
          </cell>
          <cell r="G1623">
            <v>5.2800000000000007E-2</v>
          </cell>
          <cell r="J1623">
            <v>216877</v>
          </cell>
          <cell r="K1623">
            <v>11451</v>
          </cell>
          <cell r="N1623">
            <v>216877</v>
          </cell>
          <cell r="O1623">
            <v>11451</v>
          </cell>
          <cell r="P1623">
            <v>0</v>
          </cell>
        </row>
        <row r="1624">
          <cell r="D1624" t="str">
            <v>보통인부</v>
          </cell>
          <cell r="E1624" t="str">
            <v>0.024*1.1</v>
          </cell>
          <cell r="F1624" t="str">
            <v>인</v>
          </cell>
          <cell r="G1624">
            <v>2.6400000000000003E-2</v>
          </cell>
          <cell r="J1624">
            <v>81443</v>
          </cell>
          <cell r="K1624">
            <v>2150</v>
          </cell>
          <cell r="N1624">
            <v>81443</v>
          </cell>
          <cell r="O1624">
            <v>2150</v>
          </cell>
          <cell r="P1624">
            <v>0</v>
          </cell>
        </row>
        <row r="1625">
          <cell r="D1625" t="str">
            <v>공구손료</v>
          </cell>
          <cell r="E1625" t="str">
            <v>노무비의</v>
          </cell>
          <cell r="F1625" t="str">
            <v>%</v>
          </cell>
          <cell r="G1625">
            <v>3</v>
          </cell>
          <cell r="L1625">
            <v>13601</v>
          </cell>
          <cell r="M1625">
            <v>408</v>
          </cell>
          <cell r="N1625">
            <v>13601</v>
          </cell>
          <cell r="O1625">
            <v>408</v>
          </cell>
        </row>
        <row r="1627">
          <cell r="A1627">
            <v>122</v>
          </cell>
          <cell r="B1627">
            <v>3</v>
          </cell>
          <cell r="C1627" t="str">
            <v>제122호표</v>
          </cell>
          <cell r="D1627" t="str">
            <v>철주 커버 설치</v>
          </cell>
          <cell r="E1627" t="str">
            <v>플라스틱/알루미늄/SUS</v>
          </cell>
          <cell r="F1627" t="str">
            <v>개</v>
          </cell>
          <cell r="G1627">
            <v>1</v>
          </cell>
          <cell r="I1627">
            <v>5000</v>
          </cell>
          <cell r="K1627">
            <v>4053</v>
          </cell>
          <cell r="M1627">
            <v>121</v>
          </cell>
          <cell r="O1627">
            <v>9174</v>
          </cell>
          <cell r="P1627" t="str">
            <v>전5-29</v>
          </cell>
        </row>
        <row r="1629">
          <cell r="D1629" t="str">
            <v>철주 커버 설치</v>
          </cell>
          <cell r="E1629" t="str">
            <v>플라스틱/알루미늄/SUS</v>
          </cell>
        </row>
        <row r="1631">
          <cell r="B1631" t="str">
            <v>철주점검구 커버플라스틱/알루미늄/SUS</v>
          </cell>
          <cell r="C1631" t="str">
            <v>재료비</v>
          </cell>
          <cell r="D1631" t="str">
            <v>철주점검구 커버</v>
          </cell>
          <cell r="E1631" t="str">
            <v>플라스틱/알루미늄/SUS</v>
          </cell>
          <cell r="F1631" t="str">
            <v>개</v>
          </cell>
          <cell r="G1631">
            <v>1</v>
          </cell>
          <cell r="H1631">
            <v>5000</v>
          </cell>
          <cell r="I1631">
            <v>5000</v>
          </cell>
          <cell r="J1631">
            <v>0</v>
          </cell>
          <cell r="L1631">
            <v>0</v>
          </cell>
          <cell r="N1631">
            <v>5000</v>
          </cell>
          <cell r="O1631">
            <v>5000</v>
          </cell>
        </row>
        <row r="1633">
          <cell r="C1633" t="str">
            <v>노무비</v>
          </cell>
          <cell r="D1633" t="str">
            <v>내선전공</v>
          </cell>
          <cell r="E1633">
            <v>0.03</v>
          </cell>
          <cell r="F1633" t="str">
            <v>인</v>
          </cell>
          <cell r="G1633">
            <v>0.03</v>
          </cell>
          <cell r="J1633">
            <v>135106</v>
          </cell>
          <cell r="K1633">
            <v>4053</v>
          </cell>
          <cell r="N1633">
            <v>135106</v>
          </cell>
          <cell r="O1633">
            <v>4053</v>
          </cell>
          <cell r="P1633">
            <v>0</v>
          </cell>
        </row>
        <row r="1634">
          <cell r="D1634" t="str">
            <v>공구손료</v>
          </cell>
          <cell r="E1634" t="str">
            <v>노무비의</v>
          </cell>
          <cell r="F1634" t="str">
            <v>%</v>
          </cell>
          <cell r="G1634">
            <v>3</v>
          </cell>
          <cell r="L1634">
            <v>4053</v>
          </cell>
          <cell r="M1634">
            <v>121</v>
          </cell>
          <cell r="N1634">
            <v>4053</v>
          </cell>
          <cell r="O1634">
            <v>121</v>
          </cell>
        </row>
        <row r="1639">
          <cell r="A1639">
            <v>123</v>
          </cell>
          <cell r="B1639">
            <v>3</v>
          </cell>
          <cell r="C1639" t="str">
            <v>제123호표</v>
          </cell>
          <cell r="D1639" t="str">
            <v>차광망세척</v>
          </cell>
          <cell r="F1639" t="str">
            <v>개소</v>
          </cell>
          <cell r="G1639">
            <v>1</v>
          </cell>
          <cell r="I1639">
            <v>0</v>
          </cell>
          <cell r="K1639">
            <v>12061</v>
          </cell>
          <cell r="M1639">
            <v>0</v>
          </cell>
          <cell r="O1639">
            <v>12061</v>
          </cell>
          <cell r="P1639" t="str">
            <v>전5-46</v>
          </cell>
        </row>
        <row r="1641">
          <cell r="D1641" t="str">
            <v>차광망세척</v>
          </cell>
          <cell r="F1641" t="str">
            <v>개소</v>
          </cell>
        </row>
        <row r="1643">
          <cell r="C1643" t="str">
            <v>노무비</v>
          </cell>
          <cell r="D1643" t="str">
            <v>내선전공</v>
          </cell>
          <cell r="E1643" t="str">
            <v>0.3*1.1*0.15</v>
          </cell>
          <cell r="F1643" t="str">
            <v>인</v>
          </cell>
          <cell r="G1643">
            <v>4.9500000000000002E-2</v>
          </cell>
          <cell r="I1643">
            <v>0</v>
          </cell>
          <cell r="J1643">
            <v>135106</v>
          </cell>
          <cell r="K1643">
            <v>6687</v>
          </cell>
          <cell r="M1643">
            <v>0</v>
          </cell>
          <cell r="N1643">
            <v>135106</v>
          </cell>
          <cell r="O1643">
            <v>6687</v>
          </cell>
        </row>
        <row r="1644">
          <cell r="D1644" t="str">
            <v>보통인부</v>
          </cell>
          <cell r="E1644" t="str">
            <v>0.2*1.1*0.15</v>
          </cell>
          <cell r="F1644" t="str">
            <v>인</v>
          </cell>
          <cell r="G1644">
            <v>3.3000000000000002E-2</v>
          </cell>
          <cell r="I1644">
            <v>0</v>
          </cell>
          <cell r="J1644">
            <v>81443</v>
          </cell>
          <cell r="K1644">
            <v>2687</v>
          </cell>
          <cell r="M1644">
            <v>0</v>
          </cell>
          <cell r="N1644">
            <v>81443</v>
          </cell>
          <cell r="O1644">
            <v>2687</v>
          </cell>
        </row>
        <row r="1645">
          <cell r="C1645" t="str">
            <v>도로정리</v>
          </cell>
          <cell r="D1645" t="str">
            <v>보통인부</v>
          </cell>
          <cell r="E1645" t="str">
            <v>0.2*1.1*0.15</v>
          </cell>
          <cell r="F1645" t="str">
            <v>인</v>
          </cell>
          <cell r="G1645">
            <v>3.3000000000000002E-2</v>
          </cell>
          <cell r="I1645">
            <v>0</v>
          </cell>
          <cell r="J1645">
            <v>81443</v>
          </cell>
          <cell r="K1645">
            <v>2687</v>
          </cell>
          <cell r="M1645">
            <v>0</v>
          </cell>
          <cell r="N1645">
            <v>81443</v>
          </cell>
          <cell r="O1645">
            <v>2687</v>
          </cell>
        </row>
        <row r="1647">
          <cell r="A1647">
            <v>124</v>
          </cell>
          <cell r="B1647">
            <v>3</v>
          </cell>
          <cell r="C1647" t="str">
            <v>제124호표</v>
          </cell>
          <cell r="D1647" t="str">
            <v>차량등(LED1색,2색,3색,4색) 청소</v>
          </cell>
          <cell r="E1647" t="str">
            <v>SET</v>
          </cell>
          <cell r="F1647" t="str">
            <v>개</v>
          </cell>
          <cell r="G1647">
            <v>1</v>
          </cell>
          <cell r="I1647">
            <v>0</v>
          </cell>
          <cell r="K1647">
            <v>39662</v>
          </cell>
          <cell r="M1647">
            <v>0</v>
          </cell>
          <cell r="O1647">
            <v>39662</v>
          </cell>
          <cell r="P1647" t="str">
            <v>전5-46</v>
          </cell>
        </row>
        <row r="1649">
          <cell r="D1649" t="str">
            <v>차량등(LED1색,2색,3색,4색) 청소</v>
          </cell>
          <cell r="E1649" t="str">
            <v>SET</v>
          </cell>
          <cell r="F1649" t="str">
            <v>개</v>
          </cell>
        </row>
        <row r="1651">
          <cell r="C1651" t="str">
            <v>노무비</v>
          </cell>
          <cell r="D1651" t="str">
            <v>내선전공</v>
          </cell>
          <cell r="E1651" t="str">
            <v>0.9*1.1*1.2*0.15</v>
          </cell>
          <cell r="F1651" t="str">
            <v>인</v>
          </cell>
          <cell r="G1651">
            <v>0.17820000000000003</v>
          </cell>
          <cell r="I1651">
            <v>0</v>
          </cell>
          <cell r="J1651">
            <v>135106</v>
          </cell>
          <cell r="K1651">
            <v>24075</v>
          </cell>
          <cell r="M1651">
            <v>0</v>
          </cell>
          <cell r="N1651">
            <v>135106</v>
          </cell>
          <cell r="O1651">
            <v>24075</v>
          </cell>
        </row>
        <row r="1652">
          <cell r="D1652" t="str">
            <v>보통인부</v>
          </cell>
          <cell r="E1652" t="str">
            <v>0.8*1.1*1.2*0.15</v>
          </cell>
          <cell r="F1652" t="str">
            <v>인</v>
          </cell>
          <cell r="G1652">
            <v>0.15840000000000001</v>
          </cell>
          <cell r="I1652">
            <v>0</v>
          </cell>
          <cell r="J1652">
            <v>81443</v>
          </cell>
          <cell r="K1652">
            <v>12900</v>
          </cell>
          <cell r="M1652">
            <v>0</v>
          </cell>
          <cell r="N1652">
            <v>81443</v>
          </cell>
          <cell r="O1652">
            <v>12900</v>
          </cell>
        </row>
        <row r="1653">
          <cell r="C1653" t="str">
            <v>도로정리</v>
          </cell>
          <cell r="D1653" t="str">
            <v>보통인부</v>
          </cell>
          <cell r="E1653" t="str">
            <v>0.2*1.1*0.15</v>
          </cell>
          <cell r="F1653" t="str">
            <v>인</v>
          </cell>
          <cell r="G1653">
            <v>3.3000000000000002E-2</v>
          </cell>
          <cell r="I1653">
            <v>0</v>
          </cell>
          <cell r="J1653">
            <v>81443</v>
          </cell>
          <cell r="K1653">
            <v>2687</v>
          </cell>
          <cell r="M1653">
            <v>0</v>
          </cell>
          <cell r="N1653">
            <v>81443</v>
          </cell>
          <cell r="O1653">
            <v>2687</v>
          </cell>
        </row>
        <row r="1655">
          <cell r="A1655">
            <v>125</v>
          </cell>
          <cell r="B1655">
            <v>3</v>
          </cell>
          <cell r="C1655" t="str">
            <v>제125호표</v>
          </cell>
          <cell r="D1655" t="str">
            <v>보행등(LED2색) 청소</v>
          </cell>
          <cell r="E1655" t="str">
            <v>SET</v>
          </cell>
          <cell r="F1655" t="str">
            <v>개</v>
          </cell>
          <cell r="G1655">
            <v>1</v>
          </cell>
          <cell r="I1655">
            <v>0</v>
          </cell>
          <cell r="K1655">
            <v>12061</v>
          </cell>
          <cell r="M1655">
            <v>0</v>
          </cell>
          <cell r="O1655">
            <v>12061</v>
          </cell>
          <cell r="P1655" t="str">
            <v>전5-46</v>
          </cell>
        </row>
        <row r="1657">
          <cell r="D1657" t="str">
            <v>보행등(LED2색) 청소</v>
          </cell>
          <cell r="E1657" t="str">
            <v>SET</v>
          </cell>
          <cell r="F1657" t="str">
            <v>개</v>
          </cell>
        </row>
        <row r="1659">
          <cell r="C1659" t="str">
            <v>노무비</v>
          </cell>
          <cell r="D1659" t="str">
            <v>내선전공</v>
          </cell>
          <cell r="E1659" t="str">
            <v>0.3*1.1*0.15</v>
          </cell>
          <cell r="F1659" t="str">
            <v>인</v>
          </cell>
          <cell r="G1659">
            <v>4.9500000000000002E-2</v>
          </cell>
          <cell r="I1659">
            <v>0</v>
          </cell>
          <cell r="J1659">
            <v>135106</v>
          </cell>
          <cell r="K1659">
            <v>6687</v>
          </cell>
          <cell r="M1659">
            <v>0</v>
          </cell>
          <cell r="N1659">
            <v>135106</v>
          </cell>
          <cell r="O1659">
            <v>6687</v>
          </cell>
        </row>
        <row r="1660">
          <cell r="D1660" t="str">
            <v>보통인부</v>
          </cell>
          <cell r="E1660" t="str">
            <v>0.2*1.1*0.15</v>
          </cell>
          <cell r="F1660" t="str">
            <v>인</v>
          </cell>
          <cell r="G1660">
            <v>3.3000000000000002E-2</v>
          </cell>
          <cell r="I1660">
            <v>0</v>
          </cell>
          <cell r="J1660">
            <v>81443</v>
          </cell>
          <cell r="K1660">
            <v>2687</v>
          </cell>
          <cell r="M1660">
            <v>0</v>
          </cell>
          <cell r="N1660">
            <v>81443</v>
          </cell>
          <cell r="O1660">
            <v>2687</v>
          </cell>
        </row>
        <row r="1661">
          <cell r="C1661" t="str">
            <v>도로정리</v>
          </cell>
          <cell r="D1661" t="str">
            <v>보통인부</v>
          </cell>
          <cell r="E1661" t="str">
            <v>0.2*1.1*0.15</v>
          </cell>
          <cell r="F1661" t="str">
            <v>인</v>
          </cell>
          <cell r="G1661">
            <v>3.3000000000000002E-2</v>
          </cell>
          <cell r="I1661">
            <v>0</v>
          </cell>
          <cell r="J1661">
            <v>81443</v>
          </cell>
          <cell r="K1661">
            <v>2687</v>
          </cell>
          <cell r="M1661">
            <v>0</v>
          </cell>
          <cell r="N1661">
            <v>81443</v>
          </cell>
          <cell r="O1661">
            <v>2687</v>
          </cell>
        </row>
        <row r="1663">
          <cell r="A1663">
            <v>126</v>
          </cell>
          <cell r="B1663">
            <v>3</v>
          </cell>
          <cell r="C1663" t="str">
            <v>제126호표</v>
          </cell>
          <cell r="D1663" t="str">
            <v>제어기좌대 도색</v>
          </cell>
          <cell r="E1663" t="str">
            <v>개소당</v>
          </cell>
          <cell r="F1663" t="str">
            <v>개소</v>
          </cell>
          <cell r="G1663">
            <v>1</v>
          </cell>
          <cell r="I1663">
            <v>3263</v>
          </cell>
          <cell r="K1663">
            <v>13516</v>
          </cell>
          <cell r="M1663">
            <v>0</v>
          </cell>
          <cell r="O1663">
            <v>16779</v>
          </cell>
          <cell r="P1663" t="str">
            <v>건19-3</v>
          </cell>
        </row>
        <row r="1665">
          <cell r="D1665" t="str">
            <v>제어기좌대 도색</v>
          </cell>
          <cell r="E1665" t="str">
            <v>㎡</v>
          </cell>
        </row>
        <row r="1667">
          <cell r="B1667" t="str">
            <v>조합페인트황색</v>
          </cell>
          <cell r="C1667" t="str">
            <v>재료비</v>
          </cell>
          <cell r="D1667" t="str">
            <v>조합페인트</v>
          </cell>
          <cell r="E1667" t="str">
            <v>황색</v>
          </cell>
          <cell r="F1667" t="str">
            <v>L</v>
          </cell>
          <cell r="G1667">
            <v>0.19900000000000001</v>
          </cell>
          <cell r="H1667">
            <v>6050</v>
          </cell>
          <cell r="I1667">
            <v>1203</v>
          </cell>
          <cell r="K1667">
            <v>0</v>
          </cell>
          <cell r="M1667">
            <v>0</v>
          </cell>
          <cell r="N1667">
            <v>6050</v>
          </cell>
          <cell r="O1667">
            <v>1203</v>
          </cell>
        </row>
        <row r="1668">
          <cell r="B1668" t="str">
            <v>신너KSM6060(2종)</v>
          </cell>
          <cell r="D1668" t="str">
            <v>신너</v>
          </cell>
          <cell r="E1668" t="str">
            <v>KSM6060(2종)</v>
          </cell>
          <cell r="F1668" t="str">
            <v>L</v>
          </cell>
          <cell r="G1668">
            <v>8.0000000000000002E-3</v>
          </cell>
          <cell r="H1668">
            <v>2150</v>
          </cell>
          <cell r="I1668">
            <v>17</v>
          </cell>
          <cell r="K1668">
            <v>0</v>
          </cell>
          <cell r="M1668">
            <v>0</v>
          </cell>
          <cell r="N1668">
            <v>2150</v>
          </cell>
          <cell r="O1668">
            <v>17</v>
          </cell>
        </row>
        <row r="1669">
          <cell r="B1669" t="str">
            <v>퍼티수성,외부용</v>
          </cell>
          <cell r="D1669" t="str">
            <v>퍼티</v>
          </cell>
          <cell r="E1669" t="str">
            <v>수성,외부용</v>
          </cell>
          <cell r="F1669" t="str">
            <v>L</v>
          </cell>
          <cell r="G1669">
            <v>0.06</v>
          </cell>
          <cell r="H1669">
            <v>1875</v>
          </cell>
          <cell r="I1669">
            <v>112</v>
          </cell>
          <cell r="K1669">
            <v>0</v>
          </cell>
          <cell r="M1669">
            <v>0</v>
          </cell>
          <cell r="N1669">
            <v>1875</v>
          </cell>
          <cell r="O1669">
            <v>112</v>
          </cell>
        </row>
        <row r="1670">
          <cell r="B1670" t="str">
            <v>연마지#80, 230x280mm</v>
          </cell>
          <cell r="D1670" t="str">
            <v>연마지</v>
          </cell>
          <cell r="E1670" t="str">
            <v>#80, 230x280mm</v>
          </cell>
          <cell r="F1670" t="str">
            <v>매</v>
          </cell>
          <cell r="G1670">
            <v>0.5</v>
          </cell>
          <cell r="H1670">
            <v>250</v>
          </cell>
          <cell r="I1670">
            <v>125</v>
          </cell>
        </row>
        <row r="1671">
          <cell r="C1671" t="str">
            <v>노무비</v>
          </cell>
          <cell r="D1671" t="str">
            <v>도장공</v>
          </cell>
          <cell r="E1671">
            <v>5.5E-2</v>
          </cell>
          <cell r="F1671" t="str">
            <v>인</v>
          </cell>
          <cell r="G1671">
            <v>5.5E-2</v>
          </cell>
          <cell r="I1671">
            <v>0</v>
          </cell>
          <cell r="J1671">
            <v>109720</v>
          </cell>
          <cell r="K1671">
            <v>6034</v>
          </cell>
          <cell r="M1671">
            <v>0</v>
          </cell>
          <cell r="N1671">
            <v>109720</v>
          </cell>
          <cell r="O1671">
            <v>6034</v>
          </cell>
        </row>
        <row r="1672">
          <cell r="D1672" t="str">
            <v>소계</v>
          </cell>
          <cell r="E1672" t="str">
            <v>㎡</v>
          </cell>
          <cell r="I1672">
            <v>1457</v>
          </cell>
          <cell r="K1672">
            <v>6034</v>
          </cell>
          <cell r="M1672">
            <v>0</v>
          </cell>
          <cell r="O1672">
            <v>7366</v>
          </cell>
        </row>
        <row r="1674">
          <cell r="D1674" t="str">
            <v>제어기좌대 도색</v>
          </cell>
          <cell r="E1674" t="str">
            <v>개소당</v>
          </cell>
          <cell r="G1674">
            <v>2.2400000000000002</v>
          </cell>
          <cell r="H1674">
            <v>1457</v>
          </cell>
          <cell r="I1674">
            <v>3263</v>
          </cell>
          <cell r="J1674">
            <v>6034</v>
          </cell>
          <cell r="K1674">
            <v>13516</v>
          </cell>
          <cell r="L1674">
            <v>0</v>
          </cell>
          <cell r="M1674">
            <v>0</v>
          </cell>
          <cell r="N1674">
            <v>7491</v>
          </cell>
          <cell r="O1674">
            <v>16779</v>
          </cell>
        </row>
        <row r="1676">
          <cell r="D1676" t="str">
            <v>산  출  근  거</v>
          </cell>
          <cell r="G1676">
            <v>600</v>
          </cell>
          <cell r="J1676">
            <v>800</v>
          </cell>
        </row>
        <row r="1677">
          <cell r="D1677" t="str">
            <v>정면,뒷면 : 0.8*0.8*2= 1.28㎡</v>
          </cell>
        </row>
        <row r="1678">
          <cell r="D1678" t="str">
            <v>측면 : 0.6*0.8*2= 0.96㎡</v>
          </cell>
        </row>
        <row r="1679">
          <cell r="D1679" t="str">
            <v>계 : 1.28+0.96=2.24</v>
          </cell>
        </row>
        <row r="1680">
          <cell r="G1680" t="str">
            <v>일반형 제어기 좌대</v>
          </cell>
        </row>
        <row r="1681">
          <cell r="G1681" t="str">
            <v>가로*세로*높이</v>
          </cell>
        </row>
        <row r="1682">
          <cell r="G1682" t="str">
            <v>800*600*800</v>
          </cell>
        </row>
        <row r="1684">
          <cell r="G1684">
            <v>800</v>
          </cell>
        </row>
        <row r="1687">
          <cell r="A1687">
            <v>127</v>
          </cell>
          <cell r="B1687">
            <v>3</v>
          </cell>
          <cell r="C1687" t="str">
            <v>제127호표</v>
          </cell>
          <cell r="D1687" t="str">
            <v>보행자작동스위치 설치</v>
          </cell>
          <cell r="E1687" t="str">
            <v>경찰청규격</v>
          </cell>
          <cell r="F1687" t="str">
            <v>개</v>
          </cell>
          <cell r="G1687">
            <v>1</v>
          </cell>
          <cell r="I1687">
            <v>150000</v>
          </cell>
          <cell r="K1687">
            <v>8781</v>
          </cell>
          <cell r="M1687">
            <v>263</v>
          </cell>
          <cell r="O1687">
            <v>159044</v>
          </cell>
          <cell r="P1687" t="str">
            <v>전5-23</v>
          </cell>
        </row>
        <row r="1688">
          <cell r="D1688" t="str">
            <v>보행자작동스위치 설치</v>
          </cell>
          <cell r="E1688" t="str">
            <v>경찰청규격</v>
          </cell>
        </row>
        <row r="1690">
          <cell r="B1690" t="str">
            <v>보행자작동스위치경찰청규격</v>
          </cell>
          <cell r="C1690" t="str">
            <v>재료비</v>
          </cell>
          <cell r="D1690" t="str">
            <v>보행자작동스위치</v>
          </cell>
          <cell r="E1690" t="str">
            <v>경찰청규격</v>
          </cell>
          <cell r="F1690" t="str">
            <v>개</v>
          </cell>
          <cell r="G1690">
            <v>1</v>
          </cell>
          <cell r="H1690">
            <v>150000</v>
          </cell>
          <cell r="I1690">
            <v>150000</v>
          </cell>
          <cell r="K1690">
            <v>0</v>
          </cell>
          <cell r="M1690">
            <v>0</v>
          </cell>
          <cell r="N1690">
            <v>150000</v>
          </cell>
          <cell r="O1690">
            <v>150000</v>
          </cell>
        </row>
        <row r="1692">
          <cell r="C1692" t="str">
            <v>노무비</v>
          </cell>
          <cell r="D1692" t="str">
            <v>내선전공</v>
          </cell>
          <cell r="E1692">
            <v>6.5000000000000002E-2</v>
          </cell>
          <cell r="F1692" t="str">
            <v>인</v>
          </cell>
          <cell r="G1692">
            <v>6.5000000000000002E-2</v>
          </cell>
          <cell r="J1692">
            <v>135106</v>
          </cell>
          <cell r="K1692">
            <v>8781</v>
          </cell>
          <cell r="M1692">
            <v>0</v>
          </cell>
          <cell r="N1692">
            <v>135106</v>
          </cell>
          <cell r="O1692">
            <v>8781</v>
          </cell>
        </row>
        <row r="1693">
          <cell r="D1693" t="str">
            <v>공구손료</v>
          </cell>
          <cell r="E1693" t="str">
            <v>노무비의</v>
          </cell>
          <cell r="F1693" t="str">
            <v>%</v>
          </cell>
          <cell r="G1693">
            <v>3</v>
          </cell>
          <cell r="L1693">
            <v>8781</v>
          </cell>
          <cell r="M1693">
            <v>263</v>
          </cell>
          <cell r="N1693">
            <v>8781</v>
          </cell>
          <cell r="O1693">
            <v>263</v>
          </cell>
        </row>
        <row r="1695">
          <cell r="A1695">
            <v>128</v>
          </cell>
          <cell r="B1695">
            <v>3</v>
          </cell>
          <cell r="C1695" t="str">
            <v>제128호표</v>
          </cell>
          <cell r="D1695" t="str">
            <v>LED보행자작동스위치 설치</v>
          </cell>
          <cell r="E1695" t="str">
            <v>경찰청규격</v>
          </cell>
          <cell r="F1695" t="str">
            <v>개</v>
          </cell>
          <cell r="G1695">
            <v>1</v>
          </cell>
          <cell r="I1695">
            <v>300000</v>
          </cell>
          <cell r="K1695">
            <v>8781</v>
          </cell>
          <cell r="M1695">
            <v>263</v>
          </cell>
          <cell r="O1695">
            <v>309044</v>
          </cell>
          <cell r="P1695" t="str">
            <v>전5-23</v>
          </cell>
        </row>
        <row r="1696">
          <cell r="D1696" t="str">
            <v>LED보행자작동스위치 설치</v>
          </cell>
          <cell r="E1696" t="str">
            <v>경찰청규격</v>
          </cell>
        </row>
        <row r="1698">
          <cell r="B1698" t="str">
            <v>LED보행자작동스위치경찰청규격</v>
          </cell>
          <cell r="C1698" t="str">
            <v>재료비</v>
          </cell>
          <cell r="D1698" t="str">
            <v>LED보행자작동스위치</v>
          </cell>
          <cell r="E1698" t="str">
            <v>경찰청규격</v>
          </cell>
          <cell r="F1698" t="str">
            <v>개</v>
          </cell>
          <cell r="G1698">
            <v>1</v>
          </cell>
          <cell r="H1698">
            <v>300000</v>
          </cell>
          <cell r="I1698">
            <v>300000</v>
          </cell>
          <cell r="K1698">
            <v>0</v>
          </cell>
          <cell r="M1698">
            <v>0</v>
          </cell>
          <cell r="N1698">
            <v>300000</v>
          </cell>
          <cell r="O1698">
            <v>300000</v>
          </cell>
        </row>
        <row r="1700">
          <cell r="C1700" t="str">
            <v>노무비</v>
          </cell>
          <cell r="D1700" t="str">
            <v>내선전공</v>
          </cell>
          <cell r="E1700">
            <v>6.5000000000000002E-2</v>
          </cell>
          <cell r="F1700" t="str">
            <v>인</v>
          </cell>
          <cell r="G1700">
            <v>6.5000000000000002E-2</v>
          </cell>
          <cell r="J1700">
            <v>135106</v>
          </cell>
          <cell r="K1700">
            <v>8781</v>
          </cell>
          <cell r="M1700">
            <v>0</v>
          </cell>
          <cell r="N1700">
            <v>135106</v>
          </cell>
          <cell r="O1700">
            <v>8781</v>
          </cell>
        </row>
        <row r="1701">
          <cell r="D1701" t="str">
            <v>공구손료</v>
          </cell>
          <cell r="E1701" t="str">
            <v>노무비의</v>
          </cell>
          <cell r="F1701" t="str">
            <v>%</v>
          </cell>
          <cell r="G1701">
            <v>3</v>
          </cell>
          <cell r="L1701">
            <v>8781</v>
          </cell>
          <cell r="M1701">
            <v>263</v>
          </cell>
          <cell r="N1701">
            <v>8781</v>
          </cell>
          <cell r="O1701">
            <v>263</v>
          </cell>
        </row>
        <row r="1703">
          <cell r="A1703">
            <v>129</v>
          </cell>
          <cell r="B1703">
            <v>3</v>
          </cell>
          <cell r="C1703" t="str">
            <v>제129호표</v>
          </cell>
          <cell r="D1703" t="str">
            <v>차광막 설치</v>
          </cell>
          <cell r="E1703" t="str">
            <v xml:space="preserve">FRP, 지주포함 </v>
          </cell>
          <cell r="F1703" t="str">
            <v>개</v>
          </cell>
          <cell r="G1703">
            <v>1</v>
          </cell>
          <cell r="I1703">
            <v>260000</v>
          </cell>
          <cell r="K1703">
            <v>40531</v>
          </cell>
          <cell r="M1703">
            <v>1215</v>
          </cell>
          <cell r="O1703">
            <v>301746</v>
          </cell>
          <cell r="P1703" t="str">
            <v>전5-21</v>
          </cell>
        </row>
        <row r="1704">
          <cell r="D1704" t="str">
            <v>차광막 설치</v>
          </cell>
          <cell r="E1704" t="str">
            <v xml:space="preserve">FRP, 지주포함 </v>
          </cell>
        </row>
        <row r="1705">
          <cell r="B1705" t="str">
            <v xml:space="preserve">차광막FRP, 지주포함 </v>
          </cell>
          <cell r="C1705" t="str">
            <v>재료비</v>
          </cell>
          <cell r="D1705" t="str">
            <v>차광막</v>
          </cell>
          <cell r="E1705" t="str">
            <v xml:space="preserve">FRP, 지주포함 </v>
          </cell>
          <cell r="F1705" t="str">
            <v>개</v>
          </cell>
          <cell r="G1705">
            <v>1</v>
          </cell>
          <cell r="H1705">
            <v>260000</v>
          </cell>
          <cell r="I1705">
            <v>260000</v>
          </cell>
          <cell r="K1705">
            <v>0</v>
          </cell>
          <cell r="M1705">
            <v>0</v>
          </cell>
          <cell r="N1705">
            <v>260000</v>
          </cell>
          <cell r="O1705">
            <v>260000</v>
          </cell>
        </row>
        <row r="1707">
          <cell r="C1707" t="str">
            <v>노무비</v>
          </cell>
          <cell r="D1707" t="str">
            <v>내선전공</v>
          </cell>
          <cell r="E1707">
            <v>0.3</v>
          </cell>
          <cell r="F1707" t="str">
            <v>인</v>
          </cell>
          <cell r="G1707">
            <v>0.3</v>
          </cell>
          <cell r="J1707">
            <v>135106</v>
          </cell>
          <cell r="K1707">
            <v>40531</v>
          </cell>
          <cell r="M1707">
            <v>0</v>
          </cell>
          <cell r="N1707">
            <v>135106</v>
          </cell>
          <cell r="O1707">
            <v>40531</v>
          </cell>
        </row>
        <row r="1708">
          <cell r="D1708" t="str">
            <v>공구손료</v>
          </cell>
          <cell r="E1708" t="str">
            <v>노무비의</v>
          </cell>
          <cell r="F1708" t="str">
            <v>%</v>
          </cell>
          <cell r="G1708">
            <v>3</v>
          </cell>
          <cell r="L1708">
            <v>40531</v>
          </cell>
          <cell r="M1708">
            <v>1215</v>
          </cell>
          <cell r="N1708">
            <v>40531</v>
          </cell>
          <cell r="O1708">
            <v>1215</v>
          </cell>
        </row>
        <row r="1710">
          <cell r="A1710">
            <v>130</v>
          </cell>
          <cell r="B1710">
            <v>3</v>
          </cell>
          <cell r="C1710" t="str">
            <v>제130호표</v>
          </cell>
          <cell r="D1710" t="str">
            <v>경광등 설치(고소작업)</v>
          </cell>
          <cell r="E1710" t="str">
            <v>장방형 L=1000㎜</v>
          </cell>
          <cell r="F1710" t="str">
            <v>개</v>
          </cell>
          <cell r="G1710">
            <v>1</v>
          </cell>
          <cell r="I1710">
            <v>550000</v>
          </cell>
          <cell r="K1710">
            <v>264425</v>
          </cell>
          <cell r="M1710">
            <v>7395</v>
          </cell>
          <cell r="O1710">
            <v>821820</v>
          </cell>
          <cell r="P1710" t="str">
            <v>전5-46</v>
          </cell>
        </row>
        <row r="1711">
          <cell r="D1711" t="str">
            <v>경광등 설치(고소작업)</v>
          </cell>
          <cell r="E1711" t="str">
            <v>장방형 L=1000㎜</v>
          </cell>
        </row>
        <row r="1712">
          <cell r="B1712" t="str">
            <v>경광등장방형 L=1000㎜</v>
          </cell>
          <cell r="C1712" t="str">
            <v>재료비</v>
          </cell>
          <cell r="D1712" t="str">
            <v>경광등</v>
          </cell>
          <cell r="E1712" t="str">
            <v>장방형 L=1000㎜</v>
          </cell>
          <cell r="F1712" t="str">
            <v>개</v>
          </cell>
          <cell r="G1712">
            <v>1</v>
          </cell>
          <cell r="H1712">
            <v>550000</v>
          </cell>
          <cell r="I1712">
            <v>550000</v>
          </cell>
          <cell r="K1712">
            <v>0</v>
          </cell>
          <cell r="M1712">
            <v>0</v>
          </cell>
          <cell r="N1712">
            <v>550000</v>
          </cell>
          <cell r="O1712">
            <v>550000</v>
          </cell>
        </row>
        <row r="1714">
          <cell r="C1714" t="str">
            <v>노무비</v>
          </cell>
          <cell r="D1714" t="str">
            <v>내선전공</v>
          </cell>
          <cell r="E1714" t="str">
            <v>0.9*1.1*1.2</v>
          </cell>
          <cell r="F1714" t="str">
            <v>인</v>
          </cell>
          <cell r="G1714">
            <v>1.1880000000000002</v>
          </cell>
          <cell r="J1714">
            <v>135106</v>
          </cell>
          <cell r="K1714">
            <v>160505</v>
          </cell>
          <cell r="M1714">
            <v>0</v>
          </cell>
          <cell r="N1714">
            <v>135106</v>
          </cell>
          <cell r="O1714">
            <v>160505</v>
          </cell>
          <cell r="P1714" t="str">
            <v>차량등품적용</v>
          </cell>
        </row>
        <row r="1715">
          <cell r="D1715" t="str">
            <v>보통인부</v>
          </cell>
          <cell r="E1715" t="str">
            <v>0.8*1.1*1.2</v>
          </cell>
          <cell r="F1715" t="str">
            <v>인</v>
          </cell>
          <cell r="G1715">
            <v>1.056</v>
          </cell>
          <cell r="J1715">
            <v>81443</v>
          </cell>
          <cell r="K1715">
            <v>86003</v>
          </cell>
          <cell r="N1715">
            <v>81443</v>
          </cell>
          <cell r="O1715">
            <v>86003</v>
          </cell>
          <cell r="P1715" t="str">
            <v>차량등품적용</v>
          </cell>
        </row>
        <row r="1716">
          <cell r="D1716" t="str">
            <v>공구손료</v>
          </cell>
          <cell r="E1716" t="str">
            <v>노무비의</v>
          </cell>
          <cell r="F1716" t="str">
            <v>%</v>
          </cell>
          <cell r="G1716">
            <v>3</v>
          </cell>
          <cell r="L1716">
            <v>246508</v>
          </cell>
          <cell r="M1716">
            <v>7395</v>
          </cell>
          <cell r="N1716">
            <v>246508</v>
          </cell>
          <cell r="O1716">
            <v>7395</v>
          </cell>
        </row>
        <row r="1717">
          <cell r="C1717" t="str">
            <v>도로정리</v>
          </cell>
          <cell r="D1717" t="str">
            <v>보통인부</v>
          </cell>
          <cell r="E1717" t="str">
            <v>0.2*1.1</v>
          </cell>
          <cell r="F1717" t="str">
            <v>인</v>
          </cell>
          <cell r="G1717">
            <v>0.22000000000000003</v>
          </cell>
          <cell r="J1717">
            <v>81443</v>
          </cell>
          <cell r="K1717">
            <v>17917</v>
          </cell>
          <cell r="N1717">
            <v>81443</v>
          </cell>
          <cell r="O1717">
            <v>17917</v>
          </cell>
        </row>
        <row r="1719">
          <cell r="A1719" t="str">
            <v>130-1</v>
          </cell>
          <cell r="B1719">
            <v>3</v>
          </cell>
          <cell r="C1719" t="str">
            <v>제130-1호표</v>
          </cell>
          <cell r="D1719" t="str">
            <v>경광등 설치(지상작업)</v>
          </cell>
          <cell r="E1719" t="str">
            <v>장방형 L=1000㎜</v>
          </cell>
          <cell r="F1719" t="str">
            <v>개</v>
          </cell>
          <cell r="G1719">
            <v>1</v>
          </cell>
          <cell r="I1719">
            <v>550000</v>
          </cell>
          <cell r="K1719">
            <v>80418</v>
          </cell>
          <cell r="M1719">
            <v>1875</v>
          </cell>
          <cell r="O1719">
            <v>632293</v>
          </cell>
          <cell r="P1719" t="str">
            <v>전5-46</v>
          </cell>
        </row>
        <row r="1720">
          <cell r="D1720" t="str">
            <v>경광등 설치(지상작업)</v>
          </cell>
          <cell r="E1720" t="str">
            <v>장방형 L=1000㎜</v>
          </cell>
        </row>
        <row r="1721">
          <cell r="B1721" t="str">
            <v>경광등장방형 L=1000㎜</v>
          </cell>
          <cell r="C1721" t="str">
            <v>재료비</v>
          </cell>
          <cell r="D1721" t="str">
            <v>경광등</v>
          </cell>
          <cell r="E1721" t="str">
            <v>장방형 L=1000㎜</v>
          </cell>
          <cell r="F1721" t="str">
            <v>개</v>
          </cell>
          <cell r="G1721">
            <v>1</v>
          </cell>
          <cell r="H1721">
            <v>550000</v>
          </cell>
          <cell r="I1721">
            <v>550000</v>
          </cell>
          <cell r="K1721">
            <v>0</v>
          </cell>
          <cell r="M1721">
            <v>0</v>
          </cell>
          <cell r="N1721">
            <v>550000</v>
          </cell>
          <cell r="O1721">
            <v>550000</v>
          </cell>
        </row>
        <row r="1723">
          <cell r="C1723" t="str">
            <v>노무비</v>
          </cell>
          <cell r="D1723" t="str">
            <v>내선전공</v>
          </cell>
          <cell r="E1723" t="str">
            <v>0.3*1.1</v>
          </cell>
          <cell r="F1723" t="str">
            <v>인</v>
          </cell>
          <cell r="G1723">
            <v>0.33</v>
          </cell>
          <cell r="J1723">
            <v>135106</v>
          </cell>
          <cell r="K1723">
            <v>44584</v>
          </cell>
          <cell r="M1723">
            <v>0</v>
          </cell>
          <cell r="N1723">
            <v>135106</v>
          </cell>
          <cell r="O1723">
            <v>44584</v>
          </cell>
          <cell r="P1723" t="str">
            <v>보행등품적용</v>
          </cell>
        </row>
        <row r="1724">
          <cell r="D1724" t="str">
            <v>보통인부</v>
          </cell>
          <cell r="E1724" t="str">
            <v>0.2*1.1</v>
          </cell>
          <cell r="F1724" t="str">
            <v>인</v>
          </cell>
          <cell r="G1724">
            <v>0.22000000000000003</v>
          </cell>
          <cell r="J1724">
            <v>81443</v>
          </cell>
          <cell r="K1724">
            <v>17917</v>
          </cell>
          <cell r="N1724">
            <v>81443</v>
          </cell>
          <cell r="O1724">
            <v>17917</v>
          </cell>
          <cell r="P1724" t="str">
            <v>보행등품적용</v>
          </cell>
        </row>
        <row r="1725">
          <cell r="D1725" t="str">
            <v>공구손료</v>
          </cell>
          <cell r="E1725" t="str">
            <v>노무비의</v>
          </cell>
          <cell r="F1725" t="str">
            <v>%</v>
          </cell>
          <cell r="G1725">
            <v>3</v>
          </cell>
          <cell r="L1725">
            <v>62501</v>
          </cell>
          <cell r="M1725">
            <v>1875</v>
          </cell>
          <cell r="N1725">
            <v>62501</v>
          </cell>
          <cell r="O1725">
            <v>1875</v>
          </cell>
        </row>
        <row r="1726">
          <cell r="C1726" t="str">
            <v>도로정리</v>
          </cell>
          <cell r="D1726" t="str">
            <v>보통인부</v>
          </cell>
          <cell r="E1726" t="str">
            <v>0.2*1.1</v>
          </cell>
          <cell r="F1726" t="str">
            <v>인</v>
          </cell>
          <cell r="G1726">
            <v>0.22000000000000003</v>
          </cell>
          <cell r="J1726">
            <v>81443</v>
          </cell>
          <cell r="K1726">
            <v>17917</v>
          </cell>
          <cell r="N1726">
            <v>81443</v>
          </cell>
          <cell r="O1726">
            <v>17917</v>
          </cell>
        </row>
        <row r="1728">
          <cell r="A1728">
            <v>131</v>
          </cell>
          <cell r="B1728">
            <v>3</v>
          </cell>
          <cell r="C1728" t="str">
            <v>제131호표</v>
          </cell>
          <cell r="D1728" t="str">
            <v>표지판 지주용 설치</v>
          </cell>
          <cell r="E1728" t="str">
            <v>Ø60.5*3m</v>
          </cell>
          <cell r="F1728" t="str">
            <v>개</v>
          </cell>
          <cell r="G1728">
            <v>1</v>
          </cell>
          <cell r="I1728">
            <v>26400</v>
          </cell>
          <cell r="K1728">
            <v>48865</v>
          </cell>
          <cell r="M1728">
            <v>1465</v>
          </cell>
          <cell r="O1728">
            <v>76730</v>
          </cell>
          <cell r="P1728" t="str">
            <v>토12-5-1</v>
          </cell>
        </row>
        <row r="1730">
          <cell r="D1730" t="str">
            <v>표지판 지주용 설치</v>
          </cell>
          <cell r="E1730" t="str">
            <v>Ø60.5*3m</v>
          </cell>
        </row>
        <row r="1731">
          <cell r="B1731" t="str">
            <v>표지판 지주Ø60.5*3m</v>
          </cell>
          <cell r="C1731" t="str">
            <v>재료비</v>
          </cell>
          <cell r="D1731" t="str">
            <v>표지판 지주</v>
          </cell>
          <cell r="E1731" t="str">
            <v>Ø60.5*3m</v>
          </cell>
          <cell r="F1731" t="str">
            <v>개</v>
          </cell>
          <cell r="G1731">
            <v>1</v>
          </cell>
          <cell r="H1731">
            <v>26400</v>
          </cell>
          <cell r="I1731">
            <v>26400</v>
          </cell>
          <cell r="K1731">
            <v>0</v>
          </cell>
          <cell r="M1731">
            <v>0</v>
          </cell>
          <cell r="N1731">
            <v>26400</v>
          </cell>
          <cell r="O1731">
            <v>26400</v>
          </cell>
        </row>
        <row r="1733">
          <cell r="C1733" t="str">
            <v>노무비</v>
          </cell>
          <cell r="D1733" t="str">
            <v>보통인부</v>
          </cell>
          <cell r="E1733" t="str">
            <v>(3/5)</v>
          </cell>
          <cell r="F1733" t="str">
            <v>인</v>
          </cell>
          <cell r="G1733">
            <v>0.6</v>
          </cell>
          <cell r="J1733">
            <v>81443</v>
          </cell>
          <cell r="K1733">
            <v>48865</v>
          </cell>
          <cell r="N1733">
            <v>81443</v>
          </cell>
          <cell r="O1733">
            <v>48865</v>
          </cell>
        </row>
        <row r="1734">
          <cell r="D1734" t="str">
            <v>공구손료</v>
          </cell>
          <cell r="E1734" t="str">
            <v>노무비의</v>
          </cell>
          <cell r="F1734" t="str">
            <v>%</v>
          </cell>
          <cell r="G1734">
            <v>3</v>
          </cell>
          <cell r="L1734">
            <v>48865</v>
          </cell>
          <cell r="M1734">
            <v>1465</v>
          </cell>
          <cell r="N1734">
            <v>48865</v>
          </cell>
          <cell r="O1734">
            <v>1465</v>
          </cell>
        </row>
        <row r="1736">
          <cell r="A1736">
            <v>132</v>
          </cell>
          <cell r="B1736">
            <v>3</v>
          </cell>
          <cell r="C1736" t="str">
            <v>제132호표</v>
          </cell>
          <cell r="D1736" t="str">
            <v>표지판 지주용 설치</v>
          </cell>
          <cell r="E1736" t="str">
            <v>Ø76.3*4m</v>
          </cell>
          <cell r="F1736" t="str">
            <v>개</v>
          </cell>
          <cell r="G1736">
            <v>1</v>
          </cell>
          <cell r="I1736">
            <v>45000</v>
          </cell>
          <cell r="K1736">
            <v>48865</v>
          </cell>
          <cell r="M1736">
            <v>1465</v>
          </cell>
          <cell r="O1736">
            <v>95330</v>
          </cell>
          <cell r="P1736" t="str">
            <v>토12-5-1</v>
          </cell>
        </row>
        <row r="1738">
          <cell r="D1738" t="str">
            <v>표지판 지주용 설치</v>
          </cell>
          <cell r="E1738" t="str">
            <v>Ø76.3*4m</v>
          </cell>
        </row>
        <row r="1739">
          <cell r="B1739" t="str">
            <v>표지판 지주Ø76.3*4m</v>
          </cell>
          <cell r="C1739" t="str">
            <v>재료비</v>
          </cell>
          <cell r="D1739" t="str">
            <v>표지판 지주</v>
          </cell>
          <cell r="E1739" t="str">
            <v>Ø76.3*4m</v>
          </cell>
          <cell r="F1739" t="str">
            <v>개</v>
          </cell>
          <cell r="G1739">
            <v>1</v>
          </cell>
          <cell r="H1739">
            <v>45000</v>
          </cell>
          <cell r="I1739">
            <v>45000</v>
          </cell>
          <cell r="K1739">
            <v>0</v>
          </cell>
          <cell r="M1739">
            <v>0</v>
          </cell>
          <cell r="N1739">
            <v>45000</v>
          </cell>
          <cell r="O1739">
            <v>45000</v>
          </cell>
        </row>
        <row r="1741">
          <cell r="C1741" t="str">
            <v>노무비</v>
          </cell>
          <cell r="D1741" t="str">
            <v>보통인부</v>
          </cell>
          <cell r="E1741" t="str">
            <v>(3/5)</v>
          </cell>
          <cell r="F1741" t="str">
            <v>인</v>
          </cell>
          <cell r="G1741">
            <v>0.6</v>
          </cell>
          <cell r="J1741">
            <v>81443</v>
          </cell>
          <cell r="K1741">
            <v>48865</v>
          </cell>
          <cell r="N1741">
            <v>81443</v>
          </cell>
          <cell r="O1741">
            <v>48865</v>
          </cell>
        </row>
        <row r="1742">
          <cell r="D1742" t="str">
            <v>공구손료</v>
          </cell>
          <cell r="E1742" t="str">
            <v>노무비의</v>
          </cell>
          <cell r="F1742" t="str">
            <v>%</v>
          </cell>
          <cell r="G1742">
            <v>3</v>
          </cell>
          <cell r="L1742">
            <v>48865</v>
          </cell>
          <cell r="M1742">
            <v>1465</v>
          </cell>
          <cell r="N1742">
            <v>48865</v>
          </cell>
          <cell r="O1742">
            <v>1465</v>
          </cell>
        </row>
        <row r="1744">
          <cell r="A1744" t="str">
            <v>132-1</v>
          </cell>
          <cell r="B1744">
            <v>3</v>
          </cell>
          <cell r="C1744" t="str">
            <v>제132-1호표</v>
          </cell>
          <cell r="D1744" t="str">
            <v>표지판 지주용 교정</v>
          </cell>
          <cell r="E1744" t="str">
            <v>Ø60.5*3m~Ø76.3*4m</v>
          </cell>
          <cell r="F1744" t="str">
            <v>개</v>
          </cell>
          <cell r="G1744">
            <v>1</v>
          </cell>
          <cell r="I1744">
            <v>0</v>
          </cell>
          <cell r="K1744">
            <v>14659</v>
          </cell>
          <cell r="M1744">
            <v>439</v>
          </cell>
          <cell r="O1744">
            <v>15098</v>
          </cell>
          <cell r="P1744" t="str">
            <v>토12-5-1</v>
          </cell>
        </row>
        <row r="1746">
          <cell r="D1746" t="str">
            <v>표지판 지주용 교정</v>
          </cell>
          <cell r="E1746" t="str">
            <v>Ø60.5*3m~Ø76.3*4m</v>
          </cell>
        </row>
        <row r="1748">
          <cell r="C1748" t="str">
            <v>노무비</v>
          </cell>
          <cell r="D1748" t="str">
            <v>보통인부</v>
          </cell>
          <cell r="E1748" t="str">
            <v>(3/5)*30%</v>
          </cell>
          <cell r="F1748" t="str">
            <v>인</v>
          </cell>
          <cell r="G1748">
            <v>0.18</v>
          </cell>
          <cell r="J1748">
            <v>81443</v>
          </cell>
          <cell r="K1748">
            <v>14659</v>
          </cell>
          <cell r="N1748">
            <v>81443</v>
          </cell>
          <cell r="O1748">
            <v>14659</v>
          </cell>
        </row>
        <row r="1749">
          <cell r="D1749" t="str">
            <v>공구손료</v>
          </cell>
          <cell r="E1749" t="str">
            <v>노무비의</v>
          </cell>
          <cell r="F1749" t="str">
            <v>%</v>
          </cell>
          <cell r="G1749">
            <v>3</v>
          </cell>
          <cell r="L1749">
            <v>14659</v>
          </cell>
          <cell r="M1749">
            <v>439</v>
          </cell>
          <cell r="N1749">
            <v>14659</v>
          </cell>
          <cell r="O1749">
            <v>439</v>
          </cell>
        </row>
        <row r="1751">
          <cell r="A1751">
            <v>133</v>
          </cell>
          <cell r="B1751">
            <v>3</v>
          </cell>
          <cell r="C1751" t="str">
            <v>제133호표</v>
          </cell>
          <cell r="D1751" t="str">
            <v>측주식 지주(테이퍼풀) 설치</v>
          </cell>
          <cell r="E1751" t="str">
            <v>Ø139.8+Ø76.3*6m-중형표지판용</v>
          </cell>
          <cell r="F1751" t="str">
            <v>개</v>
          </cell>
          <cell r="G1751">
            <v>1</v>
          </cell>
          <cell r="I1751">
            <v>760000</v>
          </cell>
          <cell r="K1751">
            <v>282787</v>
          </cell>
          <cell r="M1751">
            <v>7946</v>
          </cell>
          <cell r="O1751">
            <v>1050733</v>
          </cell>
          <cell r="P1751" t="str">
            <v>전5-46(가)</v>
          </cell>
        </row>
        <row r="1753">
          <cell r="D1753" t="str">
            <v>측주식 지주(테이퍼풀) 설치</v>
          </cell>
          <cell r="E1753" t="str">
            <v>Ø139.8+Ø76.3*6m-중형표지판용</v>
          </cell>
        </row>
        <row r="1754">
          <cell r="B1754" t="str">
            <v>측주식 지주(테이퍼풀)Ø139.8+Ø76.3*6m-중형표지판용</v>
          </cell>
          <cell r="C1754" t="str">
            <v>재료비</v>
          </cell>
          <cell r="D1754" t="str">
            <v>측주식 지주(테이퍼풀)</v>
          </cell>
          <cell r="E1754" t="str">
            <v>Ø139.8+Ø76.3*6m-중형표지판용</v>
          </cell>
          <cell r="F1754" t="str">
            <v>개</v>
          </cell>
          <cell r="G1754">
            <v>1</v>
          </cell>
          <cell r="H1754">
            <v>760000</v>
          </cell>
          <cell r="I1754">
            <v>760000</v>
          </cell>
          <cell r="K1754">
            <v>0</v>
          </cell>
          <cell r="M1754">
            <v>0</v>
          </cell>
          <cell r="N1754">
            <v>760000</v>
          </cell>
          <cell r="O1754">
            <v>760000</v>
          </cell>
        </row>
        <row r="1756">
          <cell r="C1756" t="str">
            <v>노무비</v>
          </cell>
          <cell r="D1756" t="str">
            <v>내선전공</v>
          </cell>
          <cell r="E1756" t="str">
            <v>1.3*1.1</v>
          </cell>
          <cell r="F1756" t="str">
            <v>인</v>
          </cell>
          <cell r="G1756">
            <v>1.4300000000000002</v>
          </cell>
          <cell r="J1756">
            <v>135106</v>
          </cell>
          <cell r="K1756">
            <v>193201</v>
          </cell>
          <cell r="N1756">
            <v>135106</v>
          </cell>
          <cell r="O1756">
            <v>193201</v>
          </cell>
        </row>
        <row r="1757">
          <cell r="D1757" t="str">
            <v>보통인부</v>
          </cell>
          <cell r="E1757" t="str">
            <v>0.8*1.1</v>
          </cell>
          <cell r="F1757" t="str">
            <v>인</v>
          </cell>
          <cell r="G1757">
            <v>0.88000000000000012</v>
          </cell>
          <cell r="J1757">
            <v>81443</v>
          </cell>
          <cell r="K1757">
            <v>71669</v>
          </cell>
          <cell r="N1757">
            <v>81443</v>
          </cell>
          <cell r="O1757">
            <v>71669</v>
          </cell>
        </row>
        <row r="1758">
          <cell r="D1758" t="str">
            <v>공구손료</v>
          </cell>
          <cell r="E1758" t="str">
            <v>노무비의</v>
          </cell>
          <cell r="F1758" t="str">
            <v>%</v>
          </cell>
          <cell r="G1758">
            <v>3</v>
          </cell>
          <cell r="L1758">
            <v>264870</v>
          </cell>
          <cell r="M1758">
            <v>7946</v>
          </cell>
          <cell r="N1758">
            <v>264870</v>
          </cell>
          <cell r="O1758">
            <v>7946</v>
          </cell>
        </row>
        <row r="1759">
          <cell r="C1759" t="str">
            <v>도로교통정리</v>
          </cell>
          <cell r="D1759" t="str">
            <v>보통인부</v>
          </cell>
          <cell r="E1759" t="str">
            <v>0.2*1.1</v>
          </cell>
          <cell r="F1759" t="str">
            <v>인</v>
          </cell>
          <cell r="G1759">
            <v>0.22000000000000003</v>
          </cell>
          <cell r="J1759">
            <v>81443</v>
          </cell>
          <cell r="K1759">
            <v>17917</v>
          </cell>
          <cell r="N1759">
            <v>81443</v>
          </cell>
          <cell r="O1759">
            <v>17917</v>
          </cell>
        </row>
        <row r="1761">
          <cell r="A1761">
            <v>134</v>
          </cell>
          <cell r="B1761">
            <v>3</v>
          </cell>
          <cell r="C1761" t="str">
            <v>제134호표</v>
          </cell>
          <cell r="D1761" t="str">
            <v>교통안전표지 설치</v>
          </cell>
          <cell r="E1761" t="str">
            <v>소형, 중형표지판(노임)</v>
          </cell>
          <cell r="F1761" t="str">
            <v>개</v>
          </cell>
          <cell r="G1761">
            <v>1</v>
          </cell>
          <cell r="I1761">
            <v>0</v>
          </cell>
          <cell r="K1761">
            <v>21500</v>
          </cell>
          <cell r="M1761">
            <v>645</v>
          </cell>
          <cell r="O1761">
            <v>22145</v>
          </cell>
          <cell r="P1761" t="str">
            <v>토12-5-1</v>
          </cell>
        </row>
        <row r="1763">
          <cell r="D1763" t="str">
            <v>교통안전표지 설치</v>
          </cell>
          <cell r="E1763" t="str">
            <v>소형, 중형표지판(노임)</v>
          </cell>
          <cell r="F1763" t="str">
            <v>개</v>
          </cell>
          <cell r="G1763">
            <v>1</v>
          </cell>
          <cell r="M1763">
            <v>0</v>
          </cell>
          <cell r="O1763">
            <v>0</v>
          </cell>
        </row>
        <row r="1764">
          <cell r="D1764" t="str">
            <v>판 교체 품의 60% 적용</v>
          </cell>
        </row>
        <row r="1765">
          <cell r="C1765" t="str">
            <v>노무비</v>
          </cell>
          <cell r="D1765" t="str">
            <v>보통인부</v>
          </cell>
          <cell r="E1765" t="str">
            <v>(2/6)*1.2*1.1*0.6</v>
          </cell>
          <cell r="F1765" t="str">
            <v>인</v>
          </cell>
          <cell r="G1765">
            <v>0.26400000000000001</v>
          </cell>
          <cell r="J1765">
            <v>81443</v>
          </cell>
          <cell r="K1765">
            <v>21500</v>
          </cell>
          <cell r="M1765">
            <v>0</v>
          </cell>
          <cell r="N1765">
            <v>81443</v>
          </cell>
          <cell r="O1765">
            <v>21500</v>
          </cell>
        </row>
        <row r="1766">
          <cell r="D1766" t="str">
            <v>공구손료</v>
          </cell>
          <cell r="E1766" t="str">
            <v>노무비의</v>
          </cell>
          <cell r="F1766" t="str">
            <v>%</v>
          </cell>
          <cell r="G1766">
            <v>3</v>
          </cell>
          <cell r="L1766">
            <v>21500</v>
          </cell>
          <cell r="M1766">
            <v>645</v>
          </cell>
          <cell r="N1766">
            <v>21500</v>
          </cell>
          <cell r="O1766">
            <v>645</v>
          </cell>
        </row>
        <row r="1768">
          <cell r="A1768">
            <v>135</v>
          </cell>
          <cell r="B1768">
            <v>3</v>
          </cell>
          <cell r="C1768" t="str">
            <v>제135호표</v>
          </cell>
          <cell r="D1768" t="str">
            <v>교통안전표지 문구수정</v>
          </cell>
          <cell r="E1768" t="str">
            <v>소형, 중형표지판(노임)</v>
          </cell>
          <cell r="F1768" t="str">
            <v>개</v>
          </cell>
          <cell r="G1768">
            <v>1</v>
          </cell>
          <cell r="I1768">
            <v>0</v>
          </cell>
          <cell r="K1768">
            <v>17917</v>
          </cell>
          <cell r="M1768">
            <v>537</v>
          </cell>
          <cell r="O1768">
            <v>18454</v>
          </cell>
          <cell r="P1768" t="str">
            <v>토12-5-1</v>
          </cell>
        </row>
        <row r="1770">
          <cell r="D1770" t="str">
            <v>교통안전표지 문구수정</v>
          </cell>
          <cell r="E1770" t="str">
            <v>소형, 중형표지판(노임)</v>
          </cell>
          <cell r="F1770" t="str">
            <v>개</v>
          </cell>
          <cell r="G1770">
            <v>1</v>
          </cell>
          <cell r="M1770">
            <v>0</v>
          </cell>
          <cell r="O1770">
            <v>0</v>
          </cell>
        </row>
        <row r="1771">
          <cell r="D1771" t="str">
            <v>판 교체 품의 50% 적용</v>
          </cell>
        </row>
        <row r="1772">
          <cell r="C1772" t="str">
            <v>노무비</v>
          </cell>
          <cell r="D1772" t="str">
            <v>보통인부</v>
          </cell>
          <cell r="E1772" t="str">
            <v>(2/6)*1.2*1.1*0.5</v>
          </cell>
          <cell r="F1772" t="str">
            <v>인</v>
          </cell>
          <cell r="G1772">
            <v>0.22</v>
          </cell>
          <cell r="J1772">
            <v>81443</v>
          </cell>
          <cell r="K1772">
            <v>17917</v>
          </cell>
          <cell r="M1772">
            <v>0</v>
          </cell>
          <cell r="N1772">
            <v>81443</v>
          </cell>
          <cell r="O1772">
            <v>17917</v>
          </cell>
        </row>
        <row r="1773">
          <cell r="D1773" t="str">
            <v>공구손료</v>
          </cell>
          <cell r="E1773" t="str">
            <v>노무비의</v>
          </cell>
          <cell r="F1773" t="str">
            <v>%</v>
          </cell>
          <cell r="G1773">
            <v>3</v>
          </cell>
          <cell r="L1773">
            <v>17917</v>
          </cell>
          <cell r="M1773">
            <v>537</v>
          </cell>
          <cell r="N1773">
            <v>17917</v>
          </cell>
          <cell r="O1773">
            <v>537</v>
          </cell>
        </row>
        <row r="1775">
          <cell r="A1775">
            <v>136</v>
          </cell>
          <cell r="B1775">
            <v>3</v>
          </cell>
          <cell r="C1775" t="str">
            <v>제136호표</v>
          </cell>
          <cell r="D1775" t="str">
            <v>교통안전표지 교정</v>
          </cell>
          <cell r="E1775" t="str">
            <v>소형, 중형표지판(노임)</v>
          </cell>
          <cell r="F1775" t="str">
            <v>개</v>
          </cell>
          <cell r="G1775">
            <v>1</v>
          </cell>
          <cell r="I1775">
            <v>0</v>
          </cell>
          <cell r="K1775">
            <v>10750</v>
          </cell>
          <cell r="M1775">
            <v>322</v>
          </cell>
          <cell r="O1775">
            <v>11072</v>
          </cell>
          <cell r="P1775" t="str">
            <v>토12-5-1</v>
          </cell>
        </row>
        <row r="1777">
          <cell r="D1777" t="str">
            <v>교통안전표지 교정</v>
          </cell>
          <cell r="E1777" t="str">
            <v>소형, 중형표지판(노임)</v>
          </cell>
          <cell r="F1777" t="str">
            <v>개</v>
          </cell>
          <cell r="G1777">
            <v>1</v>
          </cell>
          <cell r="M1777">
            <v>0</v>
          </cell>
          <cell r="O1777">
            <v>0</v>
          </cell>
        </row>
        <row r="1778">
          <cell r="D1778" t="str">
            <v>판 교체 품의 30% 적용</v>
          </cell>
        </row>
        <row r="1779">
          <cell r="C1779" t="str">
            <v>노무비</v>
          </cell>
          <cell r="D1779" t="str">
            <v>보통인부</v>
          </cell>
          <cell r="E1779" t="str">
            <v>(2/6)*1.2*1.1*0.3</v>
          </cell>
          <cell r="F1779" t="str">
            <v>인</v>
          </cell>
          <cell r="G1779">
            <v>0.13200000000000001</v>
          </cell>
          <cell r="J1779">
            <v>81443</v>
          </cell>
          <cell r="K1779">
            <v>10750</v>
          </cell>
          <cell r="M1779">
            <v>0</v>
          </cell>
          <cell r="N1779">
            <v>81443</v>
          </cell>
          <cell r="O1779">
            <v>10750</v>
          </cell>
        </row>
        <row r="1780">
          <cell r="D1780" t="str">
            <v>공구손료</v>
          </cell>
          <cell r="E1780" t="str">
            <v>노무비의</v>
          </cell>
          <cell r="F1780" t="str">
            <v>%</v>
          </cell>
          <cell r="G1780">
            <v>3</v>
          </cell>
          <cell r="L1780">
            <v>10750</v>
          </cell>
          <cell r="M1780">
            <v>322</v>
          </cell>
          <cell r="N1780">
            <v>10750</v>
          </cell>
          <cell r="O1780">
            <v>322</v>
          </cell>
        </row>
        <row r="1782">
          <cell r="A1782">
            <v>137</v>
          </cell>
          <cell r="B1782">
            <v>3</v>
          </cell>
          <cell r="C1782" t="str">
            <v>제137호표</v>
          </cell>
          <cell r="D1782" t="str">
            <v>T형 부착대 설치</v>
          </cell>
          <cell r="E1782" t="str">
            <v>3m 이하(노임)</v>
          </cell>
          <cell r="F1782" t="str">
            <v>개</v>
          </cell>
          <cell r="G1782">
            <v>1</v>
          </cell>
          <cell r="I1782">
            <v>7176</v>
          </cell>
          <cell r="K1782">
            <v>108388</v>
          </cell>
          <cell r="M1782">
            <v>10676</v>
          </cell>
          <cell r="O1782">
            <v>126240</v>
          </cell>
          <cell r="P1782" t="str">
            <v>전5-46(나)</v>
          </cell>
        </row>
        <row r="1784">
          <cell r="D1784" t="str">
            <v>T형 부착대 설치</v>
          </cell>
          <cell r="E1784" t="str">
            <v>3m 이하(노임)</v>
          </cell>
        </row>
        <row r="1785">
          <cell r="C1785" t="str">
            <v>노무비</v>
          </cell>
          <cell r="D1785" t="str">
            <v>내선전공</v>
          </cell>
          <cell r="E1785" t="str">
            <v>0.98*0.4*1.1</v>
          </cell>
          <cell r="F1785" t="str">
            <v>인</v>
          </cell>
          <cell r="G1785">
            <v>0.43120000000000003</v>
          </cell>
          <cell r="I1785">
            <v>0</v>
          </cell>
          <cell r="J1785">
            <v>135106</v>
          </cell>
          <cell r="K1785">
            <v>58257</v>
          </cell>
          <cell r="M1785">
            <v>0</v>
          </cell>
          <cell r="N1785">
            <v>135106</v>
          </cell>
          <cell r="O1785">
            <v>58257</v>
          </cell>
        </row>
        <row r="1786">
          <cell r="D1786" t="str">
            <v>보통인부</v>
          </cell>
          <cell r="E1786" t="str">
            <v>0.75*0.4*1.1</v>
          </cell>
          <cell r="F1786" t="str">
            <v>인</v>
          </cell>
          <cell r="G1786">
            <v>0.33000000000000007</v>
          </cell>
          <cell r="I1786">
            <v>0</v>
          </cell>
          <cell r="J1786">
            <v>81443</v>
          </cell>
          <cell r="K1786">
            <v>26876</v>
          </cell>
          <cell r="M1786">
            <v>0</v>
          </cell>
          <cell r="N1786">
            <v>81443</v>
          </cell>
          <cell r="O1786">
            <v>26876</v>
          </cell>
        </row>
        <row r="1787">
          <cell r="D1787" t="str">
            <v>공구손료</v>
          </cell>
          <cell r="E1787" t="str">
            <v>노무비의</v>
          </cell>
          <cell r="F1787" t="str">
            <v>%</v>
          </cell>
          <cell r="G1787">
            <v>3</v>
          </cell>
          <cell r="L1787">
            <v>85133</v>
          </cell>
          <cell r="M1787">
            <v>2553</v>
          </cell>
          <cell r="N1787">
            <v>85133</v>
          </cell>
          <cell r="O1787">
            <v>2553</v>
          </cell>
        </row>
        <row r="1788">
          <cell r="C1788" t="str">
            <v>기계경비</v>
          </cell>
          <cell r="D1788" t="str">
            <v>트럭탑재형크레인(5ton)</v>
          </cell>
          <cell r="E1788" t="str">
            <v>1.96*0.4</v>
          </cell>
          <cell r="F1788" t="str">
            <v>hr</v>
          </cell>
          <cell r="G1788">
            <v>0.78400000000000003</v>
          </cell>
          <cell r="H1788">
            <v>9154</v>
          </cell>
          <cell r="I1788">
            <v>7176</v>
          </cell>
          <cell r="J1788">
            <v>20522</v>
          </cell>
          <cell r="K1788">
            <v>16089</v>
          </cell>
          <cell r="L1788">
            <v>10362</v>
          </cell>
          <cell r="M1788">
            <v>8123</v>
          </cell>
          <cell r="N1788">
            <v>40038</v>
          </cell>
          <cell r="O1788">
            <v>31388</v>
          </cell>
          <cell r="P1788" t="str">
            <v>m21호표</v>
          </cell>
        </row>
        <row r="1789">
          <cell r="C1789" t="str">
            <v>도로교통정리</v>
          </cell>
          <cell r="D1789" t="str">
            <v>보통인부</v>
          </cell>
          <cell r="E1789" t="str">
            <v>0.2*0.4*1.1</v>
          </cell>
          <cell r="F1789" t="str">
            <v>인</v>
          </cell>
          <cell r="G1789">
            <v>8.8000000000000023E-2</v>
          </cell>
          <cell r="I1789">
            <v>0</v>
          </cell>
          <cell r="J1789">
            <v>81443</v>
          </cell>
          <cell r="K1789">
            <v>7166</v>
          </cell>
          <cell r="M1789">
            <v>0</v>
          </cell>
          <cell r="N1789">
            <v>81443</v>
          </cell>
          <cell r="O1789">
            <v>7166</v>
          </cell>
        </row>
        <row r="1791">
          <cell r="A1791">
            <v>138</v>
          </cell>
          <cell r="B1791">
            <v>3</v>
          </cell>
          <cell r="C1791" t="str">
            <v>제138호표</v>
          </cell>
          <cell r="D1791" t="str">
            <v>차량등 챙 교체</v>
          </cell>
          <cell r="E1791" t="str">
            <v>300mm원형,사각</v>
          </cell>
          <cell r="F1791" t="str">
            <v>개</v>
          </cell>
          <cell r="G1791">
            <v>1</v>
          </cell>
          <cell r="I1791">
            <v>15000</v>
          </cell>
          <cell r="K1791">
            <v>79327</v>
          </cell>
          <cell r="M1791">
            <v>2218</v>
          </cell>
          <cell r="O1791">
            <v>96545</v>
          </cell>
          <cell r="P1791" t="str">
            <v>전5-46(가)</v>
          </cell>
        </row>
        <row r="1793">
          <cell r="D1793" t="str">
            <v>차량등 챙 교체</v>
          </cell>
          <cell r="E1793" t="str">
            <v>300mm원형,사각</v>
          </cell>
        </row>
        <row r="1794">
          <cell r="B1794" t="str">
            <v>신호등챙300mm원형,사각</v>
          </cell>
          <cell r="C1794" t="str">
            <v>재료비</v>
          </cell>
          <cell r="D1794" t="str">
            <v>신호등챙</v>
          </cell>
          <cell r="E1794" t="str">
            <v>300mm원형,사각</v>
          </cell>
          <cell r="F1794" t="str">
            <v>개</v>
          </cell>
          <cell r="G1794">
            <v>1</v>
          </cell>
          <cell r="H1794">
            <v>15000</v>
          </cell>
          <cell r="I1794">
            <v>15000</v>
          </cell>
          <cell r="K1794">
            <v>0</v>
          </cell>
          <cell r="M1794">
            <v>0</v>
          </cell>
          <cell r="O1794">
            <v>15000</v>
          </cell>
        </row>
        <row r="1795">
          <cell r="C1795" t="str">
            <v>노무비</v>
          </cell>
          <cell r="D1795" t="str">
            <v>내선전공</v>
          </cell>
          <cell r="E1795" t="str">
            <v>0.9*1.1*0.3*1.2</v>
          </cell>
          <cell r="F1795" t="str">
            <v>인</v>
          </cell>
          <cell r="G1795">
            <v>0.35640000000000005</v>
          </cell>
          <cell r="I1795">
            <v>0</v>
          </cell>
          <cell r="J1795">
            <v>135106</v>
          </cell>
          <cell r="K1795">
            <v>48151</v>
          </cell>
          <cell r="M1795">
            <v>0</v>
          </cell>
          <cell r="N1795">
            <v>135106</v>
          </cell>
          <cell r="O1795">
            <v>48151</v>
          </cell>
        </row>
        <row r="1796">
          <cell r="D1796" t="str">
            <v>보통인부</v>
          </cell>
          <cell r="E1796" t="str">
            <v>0.8*1.1*0.3*1.2</v>
          </cell>
          <cell r="F1796" t="str">
            <v>인</v>
          </cell>
          <cell r="G1796">
            <v>0.31680000000000003</v>
          </cell>
          <cell r="I1796">
            <v>0</v>
          </cell>
          <cell r="J1796">
            <v>81443</v>
          </cell>
          <cell r="K1796">
            <v>25801</v>
          </cell>
          <cell r="M1796">
            <v>0</v>
          </cell>
          <cell r="N1796">
            <v>81443</v>
          </cell>
          <cell r="O1796">
            <v>25801</v>
          </cell>
        </row>
        <row r="1797">
          <cell r="D1797" t="str">
            <v>공구손료</v>
          </cell>
          <cell r="E1797" t="str">
            <v>노무비의</v>
          </cell>
          <cell r="F1797" t="str">
            <v>%</v>
          </cell>
          <cell r="G1797">
            <v>3</v>
          </cell>
          <cell r="L1797">
            <v>73952</v>
          </cell>
          <cell r="M1797">
            <v>2218</v>
          </cell>
          <cell r="N1797">
            <v>73952</v>
          </cell>
          <cell r="O1797">
            <v>2218</v>
          </cell>
        </row>
        <row r="1798">
          <cell r="C1798" t="str">
            <v>도로교통정리</v>
          </cell>
          <cell r="D1798" t="str">
            <v>보통인부</v>
          </cell>
          <cell r="E1798" t="str">
            <v>0.2*1.1*0.3</v>
          </cell>
          <cell r="F1798" t="str">
            <v>인</v>
          </cell>
          <cell r="G1798">
            <v>6.6000000000000003E-2</v>
          </cell>
          <cell r="I1798">
            <v>0</v>
          </cell>
          <cell r="J1798">
            <v>81443</v>
          </cell>
          <cell r="K1798">
            <v>5375</v>
          </cell>
          <cell r="M1798">
            <v>0</v>
          </cell>
          <cell r="N1798">
            <v>81443</v>
          </cell>
          <cell r="O1798">
            <v>5375</v>
          </cell>
        </row>
        <row r="1799">
          <cell r="A1799">
            <v>139</v>
          </cell>
          <cell r="B1799">
            <v>3</v>
          </cell>
          <cell r="C1799" t="str">
            <v>제139호표</v>
          </cell>
          <cell r="D1799" t="str">
            <v>보행등 챙 교체</v>
          </cell>
          <cell r="E1799" t="str">
            <v>300mm원형,사각</v>
          </cell>
          <cell r="F1799" t="str">
            <v>개</v>
          </cell>
          <cell r="G1799">
            <v>1</v>
          </cell>
          <cell r="I1799">
            <v>15000</v>
          </cell>
          <cell r="K1799">
            <v>24125</v>
          </cell>
          <cell r="M1799">
            <v>562</v>
          </cell>
          <cell r="O1799">
            <v>39687</v>
          </cell>
          <cell r="P1799" t="str">
            <v>전5-46(가)</v>
          </cell>
        </row>
        <row r="1800">
          <cell r="D1800" t="str">
            <v>보행등 챙 교체</v>
          </cell>
          <cell r="E1800" t="str">
            <v>300mm원형,사각</v>
          </cell>
        </row>
        <row r="1801">
          <cell r="B1801" t="str">
            <v>신호등챙300mm원형,사각</v>
          </cell>
          <cell r="C1801" t="str">
            <v>재료비</v>
          </cell>
          <cell r="D1801" t="str">
            <v>신호등챙</v>
          </cell>
          <cell r="E1801" t="str">
            <v>300mm원형,사각</v>
          </cell>
          <cell r="F1801" t="str">
            <v>개</v>
          </cell>
          <cell r="G1801">
            <v>1</v>
          </cell>
          <cell r="H1801">
            <v>15000</v>
          </cell>
          <cell r="I1801">
            <v>15000</v>
          </cell>
          <cell r="K1801">
            <v>0</v>
          </cell>
          <cell r="M1801">
            <v>0</v>
          </cell>
          <cell r="O1801">
            <v>15000</v>
          </cell>
        </row>
        <row r="1802">
          <cell r="C1802" t="str">
            <v>노무비</v>
          </cell>
          <cell r="D1802" t="str">
            <v>내선전공</v>
          </cell>
          <cell r="E1802" t="str">
            <v>0.3*1.1*0.3</v>
          </cell>
          <cell r="F1802" t="str">
            <v>인</v>
          </cell>
          <cell r="G1802">
            <v>9.9000000000000005E-2</v>
          </cell>
          <cell r="I1802">
            <v>0</v>
          </cell>
          <cell r="J1802">
            <v>135106</v>
          </cell>
          <cell r="K1802">
            <v>13375</v>
          </cell>
          <cell r="M1802">
            <v>0</v>
          </cell>
          <cell r="N1802">
            <v>135106</v>
          </cell>
          <cell r="O1802">
            <v>13375</v>
          </cell>
        </row>
        <row r="1803">
          <cell r="D1803" t="str">
            <v>보통인부</v>
          </cell>
          <cell r="E1803" t="str">
            <v>0.2*1.1*0.3</v>
          </cell>
          <cell r="F1803" t="str">
            <v>인</v>
          </cell>
          <cell r="G1803">
            <v>6.6000000000000003E-2</v>
          </cell>
          <cell r="I1803">
            <v>0</v>
          </cell>
          <cell r="J1803">
            <v>81443</v>
          </cell>
          <cell r="K1803">
            <v>5375</v>
          </cell>
          <cell r="M1803">
            <v>0</v>
          </cell>
          <cell r="N1803">
            <v>81443</v>
          </cell>
          <cell r="O1803">
            <v>5375</v>
          </cell>
        </row>
        <row r="1804">
          <cell r="D1804" t="str">
            <v>공구손료</v>
          </cell>
          <cell r="E1804" t="str">
            <v>노무비의</v>
          </cell>
          <cell r="F1804" t="str">
            <v>%</v>
          </cell>
          <cell r="G1804">
            <v>3</v>
          </cell>
          <cell r="L1804">
            <v>18750</v>
          </cell>
          <cell r="M1804">
            <v>562</v>
          </cell>
          <cell r="N1804">
            <v>18750</v>
          </cell>
          <cell r="O1804">
            <v>562</v>
          </cell>
        </row>
        <row r="1805">
          <cell r="C1805" t="str">
            <v>도로교통정리</v>
          </cell>
          <cell r="D1805" t="str">
            <v>보통인부</v>
          </cell>
          <cell r="E1805" t="str">
            <v>0.2*1.1*0.3</v>
          </cell>
          <cell r="F1805" t="str">
            <v>인</v>
          </cell>
          <cell r="G1805">
            <v>6.6000000000000003E-2</v>
          </cell>
          <cell r="I1805">
            <v>0</v>
          </cell>
          <cell r="J1805">
            <v>81443</v>
          </cell>
          <cell r="K1805">
            <v>5375</v>
          </cell>
          <cell r="M1805">
            <v>0</v>
          </cell>
          <cell r="N1805">
            <v>81443</v>
          </cell>
          <cell r="O1805">
            <v>5375</v>
          </cell>
        </row>
        <row r="1807">
          <cell r="A1807">
            <v>140</v>
          </cell>
          <cell r="B1807">
            <v>3</v>
          </cell>
          <cell r="C1807" t="str">
            <v>제140호표</v>
          </cell>
          <cell r="D1807" t="str">
            <v>신호등 모듈(LED) 교체</v>
          </cell>
          <cell r="E1807" t="str">
            <v>1색(적,녹,황,화살),경찰청규격</v>
          </cell>
          <cell r="F1807" t="str">
            <v>개</v>
          </cell>
          <cell r="G1807">
            <v>1</v>
          </cell>
          <cell r="I1807">
            <v>0</v>
          </cell>
          <cell r="K1807">
            <v>105769</v>
          </cell>
          <cell r="M1807">
            <v>2958</v>
          </cell>
          <cell r="O1807">
            <v>108727</v>
          </cell>
          <cell r="P1807" t="str">
            <v>전5-46(가)</v>
          </cell>
        </row>
        <row r="1808">
          <cell r="D1808" t="str">
            <v>신호등 모듈(LED) 교체</v>
          </cell>
          <cell r="E1808" t="str">
            <v>1색(적,녹,황,화살),경찰청규격</v>
          </cell>
        </row>
        <row r="1810">
          <cell r="B1810" t="str">
            <v>신호등 모듈(LED)1색(적,녹,황,화살),경찰청규격</v>
          </cell>
          <cell r="C1810" t="str">
            <v>재료비</v>
          </cell>
          <cell r="D1810" t="str">
            <v>신호등 모듈(LED)</v>
          </cell>
          <cell r="E1810" t="str">
            <v>1색(적,녹,황,화살),경찰청규격</v>
          </cell>
          <cell r="F1810" t="str">
            <v>개</v>
          </cell>
          <cell r="G1810">
            <v>1</v>
          </cell>
          <cell r="I1810">
            <v>0</v>
          </cell>
          <cell r="K1810">
            <v>0</v>
          </cell>
          <cell r="M1810">
            <v>0</v>
          </cell>
          <cell r="O1810">
            <v>0</v>
          </cell>
          <cell r="P1810" t="str">
            <v>관급자재</v>
          </cell>
        </row>
        <row r="1812">
          <cell r="C1812" t="str">
            <v>노무비</v>
          </cell>
          <cell r="D1812" t="str">
            <v>내선전공</v>
          </cell>
          <cell r="E1812" t="str">
            <v>0.9*1.1*1.2*0.4</v>
          </cell>
          <cell r="F1812" t="str">
            <v>인</v>
          </cell>
          <cell r="G1812">
            <v>0.47520000000000007</v>
          </cell>
          <cell r="I1812">
            <v>0</v>
          </cell>
          <cell r="J1812">
            <v>135106</v>
          </cell>
          <cell r="K1812">
            <v>64202</v>
          </cell>
          <cell r="M1812">
            <v>0</v>
          </cell>
          <cell r="N1812">
            <v>135106</v>
          </cell>
          <cell r="O1812">
            <v>64202</v>
          </cell>
        </row>
        <row r="1813">
          <cell r="D1813" t="str">
            <v>보통인부</v>
          </cell>
          <cell r="E1813" t="str">
            <v>0.8*1.1*1.2*0.4</v>
          </cell>
          <cell r="F1813" t="str">
            <v>인</v>
          </cell>
          <cell r="G1813">
            <v>0.42240000000000005</v>
          </cell>
          <cell r="I1813">
            <v>0</v>
          </cell>
          <cell r="J1813">
            <v>81443</v>
          </cell>
          <cell r="K1813">
            <v>34401</v>
          </cell>
          <cell r="M1813">
            <v>0</v>
          </cell>
          <cell r="N1813">
            <v>81443</v>
          </cell>
          <cell r="O1813">
            <v>34401</v>
          </cell>
        </row>
        <row r="1814">
          <cell r="D1814" t="str">
            <v>공구손료</v>
          </cell>
          <cell r="E1814" t="str">
            <v>노무비의</v>
          </cell>
          <cell r="F1814" t="str">
            <v>%</v>
          </cell>
          <cell r="G1814">
            <v>3</v>
          </cell>
          <cell r="L1814">
            <v>98603</v>
          </cell>
          <cell r="M1814">
            <v>2958</v>
          </cell>
          <cell r="N1814">
            <v>98603</v>
          </cell>
          <cell r="O1814">
            <v>2958</v>
          </cell>
        </row>
        <row r="1815">
          <cell r="C1815" t="str">
            <v>도로교통정리</v>
          </cell>
          <cell r="D1815" t="str">
            <v>보통인부</v>
          </cell>
          <cell r="E1815" t="str">
            <v>0.2*1.1*0.4</v>
          </cell>
          <cell r="F1815" t="str">
            <v>인</v>
          </cell>
          <cell r="G1815">
            <v>8.8000000000000023E-2</v>
          </cell>
          <cell r="I1815">
            <v>0</v>
          </cell>
          <cell r="J1815">
            <v>81443</v>
          </cell>
          <cell r="K1815">
            <v>7166</v>
          </cell>
          <cell r="M1815">
            <v>0</v>
          </cell>
          <cell r="N1815">
            <v>81443</v>
          </cell>
          <cell r="O1815">
            <v>7166</v>
          </cell>
        </row>
        <row r="1817">
          <cell r="C1817" t="str">
            <v>▣ 철거공사</v>
          </cell>
        </row>
        <row r="1818">
          <cell r="A1818">
            <v>141</v>
          </cell>
          <cell r="B1818">
            <v>3</v>
          </cell>
          <cell r="C1818" t="str">
            <v>제141호표</v>
          </cell>
          <cell r="D1818" t="str">
            <v>교통신호 차량철주 철거</v>
          </cell>
          <cell r="E1818" t="str">
            <v>Ø200 x 8m 용융도금</v>
          </cell>
          <cell r="F1818" t="str">
            <v>본</v>
          </cell>
          <cell r="G1818">
            <v>1</v>
          </cell>
          <cell r="I1818">
            <v>-103118</v>
          </cell>
          <cell r="K1818">
            <v>81291</v>
          </cell>
          <cell r="M1818">
            <v>8007</v>
          </cell>
          <cell r="O1818">
            <v>-13820</v>
          </cell>
          <cell r="P1818" t="str">
            <v>전5-46(나)</v>
          </cell>
        </row>
        <row r="1819">
          <cell r="D1819" t="str">
            <v>교통신호 차량철주 철거</v>
          </cell>
          <cell r="E1819" t="str">
            <v>Ø200 x 8m 용융도금</v>
          </cell>
          <cell r="F1819" t="str">
            <v>본</v>
          </cell>
          <cell r="G1819">
            <v>1</v>
          </cell>
          <cell r="K1819">
            <v>0</v>
          </cell>
          <cell r="M1819">
            <v>0</v>
          </cell>
          <cell r="O1819">
            <v>0</v>
          </cell>
        </row>
        <row r="1821">
          <cell r="C1821" t="str">
            <v>노무비</v>
          </cell>
          <cell r="D1821" t="str">
            <v>내선전공</v>
          </cell>
          <cell r="E1821" t="str">
            <v>((0.98-0.98*0.4)*0.5)*1.1</v>
          </cell>
          <cell r="F1821" t="str">
            <v>인</v>
          </cell>
          <cell r="G1821">
            <v>0.32340000000000002</v>
          </cell>
          <cell r="J1821">
            <v>135106</v>
          </cell>
          <cell r="K1821">
            <v>43693</v>
          </cell>
          <cell r="M1821">
            <v>0</v>
          </cell>
          <cell r="N1821">
            <v>135106</v>
          </cell>
          <cell r="O1821">
            <v>43693</v>
          </cell>
        </row>
        <row r="1822">
          <cell r="D1822" t="str">
            <v>보통인부</v>
          </cell>
          <cell r="E1822" t="str">
            <v>((0.75-0.75*0.4)*0.5)*1.1</v>
          </cell>
          <cell r="F1822" t="str">
            <v>인</v>
          </cell>
          <cell r="G1822">
            <v>0.2475</v>
          </cell>
          <cell r="J1822">
            <v>81443</v>
          </cell>
          <cell r="K1822">
            <v>20157</v>
          </cell>
          <cell r="M1822">
            <v>0</v>
          </cell>
          <cell r="N1822">
            <v>81443</v>
          </cell>
          <cell r="O1822">
            <v>20157</v>
          </cell>
        </row>
        <row r="1823">
          <cell r="D1823" t="str">
            <v>공구손료</v>
          </cell>
          <cell r="E1823" t="str">
            <v>노무비의</v>
          </cell>
          <cell r="F1823" t="str">
            <v>%</v>
          </cell>
          <cell r="G1823">
            <v>3</v>
          </cell>
          <cell r="L1823">
            <v>63850</v>
          </cell>
          <cell r="M1823">
            <v>1915</v>
          </cell>
          <cell r="N1823">
            <v>63850</v>
          </cell>
          <cell r="O1823">
            <v>1915</v>
          </cell>
        </row>
        <row r="1824">
          <cell r="C1824" t="str">
            <v>기계경비</v>
          </cell>
          <cell r="D1824" t="str">
            <v>트럭탑재형 크레인(5ton)</v>
          </cell>
          <cell r="E1824" t="str">
            <v>((1.96-(1.96*0.4))*0.5)</v>
          </cell>
          <cell r="F1824" t="str">
            <v>hr</v>
          </cell>
          <cell r="G1824">
            <v>0.58799999999999997</v>
          </cell>
          <cell r="H1824">
            <v>9154</v>
          </cell>
          <cell r="I1824">
            <v>5382</v>
          </cell>
          <cell r="J1824">
            <v>20522</v>
          </cell>
          <cell r="K1824">
            <v>12066</v>
          </cell>
          <cell r="L1824">
            <v>10362</v>
          </cell>
          <cell r="M1824">
            <v>6092</v>
          </cell>
          <cell r="N1824">
            <v>40038</v>
          </cell>
          <cell r="O1824">
            <v>23540</v>
          </cell>
          <cell r="P1824" t="str">
            <v>m21호표</v>
          </cell>
        </row>
        <row r="1825">
          <cell r="C1825" t="str">
            <v>도로교통정리</v>
          </cell>
          <cell r="D1825" t="str">
            <v>보통인부</v>
          </cell>
          <cell r="E1825" t="str">
            <v>((0.2-(0.2*0.4))*0.5)*1.1</v>
          </cell>
          <cell r="F1825" t="str">
            <v>인</v>
          </cell>
          <cell r="G1825">
            <v>6.6000000000000003E-2</v>
          </cell>
          <cell r="J1825">
            <v>81443</v>
          </cell>
          <cell r="K1825">
            <v>5375</v>
          </cell>
          <cell r="N1825">
            <v>81443</v>
          </cell>
          <cell r="O1825">
            <v>5375</v>
          </cell>
        </row>
        <row r="1826">
          <cell r="B1826" t="str">
            <v>철SCRAP중량A</v>
          </cell>
          <cell r="C1826" t="str">
            <v>고재비</v>
          </cell>
          <cell r="D1826" t="str">
            <v>철SCRAP</v>
          </cell>
          <cell r="E1826" t="str">
            <v>중량A</v>
          </cell>
          <cell r="F1826" t="str">
            <v>Kg</v>
          </cell>
          <cell r="G1826">
            <v>310</v>
          </cell>
          <cell r="H1826">
            <v>350</v>
          </cell>
          <cell r="I1826">
            <v>-108500</v>
          </cell>
          <cell r="N1826">
            <v>350</v>
          </cell>
          <cell r="O1826">
            <v>-108500</v>
          </cell>
        </row>
        <row r="1828">
          <cell r="A1828">
            <v>142</v>
          </cell>
          <cell r="B1828">
            <v>3</v>
          </cell>
          <cell r="C1828" t="str">
            <v>제142호표</v>
          </cell>
          <cell r="D1828" t="str">
            <v>교통신호 차량철주 철거</v>
          </cell>
          <cell r="E1828" t="str">
            <v>Ø250 x 8m 용융도금</v>
          </cell>
          <cell r="F1828" t="str">
            <v>본</v>
          </cell>
          <cell r="G1828">
            <v>1</v>
          </cell>
          <cell r="I1828">
            <v>-141215</v>
          </cell>
          <cell r="K1828">
            <v>111657</v>
          </cell>
          <cell r="M1828">
            <v>11210</v>
          </cell>
          <cell r="O1828">
            <v>-18348</v>
          </cell>
          <cell r="P1828" t="str">
            <v>전5-46(나)</v>
          </cell>
        </row>
        <row r="1829">
          <cell r="D1829" t="str">
            <v>교통신호 차량철주 철거</v>
          </cell>
          <cell r="E1829" t="str">
            <v>Ø250 x 8m 용융도금</v>
          </cell>
          <cell r="F1829" t="str">
            <v>본</v>
          </cell>
          <cell r="G1829">
            <v>1</v>
          </cell>
          <cell r="K1829">
            <v>0</v>
          </cell>
          <cell r="M1829">
            <v>0</v>
          </cell>
          <cell r="O1829">
            <v>0</v>
          </cell>
        </row>
        <row r="1831">
          <cell r="C1831" t="str">
            <v>노무비</v>
          </cell>
          <cell r="D1831" t="str">
            <v>내선전공</v>
          </cell>
          <cell r="E1831" t="str">
            <v>((0.98-0.98*0.4)*1.4*0.5)*1.1</v>
          </cell>
          <cell r="F1831" t="str">
            <v>인</v>
          </cell>
          <cell r="G1831">
            <v>0.45276</v>
          </cell>
          <cell r="J1831">
            <v>135106</v>
          </cell>
          <cell r="K1831">
            <v>61170</v>
          </cell>
          <cell r="M1831">
            <v>0</v>
          </cell>
          <cell r="N1831">
            <v>135106</v>
          </cell>
          <cell r="O1831">
            <v>61170</v>
          </cell>
        </row>
        <row r="1832">
          <cell r="D1832" t="str">
            <v>보통인부</v>
          </cell>
          <cell r="E1832" t="str">
            <v>((0.75-0.75*0.4)*1.4*0.5)*1.1</v>
          </cell>
          <cell r="F1832" t="str">
            <v>인</v>
          </cell>
          <cell r="G1832">
            <v>0.34649999999999997</v>
          </cell>
          <cell r="J1832">
            <v>81443</v>
          </cell>
          <cell r="K1832">
            <v>28219</v>
          </cell>
          <cell r="M1832">
            <v>0</v>
          </cell>
          <cell r="N1832">
            <v>81443</v>
          </cell>
          <cell r="O1832">
            <v>28219</v>
          </cell>
        </row>
        <row r="1833">
          <cell r="D1833" t="str">
            <v>공구손료</v>
          </cell>
          <cell r="E1833" t="str">
            <v>노무비의</v>
          </cell>
          <cell r="F1833" t="str">
            <v>%</v>
          </cell>
          <cell r="G1833">
            <v>3</v>
          </cell>
          <cell r="L1833">
            <v>89389</v>
          </cell>
          <cell r="M1833">
            <v>2681</v>
          </cell>
          <cell r="N1833">
            <v>89389</v>
          </cell>
          <cell r="O1833">
            <v>2681</v>
          </cell>
        </row>
        <row r="1834">
          <cell r="C1834" t="str">
            <v>기계경비</v>
          </cell>
          <cell r="D1834" t="str">
            <v>트럭탑재형 크레인(5ton)</v>
          </cell>
          <cell r="E1834" t="str">
            <v>((1.96-(1.96*0.4))*0.5*1.4)</v>
          </cell>
          <cell r="F1834" t="str">
            <v>hr</v>
          </cell>
          <cell r="G1834">
            <v>0.82319999999999993</v>
          </cell>
          <cell r="H1834">
            <v>9154</v>
          </cell>
          <cell r="I1834">
            <v>7535</v>
          </cell>
          <cell r="J1834">
            <v>20522</v>
          </cell>
          <cell r="K1834">
            <v>16893</v>
          </cell>
          <cell r="L1834">
            <v>10362</v>
          </cell>
          <cell r="M1834">
            <v>8529</v>
          </cell>
          <cell r="N1834">
            <v>40038</v>
          </cell>
          <cell r="O1834">
            <v>32957</v>
          </cell>
          <cell r="P1834" t="str">
            <v>m21호표</v>
          </cell>
        </row>
        <row r="1835">
          <cell r="C1835" t="str">
            <v>도로교통정리</v>
          </cell>
          <cell r="D1835" t="str">
            <v>보통인부</v>
          </cell>
          <cell r="E1835" t="str">
            <v>((0.2-(0.2*0.4))*0.5)*1.1</v>
          </cell>
          <cell r="F1835" t="str">
            <v>인</v>
          </cell>
          <cell r="G1835">
            <v>6.6000000000000003E-2</v>
          </cell>
          <cell r="J1835">
            <v>81443</v>
          </cell>
          <cell r="K1835">
            <v>5375</v>
          </cell>
          <cell r="N1835">
            <v>81443</v>
          </cell>
          <cell r="O1835">
            <v>5375</v>
          </cell>
        </row>
        <row r="1836">
          <cell r="B1836" t="str">
            <v>철SCRAP중량A</v>
          </cell>
          <cell r="C1836" t="str">
            <v>고재비</v>
          </cell>
          <cell r="D1836" t="str">
            <v>철SCRAP</v>
          </cell>
          <cell r="E1836" t="str">
            <v>중량A</v>
          </cell>
          <cell r="F1836" t="str">
            <v>Kg</v>
          </cell>
          <cell r="G1836">
            <v>425</v>
          </cell>
          <cell r="H1836">
            <v>350</v>
          </cell>
          <cell r="I1836">
            <v>-148750</v>
          </cell>
          <cell r="N1836">
            <v>350</v>
          </cell>
          <cell r="O1836">
            <v>-148750</v>
          </cell>
        </row>
        <row r="1839">
          <cell r="A1839">
            <v>143</v>
          </cell>
          <cell r="B1839">
            <v>3</v>
          </cell>
          <cell r="C1839" t="str">
            <v>제143호표</v>
          </cell>
          <cell r="D1839" t="str">
            <v>교통신호철주 철거</v>
          </cell>
          <cell r="E1839" t="str">
            <v>Ø300 x 9m이하 용융도금</v>
          </cell>
          <cell r="F1839" t="str">
            <v>본</v>
          </cell>
          <cell r="G1839">
            <v>1</v>
          </cell>
          <cell r="I1839">
            <v>-184965</v>
          </cell>
          <cell r="K1839">
            <v>111657</v>
          </cell>
          <cell r="M1839">
            <v>11210</v>
          </cell>
          <cell r="O1839">
            <v>-62098</v>
          </cell>
          <cell r="P1839" t="str">
            <v>전5-46(나)</v>
          </cell>
        </row>
        <row r="1840">
          <cell r="B1840" t="str">
            <v>교통신호철주 철거Ø300 x 9m이하 용융도금</v>
          </cell>
          <cell r="D1840" t="str">
            <v>교통신호철주 철거</v>
          </cell>
          <cell r="E1840" t="str">
            <v>Ø300 x 9m이하 용융도금</v>
          </cell>
          <cell r="F1840" t="str">
            <v>본</v>
          </cell>
          <cell r="G1840">
            <v>1</v>
          </cell>
          <cell r="K1840">
            <v>0</v>
          </cell>
          <cell r="M1840">
            <v>0</v>
          </cell>
          <cell r="O1840">
            <v>0</v>
          </cell>
        </row>
        <row r="1841">
          <cell r="C1841" t="str">
            <v>노무비</v>
          </cell>
          <cell r="D1841" t="str">
            <v>내선전공</v>
          </cell>
          <cell r="E1841" t="str">
            <v>((0.98-0.98*0.4)*1.4*0.5)*1.1</v>
          </cell>
          <cell r="F1841" t="str">
            <v>인</v>
          </cell>
          <cell r="G1841">
            <v>0.45276</v>
          </cell>
          <cell r="J1841">
            <v>135106</v>
          </cell>
          <cell r="K1841">
            <v>61170</v>
          </cell>
          <cell r="M1841">
            <v>0</v>
          </cell>
          <cell r="N1841">
            <v>135106</v>
          </cell>
          <cell r="O1841">
            <v>61170</v>
          </cell>
        </row>
        <row r="1842">
          <cell r="D1842" t="str">
            <v>보통인부</v>
          </cell>
          <cell r="E1842" t="str">
            <v>((0.75-0.75*0.4)*1.4*0.5)*1.1</v>
          </cell>
          <cell r="F1842" t="str">
            <v>인</v>
          </cell>
          <cell r="G1842">
            <v>0.34649999999999997</v>
          </cell>
          <cell r="J1842">
            <v>81443</v>
          </cell>
          <cell r="K1842">
            <v>28219</v>
          </cell>
          <cell r="M1842">
            <v>0</v>
          </cell>
          <cell r="N1842">
            <v>81443</v>
          </cell>
          <cell r="O1842">
            <v>28219</v>
          </cell>
        </row>
        <row r="1843">
          <cell r="D1843" t="str">
            <v>공구손료</v>
          </cell>
          <cell r="E1843" t="str">
            <v>노무비의</v>
          </cell>
          <cell r="F1843" t="str">
            <v>%</v>
          </cell>
          <cell r="G1843">
            <v>3</v>
          </cell>
          <cell r="L1843">
            <v>89389</v>
          </cell>
          <cell r="M1843">
            <v>2681</v>
          </cell>
          <cell r="N1843">
            <v>89389</v>
          </cell>
          <cell r="O1843">
            <v>2681</v>
          </cell>
        </row>
        <row r="1844">
          <cell r="C1844" t="str">
            <v>기계경비</v>
          </cell>
          <cell r="D1844" t="str">
            <v>트럭탑재형 크레인(5ton)</v>
          </cell>
          <cell r="E1844" t="str">
            <v>((1.96-(1.96*0.4))*0.5*1.4)</v>
          </cell>
          <cell r="F1844" t="str">
            <v>hr</v>
          </cell>
          <cell r="G1844">
            <v>0.82319999999999993</v>
          </cell>
          <cell r="H1844">
            <v>9154</v>
          </cell>
          <cell r="I1844">
            <v>7535</v>
          </cell>
          <cell r="J1844">
            <v>20522</v>
          </cell>
          <cell r="K1844">
            <v>16893</v>
          </cell>
          <cell r="L1844">
            <v>10362</v>
          </cell>
          <cell r="M1844">
            <v>8529</v>
          </cell>
          <cell r="N1844">
            <v>40038</v>
          </cell>
          <cell r="O1844">
            <v>32957</v>
          </cell>
          <cell r="P1844" t="str">
            <v>m21호표</v>
          </cell>
        </row>
        <row r="1845">
          <cell r="C1845" t="str">
            <v>도로교통정리</v>
          </cell>
          <cell r="D1845" t="str">
            <v>보통인부</v>
          </cell>
          <cell r="E1845" t="str">
            <v>((0.2-(0.2*0.4))*0.5)*1.1</v>
          </cell>
          <cell r="F1845" t="str">
            <v>인</v>
          </cell>
          <cell r="G1845">
            <v>6.6000000000000003E-2</v>
          </cell>
          <cell r="J1845">
            <v>81443</v>
          </cell>
          <cell r="K1845">
            <v>5375</v>
          </cell>
          <cell r="N1845">
            <v>81443</v>
          </cell>
          <cell r="O1845">
            <v>5375</v>
          </cell>
        </row>
        <row r="1846">
          <cell r="B1846" t="str">
            <v>철SCRAP중량A</v>
          </cell>
          <cell r="C1846" t="str">
            <v>고재비</v>
          </cell>
          <cell r="D1846" t="str">
            <v>철SCRAP</v>
          </cell>
          <cell r="E1846" t="str">
            <v>중량A</v>
          </cell>
          <cell r="F1846" t="str">
            <v>Kg</v>
          </cell>
          <cell r="G1846">
            <v>550</v>
          </cell>
          <cell r="H1846">
            <v>350</v>
          </cell>
          <cell r="I1846">
            <v>-192500</v>
          </cell>
          <cell r="N1846">
            <v>350</v>
          </cell>
          <cell r="O1846">
            <v>-192500</v>
          </cell>
        </row>
        <row r="1847">
          <cell r="A1847">
            <v>144</v>
          </cell>
          <cell r="B1847">
            <v>3</v>
          </cell>
          <cell r="C1847" t="str">
            <v>제144호표</v>
          </cell>
          <cell r="D1847" t="str">
            <v>보행등주 철거</v>
          </cell>
          <cell r="E1847" t="str">
            <v>Ø125 x 4m 용융도금</v>
          </cell>
          <cell r="F1847" t="str">
            <v>본</v>
          </cell>
          <cell r="G1847">
            <v>1</v>
          </cell>
          <cell r="I1847">
            <v>-26250</v>
          </cell>
          <cell r="K1847">
            <v>130378</v>
          </cell>
          <cell r="M1847">
            <v>3750</v>
          </cell>
          <cell r="O1847">
            <v>107878</v>
          </cell>
          <cell r="P1847" t="str">
            <v>전5-46</v>
          </cell>
        </row>
        <row r="1849">
          <cell r="D1849" t="str">
            <v>보행등주 철거</v>
          </cell>
          <cell r="E1849" t="str">
            <v>Ø125 x 4m 용융도금</v>
          </cell>
          <cell r="F1849" t="str">
            <v>본</v>
          </cell>
          <cell r="G1849">
            <v>1</v>
          </cell>
          <cell r="K1849">
            <v>0</v>
          </cell>
          <cell r="M1849">
            <v>0</v>
          </cell>
          <cell r="O1849">
            <v>0</v>
          </cell>
        </row>
        <row r="1851">
          <cell r="C1851" t="str">
            <v>노무비</v>
          </cell>
          <cell r="D1851" t="str">
            <v>내선전공</v>
          </cell>
          <cell r="E1851" t="str">
            <v>1.2*0.5*1.1</v>
          </cell>
          <cell r="F1851" t="str">
            <v>인</v>
          </cell>
          <cell r="G1851">
            <v>0.66</v>
          </cell>
          <cell r="J1851">
            <v>135106</v>
          </cell>
          <cell r="K1851">
            <v>89169</v>
          </cell>
          <cell r="M1851">
            <v>0</v>
          </cell>
          <cell r="N1851">
            <v>135106</v>
          </cell>
          <cell r="O1851">
            <v>89169</v>
          </cell>
        </row>
        <row r="1852">
          <cell r="D1852" t="str">
            <v>보통인부</v>
          </cell>
          <cell r="E1852" t="str">
            <v>0.8*0.5*1.1</v>
          </cell>
          <cell r="F1852" t="str">
            <v>인</v>
          </cell>
          <cell r="G1852">
            <v>0.44000000000000006</v>
          </cell>
          <cell r="J1852">
            <v>81443</v>
          </cell>
          <cell r="K1852">
            <v>35834</v>
          </cell>
          <cell r="M1852">
            <v>0</v>
          </cell>
          <cell r="N1852">
            <v>81443</v>
          </cell>
          <cell r="O1852">
            <v>35834</v>
          </cell>
        </row>
        <row r="1853">
          <cell r="D1853" t="str">
            <v>공구손료</v>
          </cell>
          <cell r="E1853" t="str">
            <v>노무비의</v>
          </cell>
          <cell r="F1853" t="str">
            <v>%</v>
          </cell>
          <cell r="G1853">
            <v>3</v>
          </cell>
          <cell r="L1853">
            <v>125003</v>
          </cell>
          <cell r="M1853">
            <v>3750</v>
          </cell>
          <cell r="N1853">
            <v>125003</v>
          </cell>
          <cell r="O1853">
            <v>3750</v>
          </cell>
        </row>
        <row r="1855">
          <cell r="B1855" t="str">
            <v>철SCRAP중량A</v>
          </cell>
          <cell r="C1855" t="str">
            <v>고재비</v>
          </cell>
          <cell r="D1855" t="str">
            <v>철SCRAP</v>
          </cell>
          <cell r="E1855" t="str">
            <v>중량A</v>
          </cell>
          <cell r="F1855" t="str">
            <v>Kg</v>
          </cell>
          <cell r="G1855">
            <v>75</v>
          </cell>
          <cell r="H1855">
            <v>350</v>
          </cell>
          <cell r="I1855">
            <v>-26250</v>
          </cell>
          <cell r="N1855">
            <v>350</v>
          </cell>
          <cell r="O1855">
            <v>-26250</v>
          </cell>
        </row>
        <row r="1856">
          <cell r="C1856" t="str">
            <v>도로교통정리</v>
          </cell>
          <cell r="D1856" t="str">
            <v>보통인부</v>
          </cell>
          <cell r="E1856" t="str">
            <v>((0.2-(0.2*0.4))*0.5)*1.1</v>
          </cell>
          <cell r="F1856" t="str">
            <v>인</v>
          </cell>
          <cell r="G1856">
            <v>6.6000000000000003E-2</v>
          </cell>
          <cell r="J1856">
            <v>81443</v>
          </cell>
          <cell r="K1856">
            <v>5375</v>
          </cell>
          <cell r="N1856">
            <v>81443</v>
          </cell>
          <cell r="O1856">
            <v>5375</v>
          </cell>
        </row>
        <row r="1860">
          <cell r="A1860">
            <v>145</v>
          </cell>
          <cell r="B1860">
            <v>3</v>
          </cell>
          <cell r="C1860" t="str">
            <v>제145호표</v>
          </cell>
          <cell r="D1860" t="str">
            <v>보행등철주 철거</v>
          </cell>
          <cell r="E1860" t="str">
            <v>Ø125 x 6m 용융도금</v>
          </cell>
          <cell r="F1860" t="str">
            <v>본</v>
          </cell>
          <cell r="G1860">
            <v>1</v>
          </cell>
          <cell r="I1860">
            <v>-39200</v>
          </cell>
          <cell r="K1860">
            <v>137809</v>
          </cell>
          <cell r="M1860">
            <v>3973</v>
          </cell>
          <cell r="O1860">
            <v>102582</v>
          </cell>
          <cell r="P1860" t="str">
            <v>전5-46</v>
          </cell>
        </row>
        <row r="1862">
          <cell r="D1862" t="str">
            <v>보행등철주 철거</v>
          </cell>
          <cell r="E1862" t="str">
            <v>Ø125 x 6m 용융도금</v>
          </cell>
        </row>
        <row r="1864">
          <cell r="B1864" t="str">
            <v>보행등철주Ø125 x 6m 용융도금</v>
          </cell>
          <cell r="C1864" t="str">
            <v>재료비</v>
          </cell>
          <cell r="D1864" t="str">
            <v>보행등철주</v>
          </cell>
          <cell r="E1864" t="str">
            <v>Ø125 x 6m 용융도금</v>
          </cell>
          <cell r="F1864" t="str">
            <v>본</v>
          </cell>
          <cell r="G1864">
            <v>1</v>
          </cell>
          <cell r="I1864">
            <v>0</v>
          </cell>
          <cell r="K1864">
            <v>0</v>
          </cell>
          <cell r="M1864">
            <v>0</v>
          </cell>
          <cell r="O1864">
            <v>0</v>
          </cell>
          <cell r="P1864" t="str">
            <v>관급자재</v>
          </cell>
        </row>
        <row r="1866">
          <cell r="C1866" t="str">
            <v>노무비</v>
          </cell>
          <cell r="D1866" t="str">
            <v>내선전공</v>
          </cell>
          <cell r="E1866" t="str">
            <v>1.3*0.5*1.1</v>
          </cell>
          <cell r="F1866" t="str">
            <v>인</v>
          </cell>
          <cell r="G1866">
            <v>0.71500000000000008</v>
          </cell>
          <cell r="I1866">
            <v>0</v>
          </cell>
          <cell r="J1866">
            <v>135106</v>
          </cell>
          <cell r="K1866">
            <v>96600</v>
          </cell>
          <cell r="M1866">
            <v>0</v>
          </cell>
          <cell r="N1866">
            <v>135106</v>
          </cell>
          <cell r="O1866">
            <v>96600</v>
          </cell>
        </row>
        <row r="1867">
          <cell r="D1867" t="str">
            <v>보통인부</v>
          </cell>
          <cell r="E1867" t="str">
            <v>0.8*0.5*1.1</v>
          </cell>
          <cell r="F1867" t="str">
            <v>인</v>
          </cell>
          <cell r="G1867">
            <v>0.44000000000000006</v>
          </cell>
          <cell r="I1867">
            <v>0</v>
          </cell>
          <cell r="J1867">
            <v>81443</v>
          </cell>
          <cell r="K1867">
            <v>35834</v>
          </cell>
          <cell r="M1867">
            <v>0</v>
          </cell>
          <cell r="N1867">
            <v>81443</v>
          </cell>
          <cell r="O1867">
            <v>35834</v>
          </cell>
        </row>
        <row r="1868">
          <cell r="D1868" t="str">
            <v>공구손료</v>
          </cell>
          <cell r="E1868" t="str">
            <v>노무비의</v>
          </cell>
          <cell r="F1868" t="str">
            <v>%</v>
          </cell>
          <cell r="G1868">
            <v>3</v>
          </cell>
          <cell r="L1868">
            <v>132434</v>
          </cell>
          <cell r="M1868">
            <v>3973</v>
          </cell>
          <cell r="N1868">
            <v>132434</v>
          </cell>
          <cell r="O1868">
            <v>3973</v>
          </cell>
        </row>
        <row r="1869">
          <cell r="B1869" t="str">
            <v>철SCRAP중량A</v>
          </cell>
          <cell r="C1869" t="str">
            <v>고재비</v>
          </cell>
          <cell r="D1869" t="str">
            <v>철SCRAP</v>
          </cell>
          <cell r="E1869" t="str">
            <v>중량A</v>
          </cell>
          <cell r="F1869" t="str">
            <v>Kg</v>
          </cell>
          <cell r="G1869">
            <v>112</v>
          </cell>
          <cell r="H1869">
            <v>350</v>
          </cell>
          <cell r="I1869">
            <v>-39200</v>
          </cell>
          <cell r="N1869">
            <v>350</v>
          </cell>
          <cell r="O1869">
            <v>-39200</v>
          </cell>
        </row>
        <row r="1870">
          <cell r="C1870" t="str">
            <v>도로교통정리</v>
          </cell>
          <cell r="D1870" t="str">
            <v>보통인부</v>
          </cell>
          <cell r="E1870" t="str">
            <v>((0.2-(0.2*0.4))*0.5)*1.1</v>
          </cell>
          <cell r="F1870" t="str">
            <v>인</v>
          </cell>
          <cell r="G1870">
            <v>6.6000000000000003E-2</v>
          </cell>
          <cell r="I1870">
            <v>0</v>
          </cell>
          <cell r="J1870">
            <v>81443</v>
          </cell>
          <cell r="K1870">
            <v>5375</v>
          </cell>
          <cell r="M1870">
            <v>0</v>
          </cell>
          <cell r="N1870">
            <v>81443</v>
          </cell>
          <cell r="O1870">
            <v>5375</v>
          </cell>
        </row>
        <row r="1873">
          <cell r="A1873">
            <v>146</v>
          </cell>
          <cell r="B1873">
            <v>3</v>
          </cell>
          <cell r="C1873" t="str">
            <v>제146호표</v>
          </cell>
          <cell r="D1873" t="str">
            <v>차량등 부착대 철거</v>
          </cell>
          <cell r="E1873" t="str">
            <v>용융 Ø80 x 65 x 13m</v>
          </cell>
          <cell r="F1873" t="str">
            <v>본</v>
          </cell>
          <cell r="G1873">
            <v>1</v>
          </cell>
          <cell r="I1873">
            <v>-47316.334800000004</v>
          </cell>
          <cell r="K1873">
            <v>74438</v>
          </cell>
          <cell r="M1873">
            <v>7473</v>
          </cell>
          <cell r="O1873">
            <v>34594</v>
          </cell>
          <cell r="P1873" t="str">
            <v>전5-46(나)</v>
          </cell>
        </row>
        <row r="1874">
          <cell r="B1874" t="str">
            <v>차량등 부착대 철거용융 Ø80 x 65 x 13m</v>
          </cell>
          <cell r="D1874" t="str">
            <v>차량등 부착대 철거</v>
          </cell>
          <cell r="E1874" t="str">
            <v>용융 Ø80 x 65 x 13m</v>
          </cell>
          <cell r="F1874" t="str">
            <v>본</v>
          </cell>
          <cell r="G1874">
            <v>1</v>
          </cell>
          <cell r="K1874">
            <v>0</v>
          </cell>
          <cell r="M1874">
            <v>0</v>
          </cell>
          <cell r="O1874">
            <v>0</v>
          </cell>
        </row>
        <row r="1876">
          <cell r="C1876" t="str">
            <v>노무비</v>
          </cell>
          <cell r="D1876" t="str">
            <v>내선전공</v>
          </cell>
          <cell r="E1876" t="str">
            <v>(0.98*0.4*1.4*0.5)*1.1</v>
          </cell>
          <cell r="F1876" t="str">
            <v>인</v>
          </cell>
          <cell r="G1876">
            <v>0.30184</v>
          </cell>
          <cell r="J1876">
            <v>135106</v>
          </cell>
          <cell r="K1876">
            <v>40780</v>
          </cell>
          <cell r="M1876">
            <v>0</v>
          </cell>
          <cell r="N1876">
            <v>135106</v>
          </cell>
          <cell r="O1876">
            <v>40780</v>
          </cell>
        </row>
        <row r="1877">
          <cell r="D1877" t="str">
            <v>보통인부</v>
          </cell>
          <cell r="E1877" t="str">
            <v>(0.75*0.4*1.4*0.5)*1.1</v>
          </cell>
          <cell r="F1877" t="str">
            <v>인</v>
          </cell>
          <cell r="G1877">
            <v>0.23100000000000004</v>
          </cell>
          <cell r="J1877">
            <v>81443</v>
          </cell>
          <cell r="K1877">
            <v>18813</v>
          </cell>
          <cell r="M1877">
            <v>0</v>
          </cell>
          <cell r="N1877">
            <v>81443</v>
          </cell>
          <cell r="O1877">
            <v>18813</v>
          </cell>
        </row>
        <row r="1878">
          <cell r="D1878" t="str">
            <v>공구손료</v>
          </cell>
          <cell r="E1878" t="str">
            <v>노무비의</v>
          </cell>
          <cell r="F1878" t="str">
            <v>%</v>
          </cell>
          <cell r="G1878">
            <v>3</v>
          </cell>
          <cell r="L1878">
            <v>59593</v>
          </cell>
          <cell r="M1878">
            <v>1787</v>
          </cell>
          <cell r="N1878">
            <v>59593</v>
          </cell>
          <cell r="O1878">
            <v>1787</v>
          </cell>
        </row>
        <row r="1879">
          <cell r="C1879" t="str">
            <v>기계경비</v>
          </cell>
          <cell r="D1879" t="str">
            <v>트럭탑재형 크레인(5ton)</v>
          </cell>
          <cell r="E1879" t="str">
            <v>((1.96*0.4)*0.5*1.4)</v>
          </cell>
          <cell r="F1879" t="str">
            <v>hr</v>
          </cell>
          <cell r="G1879">
            <v>0.54879999999999995</v>
          </cell>
          <cell r="H1879">
            <v>9154</v>
          </cell>
          <cell r="I1879">
            <v>5023.7151999999996</v>
          </cell>
          <cell r="J1879">
            <v>20522</v>
          </cell>
          <cell r="K1879">
            <v>11262</v>
          </cell>
          <cell r="L1879">
            <v>10362</v>
          </cell>
          <cell r="M1879">
            <v>5686</v>
          </cell>
          <cell r="N1879">
            <v>40038</v>
          </cell>
          <cell r="O1879">
            <v>21971</v>
          </cell>
          <cell r="P1879" t="str">
            <v>m21호표</v>
          </cell>
        </row>
        <row r="1880">
          <cell r="B1880" t="str">
            <v>철SCRAP중량A</v>
          </cell>
          <cell r="C1880" t="str">
            <v>고재비</v>
          </cell>
          <cell r="D1880" t="str">
            <v>철SCRAP</v>
          </cell>
          <cell r="E1880" t="str">
            <v>중량A</v>
          </cell>
          <cell r="F1880" t="str">
            <v>Kg</v>
          </cell>
          <cell r="G1880">
            <v>135</v>
          </cell>
          <cell r="H1880">
            <v>350</v>
          </cell>
          <cell r="I1880">
            <v>-47250</v>
          </cell>
          <cell r="N1880">
            <v>350</v>
          </cell>
          <cell r="O1880">
            <v>-47250</v>
          </cell>
          <cell r="P1880" t="str">
            <v>부착대</v>
          </cell>
        </row>
        <row r="1881">
          <cell r="B1881" t="str">
            <v>철SCRAP중량A</v>
          </cell>
          <cell r="C1881" t="str">
            <v>고재비</v>
          </cell>
          <cell r="D1881" t="str">
            <v>철SCRAP</v>
          </cell>
          <cell r="E1881" t="str">
            <v>중량A</v>
          </cell>
          <cell r="F1881" t="str">
            <v>Kg</v>
          </cell>
          <cell r="G1881">
            <v>14.542999999999999</v>
          </cell>
          <cell r="H1881">
            <v>350</v>
          </cell>
          <cell r="I1881">
            <v>-5090.05</v>
          </cell>
          <cell r="N1881">
            <v>350</v>
          </cell>
          <cell r="O1881">
            <v>-5091</v>
          </cell>
          <cell r="P1881" t="str">
            <v>와이어로프</v>
          </cell>
        </row>
        <row r="1882">
          <cell r="C1882" t="str">
            <v>도로교통정리</v>
          </cell>
          <cell r="D1882" t="str">
            <v>보통인부</v>
          </cell>
          <cell r="E1882" t="str">
            <v>((0.2*0.4)*0.5)*1.1</v>
          </cell>
          <cell r="F1882" t="str">
            <v>인</v>
          </cell>
          <cell r="G1882">
            <v>4.4000000000000011E-2</v>
          </cell>
          <cell r="J1882">
            <v>81443</v>
          </cell>
          <cell r="K1882">
            <v>3583</v>
          </cell>
          <cell r="N1882">
            <v>81443</v>
          </cell>
          <cell r="O1882">
            <v>3583</v>
          </cell>
        </row>
        <row r="1884">
          <cell r="A1884">
            <v>147</v>
          </cell>
          <cell r="B1884">
            <v>3</v>
          </cell>
          <cell r="C1884" t="str">
            <v>제147호표</v>
          </cell>
          <cell r="D1884" t="str">
            <v>차량등 부착대 철거</v>
          </cell>
          <cell r="E1884" t="str">
            <v>용융 Ø80 x 65 x 11m</v>
          </cell>
          <cell r="F1884" t="str">
            <v>본</v>
          </cell>
          <cell r="G1884">
            <v>1</v>
          </cell>
          <cell r="I1884">
            <v>-40488.534800000001</v>
          </cell>
          <cell r="K1884">
            <v>74438.473599999998</v>
          </cell>
          <cell r="M1884">
            <v>23759.854399999997</v>
          </cell>
          <cell r="O1884">
            <v>57709</v>
          </cell>
          <cell r="P1884" t="str">
            <v>전5-46(나)</v>
          </cell>
        </row>
        <row r="1885">
          <cell r="B1885" t="str">
            <v>차량등 부착대 철거용융 Ø80 x 65 x 11m</v>
          </cell>
          <cell r="D1885" t="str">
            <v>차량등 부착대 철거</v>
          </cell>
          <cell r="E1885" t="str">
            <v>용융 Ø80 x 65 x 11m</v>
          </cell>
          <cell r="F1885" t="str">
            <v>본</v>
          </cell>
          <cell r="G1885">
            <v>1</v>
          </cell>
          <cell r="K1885">
            <v>0</v>
          </cell>
          <cell r="M1885">
            <v>0</v>
          </cell>
          <cell r="O1885">
            <v>0</v>
          </cell>
        </row>
        <row r="1887">
          <cell r="C1887" t="str">
            <v>노무비</v>
          </cell>
          <cell r="D1887" t="str">
            <v>내선전공</v>
          </cell>
          <cell r="E1887" t="str">
            <v>(0.98*0.4*1.4*0.5)*1.1</v>
          </cell>
          <cell r="F1887" t="str">
            <v>인</v>
          </cell>
          <cell r="G1887">
            <v>0.30184</v>
          </cell>
          <cell r="J1887">
            <v>135106</v>
          </cell>
          <cell r="K1887">
            <v>40780</v>
          </cell>
          <cell r="M1887">
            <v>0</v>
          </cell>
          <cell r="N1887">
            <v>135106</v>
          </cell>
          <cell r="O1887">
            <v>40780</v>
          </cell>
        </row>
        <row r="1888">
          <cell r="D1888" t="str">
            <v>보통인부</v>
          </cell>
          <cell r="E1888" t="str">
            <v>(0.75*0.4*1.4*0.5)*1.1</v>
          </cell>
          <cell r="F1888" t="str">
            <v>인</v>
          </cell>
          <cell r="G1888">
            <v>0.23100000000000004</v>
          </cell>
          <cell r="J1888">
            <v>81443</v>
          </cell>
          <cell r="K1888">
            <v>18813</v>
          </cell>
          <cell r="M1888">
            <v>0</v>
          </cell>
          <cell r="N1888">
            <v>81443</v>
          </cell>
          <cell r="O1888">
            <v>18813</v>
          </cell>
        </row>
        <row r="1889">
          <cell r="D1889" t="str">
            <v>공구손료</v>
          </cell>
          <cell r="E1889" t="str">
            <v>노무비의</v>
          </cell>
          <cell r="F1889" t="str">
            <v>%</v>
          </cell>
          <cell r="G1889">
            <v>3</v>
          </cell>
          <cell r="L1889">
            <v>59593</v>
          </cell>
          <cell r="M1889">
            <v>1787</v>
          </cell>
          <cell r="N1889">
            <v>59593</v>
          </cell>
          <cell r="O1889">
            <v>1787</v>
          </cell>
        </row>
        <row r="1890">
          <cell r="C1890" t="str">
            <v>기계경비</v>
          </cell>
          <cell r="D1890" t="str">
            <v>트럭탑재형 크레인(5ton)</v>
          </cell>
          <cell r="E1890" t="str">
            <v>((1.96*0.4)*0.5*1.4)</v>
          </cell>
          <cell r="F1890" t="str">
            <v>hr</v>
          </cell>
          <cell r="G1890">
            <v>0.54879999999999995</v>
          </cell>
          <cell r="H1890">
            <v>9154</v>
          </cell>
          <cell r="I1890">
            <v>5023.7151999999996</v>
          </cell>
          <cell r="J1890">
            <v>20522</v>
          </cell>
          <cell r="K1890">
            <v>11262.473599999999</v>
          </cell>
          <cell r="L1890">
            <v>40038</v>
          </cell>
          <cell r="M1890">
            <v>21972.854399999997</v>
          </cell>
          <cell r="N1890">
            <v>69714</v>
          </cell>
          <cell r="O1890">
            <v>38259</v>
          </cell>
          <cell r="P1890" t="str">
            <v>m21호표</v>
          </cell>
        </row>
        <row r="1891">
          <cell r="B1891" t="str">
            <v>철SCRAP중량A</v>
          </cell>
          <cell r="C1891" t="str">
            <v>고재비</v>
          </cell>
          <cell r="D1891" t="str">
            <v>철SCRAP</v>
          </cell>
          <cell r="E1891" t="str">
            <v>중량A</v>
          </cell>
          <cell r="F1891" t="str">
            <v>Kg</v>
          </cell>
          <cell r="G1891">
            <v>120</v>
          </cell>
          <cell r="H1891">
            <v>350</v>
          </cell>
          <cell r="I1891">
            <v>-42000</v>
          </cell>
          <cell r="N1891">
            <v>350</v>
          </cell>
          <cell r="O1891">
            <v>-42000</v>
          </cell>
          <cell r="P1891" t="str">
            <v>부착대</v>
          </cell>
        </row>
        <row r="1892">
          <cell r="B1892" t="str">
            <v>철SCRAP중량A</v>
          </cell>
          <cell r="C1892" t="str">
            <v>고재비</v>
          </cell>
          <cell r="D1892" t="str">
            <v>철SCRAP</v>
          </cell>
          <cell r="E1892" t="str">
            <v>중량A</v>
          </cell>
          <cell r="F1892" t="str">
            <v>Kg</v>
          </cell>
          <cell r="G1892">
            <v>10.035</v>
          </cell>
          <cell r="H1892">
            <v>350</v>
          </cell>
          <cell r="I1892">
            <v>-3512.25</v>
          </cell>
          <cell r="N1892">
            <v>350</v>
          </cell>
          <cell r="O1892">
            <v>-3513</v>
          </cell>
          <cell r="P1892" t="str">
            <v>와이어로프</v>
          </cell>
        </row>
        <row r="1893">
          <cell r="C1893" t="str">
            <v>도로교통정리</v>
          </cell>
          <cell r="D1893" t="str">
            <v>보통인부</v>
          </cell>
          <cell r="E1893" t="str">
            <v>((0.2*0.4)*0.5)*1.1</v>
          </cell>
          <cell r="F1893" t="str">
            <v>인</v>
          </cell>
          <cell r="G1893">
            <v>4.4000000000000011E-2</v>
          </cell>
          <cell r="J1893">
            <v>81443</v>
          </cell>
          <cell r="K1893">
            <v>3583</v>
          </cell>
          <cell r="N1893">
            <v>81443</v>
          </cell>
          <cell r="O1893">
            <v>3583</v>
          </cell>
        </row>
        <row r="1895">
          <cell r="A1895">
            <v>148</v>
          </cell>
          <cell r="B1895">
            <v>3</v>
          </cell>
          <cell r="C1895" t="str">
            <v>제148호표</v>
          </cell>
          <cell r="D1895" t="str">
            <v>차량등 부착대 철거</v>
          </cell>
          <cell r="E1895" t="str">
            <v>용융 Ø80 x 65 x 9m</v>
          </cell>
          <cell r="F1895" t="str">
            <v>본</v>
          </cell>
          <cell r="G1895">
            <v>1</v>
          </cell>
          <cell r="I1895">
            <v>-36951.608400000005</v>
          </cell>
          <cell r="K1895">
            <v>64315.548800000004</v>
          </cell>
          <cell r="M1895">
            <v>6406.2847999999994</v>
          </cell>
          <cell r="O1895">
            <v>33770</v>
          </cell>
          <cell r="P1895" t="str">
            <v>전5-46(나)</v>
          </cell>
        </row>
        <row r="1897">
          <cell r="B1897" t="str">
            <v>차량등 부착대 철거용융 Ø80 x 65 x 9m</v>
          </cell>
          <cell r="D1897" t="str">
            <v>차량등 부착대 철거</v>
          </cell>
          <cell r="E1897" t="str">
            <v>용융 Ø80 x 65 x 9m</v>
          </cell>
          <cell r="F1897" t="str">
            <v>본</v>
          </cell>
          <cell r="G1897">
            <v>1</v>
          </cell>
          <cell r="K1897">
            <v>0</v>
          </cell>
          <cell r="M1897">
            <v>0</v>
          </cell>
          <cell r="O1897">
            <v>0</v>
          </cell>
        </row>
        <row r="1899">
          <cell r="C1899" t="str">
            <v>노무비</v>
          </cell>
          <cell r="D1899" t="str">
            <v>내선전공</v>
          </cell>
          <cell r="E1899" t="str">
            <v>(0.98*0.4*1.2*0.5)*1.1</v>
          </cell>
          <cell r="F1899" t="str">
            <v>인</v>
          </cell>
          <cell r="G1899">
            <v>0.25872000000000001</v>
          </cell>
          <cell r="J1899">
            <v>135106</v>
          </cell>
          <cell r="K1899">
            <v>34954</v>
          </cell>
          <cell r="M1899">
            <v>0</v>
          </cell>
          <cell r="N1899">
            <v>135106</v>
          </cell>
          <cell r="O1899">
            <v>34954</v>
          </cell>
        </row>
        <row r="1900">
          <cell r="D1900" t="str">
            <v>보통인부</v>
          </cell>
          <cell r="E1900" t="str">
            <v>(0.75*0.4*1.2*0.5)*1.1</v>
          </cell>
          <cell r="F1900" t="str">
            <v>인</v>
          </cell>
          <cell r="G1900">
            <v>0.19800000000000004</v>
          </cell>
          <cell r="J1900">
            <v>81443</v>
          </cell>
          <cell r="K1900">
            <v>16125</v>
          </cell>
          <cell r="M1900">
            <v>0</v>
          </cell>
          <cell r="N1900">
            <v>81443</v>
          </cell>
          <cell r="O1900">
            <v>16125</v>
          </cell>
        </row>
        <row r="1901">
          <cell r="D1901" t="str">
            <v>공구손료</v>
          </cell>
          <cell r="E1901" t="str">
            <v>노무비의</v>
          </cell>
          <cell r="F1901" t="str">
            <v>%</v>
          </cell>
          <cell r="G1901">
            <v>3</v>
          </cell>
          <cell r="L1901">
            <v>51079</v>
          </cell>
          <cell r="M1901">
            <v>1532</v>
          </cell>
          <cell r="N1901">
            <v>51079</v>
          </cell>
          <cell r="O1901">
            <v>1532</v>
          </cell>
        </row>
        <row r="1902">
          <cell r="C1902" t="str">
            <v>기계경비</v>
          </cell>
          <cell r="D1902" t="str">
            <v>트럭탑재형 크레인(5ton)</v>
          </cell>
          <cell r="E1902" t="str">
            <v>((1.96*0.4)*0.5*1.2)</v>
          </cell>
          <cell r="F1902" t="str">
            <v>hr</v>
          </cell>
          <cell r="G1902">
            <v>0.47039999999999998</v>
          </cell>
          <cell r="H1902">
            <v>9154</v>
          </cell>
          <cell r="I1902">
            <v>4306.0415999999996</v>
          </cell>
          <cell r="J1902">
            <v>20522</v>
          </cell>
          <cell r="K1902">
            <v>9653.5488000000005</v>
          </cell>
          <cell r="L1902">
            <v>10362</v>
          </cell>
          <cell r="M1902">
            <v>4874.2847999999994</v>
          </cell>
          <cell r="N1902">
            <v>40038</v>
          </cell>
          <cell r="O1902">
            <v>18833</v>
          </cell>
          <cell r="P1902" t="str">
            <v>m21호표</v>
          </cell>
        </row>
        <row r="1903">
          <cell r="B1903" t="str">
            <v>철SCRAP중량A</v>
          </cell>
          <cell r="C1903" t="str">
            <v>고재비</v>
          </cell>
          <cell r="D1903" t="str">
            <v>철SCRAP</v>
          </cell>
          <cell r="E1903" t="str">
            <v>중량A</v>
          </cell>
          <cell r="F1903" t="str">
            <v>Kg</v>
          </cell>
          <cell r="G1903">
            <v>110</v>
          </cell>
          <cell r="H1903">
            <v>350</v>
          </cell>
          <cell r="I1903">
            <v>-38500</v>
          </cell>
          <cell r="N1903">
            <v>350</v>
          </cell>
          <cell r="O1903">
            <v>-38500</v>
          </cell>
          <cell r="P1903" t="str">
            <v>부착대</v>
          </cell>
        </row>
        <row r="1904">
          <cell r="B1904" t="str">
            <v>철SCRAP중량A</v>
          </cell>
          <cell r="C1904" t="str">
            <v>고재비</v>
          </cell>
          <cell r="D1904" t="str">
            <v>철SCRAP</v>
          </cell>
          <cell r="E1904" t="str">
            <v>중량A</v>
          </cell>
          <cell r="F1904" t="str">
            <v>Kg</v>
          </cell>
          <cell r="G1904">
            <v>7.8789999999999996</v>
          </cell>
          <cell r="H1904">
            <v>350</v>
          </cell>
          <cell r="I1904">
            <v>-2757.6499999999996</v>
          </cell>
          <cell r="N1904">
            <v>350</v>
          </cell>
          <cell r="O1904">
            <v>-2758</v>
          </cell>
          <cell r="P1904" t="str">
            <v>와이어로프</v>
          </cell>
        </row>
        <row r="1905">
          <cell r="C1905" t="str">
            <v>도로교통정리</v>
          </cell>
          <cell r="D1905" t="str">
            <v>보통인부</v>
          </cell>
          <cell r="E1905" t="str">
            <v>((0.2*0.4)*0.5)*1.1</v>
          </cell>
          <cell r="F1905" t="str">
            <v>인</v>
          </cell>
          <cell r="G1905">
            <v>4.4000000000000011E-2</v>
          </cell>
          <cell r="J1905">
            <v>81443</v>
          </cell>
          <cell r="K1905">
            <v>3583</v>
          </cell>
          <cell r="N1905">
            <v>81443</v>
          </cell>
          <cell r="O1905">
            <v>3583</v>
          </cell>
        </row>
        <row r="1907">
          <cell r="A1907">
            <v>149</v>
          </cell>
          <cell r="B1907">
            <v>3</v>
          </cell>
          <cell r="C1907" t="str">
            <v>제149호표</v>
          </cell>
          <cell r="D1907" t="str">
            <v>차량등 부착대 철거</v>
          </cell>
          <cell r="E1907" t="str">
            <v>용융 Ø80 x 65 x 7m</v>
          </cell>
          <cell r="F1907" t="str">
            <v>본</v>
          </cell>
          <cell r="G1907">
            <v>1</v>
          </cell>
          <cell r="I1907">
            <v>-31417.932000000001</v>
          </cell>
          <cell r="K1907">
            <v>54193.624000000003</v>
          </cell>
          <cell r="M1907">
            <v>5337.9040000000005</v>
          </cell>
          <cell r="O1907">
            <v>28113</v>
          </cell>
          <cell r="P1907" t="str">
            <v>전5-46(나)</v>
          </cell>
        </row>
        <row r="1909">
          <cell r="B1909" t="str">
            <v>차량등 부착대 철거용융 Ø80 x 65 x 7m</v>
          </cell>
          <cell r="D1909" t="str">
            <v>차량등 부착대 철거</v>
          </cell>
          <cell r="E1909" t="str">
            <v>용융 Ø80 x 65 x 7m</v>
          </cell>
          <cell r="F1909" t="str">
            <v>본</v>
          </cell>
          <cell r="G1909">
            <v>1</v>
          </cell>
          <cell r="K1909">
            <v>0</v>
          </cell>
          <cell r="M1909">
            <v>0</v>
          </cell>
          <cell r="O1909">
            <v>0</v>
          </cell>
        </row>
        <row r="1911">
          <cell r="C1911" t="str">
            <v>노무비</v>
          </cell>
          <cell r="D1911" t="str">
            <v>내선전공</v>
          </cell>
          <cell r="E1911" t="str">
            <v>(0.98*0.4*0.5)*1.1</v>
          </cell>
          <cell r="F1911" t="str">
            <v>인</v>
          </cell>
          <cell r="G1911">
            <v>0.21560000000000001</v>
          </cell>
          <cell r="J1911">
            <v>135106</v>
          </cell>
          <cell r="K1911">
            <v>29128</v>
          </cell>
          <cell r="M1911">
            <v>0</v>
          </cell>
          <cell r="N1911">
            <v>135106</v>
          </cell>
          <cell r="O1911">
            <v>29128</v>
          </cell>
        </row>
        <row r="1912">
          <cell r="D1912" t="str">
            <v>보통인부</v>
          </cell>
          <cell r="E1912" t="str">
            <v>(0.75*0.4*0.5)*1.1</v>
          </cell>
          <cell r="F1912" t="str">
            <v>인</v>
          </cell>
          <cell r="G1912">
            <v>0.16500000000000004</v>
          </cell>
          <cell r="J1912">
            <v>81443</v>
          </cell>
          <cell r="K1912">
            <v>13438</v>
          </cell>
          <cell r="M1912">
            <v>0</v>
          </cell>
          <cell r="N1912">
            <v>81443</v>
          </cell>
          <cell r="O1912">
            <v>13438</v>
          </cell>
        </row>
        <row r="1913">
          <cell r="D1913" t="str">
            <v>공구손료</v>
          </cell>
          <cell r="E1913" t="str">
            <v>노무비의</v>
          </cell>
          <cell r="F1913" t="str">
            <v>%</v>
          </cell>
          <cell r="G1913">
            <v>3</v>
          </cell>
          <cell r="L1913">
            <v>42566</v>
          </cell>
          <cell r="M1913">
            <v>1276</v>
          </cell>
          <cell r="N1913">
            <v>42566</v>
          </cell>
          <cell r="O1913">
            <v>1276</v>
          </cell>
        </row>
        <row r="1914">
          <cell r="C1914" t="str">
            <v>기계경비</v>
          </cell>
          <cell r="D1914" t="str">
            <v>트럭탑재형 크레인(5ton)</v>
          </cell>
          <cell r="E1914" t="str">
            <v>((1.96*0.4)*0.5)</v>
          </cell>
          <cell r="F1914" t="str">
            <v>hr</v>
          </cell>
          <cell r="G1914">
            <v>0.39200000000000002</v>
          </cell>
          <cell r="H1914">
            <v>9154</v>
          </cell>
          <cell r="I1914">
            <v>3588.3679999999999</v>
          </cell>
          <cell r="J1914">
            <v>20522</v>
          </cell>
          <cell r="K1914">
            <v>8044.6240000000007</v>
          </cell>
          <cell r="L1914">
            <v>10362</v>
          </cell>
          <cell r="M1914">
            <v>4061.904</v>
          </cell>
          <cell r="N1914">
            <v>40038</v>
          </cell>
          <cell r="O1914">
            <v>15694</v>
          </cell>
          <cell r="P1914" t="str">
            <v>m21호표</v>
          </cell>
        </row>
        <row r="1915">
          <cell r="B1915" t="str">
            <v>철SCRAP중량A</v>
          </cell>
          <cell r="C1915" t="str">
            <v>고재비</v>
          </cell>
          <cell r="D1915" t="str">
            <v>철SCRAP</v>
          </cell>
          <cell r="E1915" t="str">
            <v>중량A</v>
          </cell>
          <cell r="F1915" t="str">
            <v>Kg</v>
          </cell>
          <cell r="G1915">
            <v>95</v>
          </cell>
          <cell r="H1915">
            <v>350</v>
          </cell>
          <cell r="I1915">
            <v>-33250</v>
          </cell>
          <cell r="N1915">
            <v>350</v>
          </cell>
          <cell r="O1915">
            <v>-33250</v>
          </cell>
          <cell r="P1915" t="str">
            <v>부착대</v>
          </cell>
        </row>
        <row r="1916">
          <cell r="B1916" t="str">
            <v>철SCRAP중량A</v>
          </cell>
          <cell r="C1916" t="str">
            <v>고재비</v>
          </cell>
          <cell r="D1916" t="str">
            <v>철SCRAP</v>
          </cell>
          <cell r="E1916" t="str">
            <v>중량A</v>
          </cell>
          <cell r="F1916" t="str">
            <v>Kg</v>
          </cell>
          <cell r="G1916">
            <v>5.0179999999999998</v>
          </cell>
          <cell r="H1916">
            <v>350</v>
          </cell>
          <cell r="I1916">
            <v>-1756.3</v>
          </cell>
          <cell r="N1916">
            <v>350</v>
          </cell>
          <cell r="O1916">
            <v>-1757</v>
          </cell>
          <cell r="P1916" t="str">
            <v>와이어로프</v>
          </cell>
        </row>
        <row r="1917">
          <cell r="C1917" t="str">
            <v>도로교통정리</v>
          </cell>
          <cell r="D1917" t="str">
            <v>보통인부</v>
          </cell>
          <cell r="E1917" t="str">
            <v>((0.2*0.4)*0.5)*1.1</v>
          </cell>
          <cell r="F1917" t="str">
            <v>인</v>
          </cell>
          <cell r="G1917">
            <v>4.4000000000000011E-2</v>
          </cell>
          <cell r="J1917">
            <v>81443</v>
          </cell>
          <cell r="K1917">
            <v>3583</v>
          </cell>
          <cell r="N1917">
            <v>81443</v>
          </cell>
          <cell r="O1917">
            <v>3583</v>
          </cell>
        </row>
        <row r="1921">
          <cell r="A1921">
            <v>150</v>
          </cell>
          <cell r="B1921">
            <v>3</v>
          </cell>
          <cell r="C1921" t="str">
            <v>제150호표</v>
          </cell>
          <cell r="D1921" t="str">
            <v>차량등 부착대 철거</v>
          </cell>
          <cell r="E1921" t="str">
            <v>용융 Ø80 x 65 x 5m</v>
          </cell>
          <cell r="F1921" t="str">
            <v>본</v>
          </cell>
          <cell r="G1921">
            <v>1</v>
          </cell>
          <cell r="I1921">
            <v>-25988.995200000001</v>
          </cell>
          <cell r="K1921">
            <v>54998.0864</v>
          </cell>
          <cell r="M1921">
            <v>5744.0944</v>
          </cell>
          <cell r="O1921">
            <v>34753</v>
          </cell>
          <cell r="P1921" t="str">
            <v>전5-46(나)</v>
          </cell>
        </row>
        <row r="1922">
          <cell r="B1922" t="str">
            <v>차량등 부착대 철거용융 Ø80 x 65 x 5m</v>
          </cell>
          <cell r="D1922" t="str">
            <v>차량등 부착대 철거</v>
          </cell>
          <cell r="E1922" t="str">
            <v>용융 Ø80 x 65 x 5m</v>
          </cell>
          <cell r="F1922" t="str">
            <v>본</v>
          </cell>
          <cell r="G1922">
            <v>1</v>
          </cell>
          <cell r="K1922">
            <v>0</v>
          </cell>
          <cell r="M1922">
            <v>0</v>
          </cell>
          <cell r="O1922">
            <v>0</v>
          </cell>
        </row>
        <row r="1924">
          <cell r="C1924" t="str">
            <v>노무비</v>
          </cell>
          <cell r="D1924" t="str">
            <v>내선전공</v>
          </cell>
          <cell r="E1924" t="str">
            <v>(0.98*0.4*0.5)*1.1</v>
          </cell>
          <cell r="F1924" t="str">
            <v>인</v>
          </cell>
          <cell r="G1924">
            <v>0.21560000000000001</v>
          </cell>
          <cell r="J1924">
            <v>135106</v>
          </cell>
          <cell r="K1924">
            <v>29128</v>
          </cell>
          <cell r="M1924">
            <v>0</v>
          </cell>
          <cell r="N1924">
            <v>135106</v>
          </cell>
          <cell r="O1924">
            <v>29128</v>
          </cell>
        </row>
        <row r="1925">
          <cell r="D1925" t="str">
            <v>보통인부</v>
          </cell>
          <cell r="E1925" t="str">
            <v>(0.75*0.4*0.5)*1.1</v>
          </cell>
          <cell r="F1925" t="str">
            <v>인</v>
          </cell>
          <cell r="G1925">
            <v>0.16500000000000004</v>
          </cell>
          <cell r="J1925">
            <v>81443</v>
          </cell>
          <cell r="K1925">
            <v>13438</v>
          </cell>
          <cell r="M1925">
            <v>0</v>
          </cell>
          <cell r="N1925">
            <v>81443</v>
          </cell>
          <cell r="O1925">
            <v>13438</v>
          </cell>
        </row>
        <row r="1926">
          <cell r="D1926" t="str">
            <v>공구손료</v>
          </cell>
          <cell r="E1926" t="str">
            <v>노무비의</v>
          </cell>
          <cell r="F1926" t="str">
            <v>%</v>
          </cell>
          <cell r="G1926">
            <v>3</v>
          </cell>
          <cell r="L1926">
            <v>42566</v>
          </cell>
          <cell r="M1926">
            <v>1276</v>
          </cell>
          <cell r="N1926">
            <v>42566</v>
          </cell>
          <cell r="O1926">
            <v>1276</v>
          </cell>
        </row>
        <row r="1927">
          <cell r="C1927" t="str">
            <v>기계경비</v>
          </cell>
          <cell r="D1927" t="str">
            <v>트럭탑재형 크레인(5ton)</v>
          </cell>
          <cell r="E1927" t="str">
            <v>((1.96*0.4)*0.5)</v>
          </cell>
          <cell r="F1927" t="str">
            <v>hr</v>
          </cell>
          <cell r="G1927">
            <v>0.43120000000000003</v>
          </cell>
          <cell r="H1927">
            <v>9154</v>
          </cell>
          <cell r="I1927">
            <v>3947.2048000000004</v>
          </cell>
          <cell r="J1927">
            <v>20522</v>
          </cell>
          <cell r="K1927">
            <v>8849.0864000000001</v>
          </cell>
          <cell r="L1927">
            <v>10362</v>
          </cell>
          <cell r="M1927">
            <v>4468.0944</v>
          </cell>
          <cell r="N1927">
            <v>40038</v>
          </cell>
          <cell r="O1927">
            <v>17264</v>
          </cell>
          <cell r="P1927" t="str">
            <v>m21호표</v>
          </cell>
        </row>
        <row r="1928">
          <cell r="B1928" t="str">
            <v>철SCRAP중량A</v>
          </cell>
          <cell r="C1928" t="str">
            <v>고재비</v>
          </cell>
          <cell r="D1928" t="str">
            <v>철SCRAP</v>
          </cell>
          <cell r="E1928" t="str">
            <v>중량A</v>
          </cell>
          <cell r="F1928" t="str">
            <v>Kg</v>
          </cell>
          <cell r="G1928">
            <v>82</v>
          </cell>
          <cell r="H1928">
            <v>350</v>
          </cell>
          <cell r="I1928">
            <v>-28700</v>
          </cell>
          <cell r="N1928">
            <v>350</v>
          </cell>
          <cell r="O1928">
            <v>-28700</v>
          </cell>
          <cell r="P1928" t="str">
            <v>부착대</v>
          </cell>
        </row>
        <row r="1929">
          <cell r="B1929" t="str">
            <v>철SCRAP중량A</v>
          </cell>
          <cell r="C1929" t="str">
            <v>고재비</v>
          </cell>
          <cell r="D1929" t="str">
            <v>철SCRAP</v>
          </cell>
          <cell r="E1929" t="str">
            <v>중량A</v>
          </cell>
          <cell r="F1929" t="str">
            <v>Kg</v>
          </cell>
          <cell r="G1929">
            <v>3.532</v>
          </cell>
          <cell r="H1929">
            <v>350</v>
          </cell>
          <cell r="I1929">
            <v>-1236.2</v>
          </cell>
          <cell r="N1929">
            <v>350</v>
          </cell>
          <cell r="O1929">
            <v>-1237</v>
          </cell>
          <cell r="P1929" t="str">
            <v>와이어로프</v>
          </cell>
        </row>
        <row r="1930">
          <cell r="C1930" t="str">
            <v>도로교통정리</v>
          </cell>
          <cell r="D1930" t="str">
            <v>보통인부</v>
          </cell>
          <cell r="E1930" t="str">
            <v>((0.2*0.4)*0.5)*1.1</v>
          </cell>
          <cell r="F1930" t="str">
            <v>인</v>
          </cell>
          <cell r="G1930">
            <v>4.4000000000000011E-2</v>
          </cell>
          <cell r="J1930">
            <v>81443</v>
          </cell>
          <cell r="K1930">
            <v>3583</v>
          </cell>
          <cell r="N1930">
            <v>81443</v>
          </cell>
          <cell r="O1930">
            <v>3583</v>
          </cell>
        </row>
        <row r="1932">
          <cell r="A1932">
            <v>151</v>
          </cell>
          <cell r="B1932">
            <v>3</v>
          </cell>
          <cell r="C1932" t="str">
            <v>제151호표</v>
          </cell>
          <cell r="D1932" t="str">
            <v>차량등 부착대 철거</v>
          </cell>
          <cell r="E1932" t="str">
            <v>용융 Ø80 x 65 x 3m</v>
          </cell>
          <cell r="F1932" t="str">
            <v>본</v>
          </cell>
          <cell r="G1932">
            <v>1</v>
          </cell>
          <cell r="I1932">
            <v>-14373.281999999999</v>
          </cell>
          <cell r="K1932">
            <v>54193.624000000003</v>
          </cell>
          <cell r="M1932">
            <v>5337.9040000000005</v>
          </cell>
          <cell r="O1932">
            <v>45158</v>
          </cell>
          <cell r="P1932" t="str">
            <v>전5-46(나)</v>
          </cell>
        </row>
        <row r="1933">
          <cell r="B1933" t="str">
            <v>차량등 부착대 철거용융 Ø80 x 65 x 3m</v>
          </cell>
          <cell r="D1933" t="str">
            <v>차량등 부착대 철거</v>
          </cell>
          <cell r="E1933" t="str">
            <v>용융 Ø80 x 65 x 3m</v>
          </cell>
          <cell r="F1933" t="str">
            <v>본</v>
          </cell>
          <cell r="G1933">
            <v>1</v>
          </cell>
          <cell r="K1933">
            <v>0</v>
          </cell>
          <cell r="M1933">
            <v>0</v>
          </cell>
          <cell r="O1933">
            <v>0</v>
          </cell>
        </row>
        <row r="1935">
          <cell r="C1935" t="str">
            <v>노무비</v>
          </cell>
          <cell r="D1935" t="str">
            <v>내선전공</v>
          </cell>
          <cell r="E1935" t="str">
            <v>(0.98*0.4*0.5)*1.1</v>
          </cell>
          <cell r="F1935" t="str">
            <v>인</v>
          </cell>
          <cell r="G1935">
            <v>0.21560000000000001</v>
          </cell>
          <cell r="J1935">
            <v>135106</v>
          </cell>
          <cell r="K1935">
            <v>29128</v>
          </cell>
          <cell r="M1935">
            <v>0</v>
          </cell>
          <cell r="N1935">
            <v>135106</v>
          </cell>
          <cell r="O1935">
            <v>29128</v>
          </cell>
        </row>
        <row r="1936">
          <cell r="D1936" t="str">
            <v>보통인부</v>
          </cell>
          <cell r="E1936" t="str">
            <v>(0.75*0.4*0.5)*1.1</v>
          </cell>
          <cell r="F1936" t="str">
            <v>인</v>
          </cell>
          <cell r="G1936">
            <v>0.16500000000000004</v>
          </cell>
          <cell r="J1936">
            <v>81443</v>
          </cell>
          <cell r="K1936">
            <v>13438</v>
          </cell>
          <cell r="M1936">
            <v>0</v>
          </cell>
          <cell r="N1936">
            <v>81443</v>
          </cell>
          <cell r="O1936">
            <v>13438</v>
          </cell>
        </row>
        <row r="1937">
          <cell r="D1937" t="str">
            <v>공구손료</v>
          </cell>
          <cell r="E1937" t="str">
            <v>노무비의</v>
          </cell>
          <cell r="F1937" t="str">
            <v>%</v>
          </cell>
          <cell r="G1937">
            <v>3</v>
          </cell>
          <cell r="L1937">
            <v>42566</v>
          </cell>
          <cell r="M1937">
            <v>1276</v>
          </cell>
          <cell r="N1937">
            <v>42566</v>
          </cell>
          <cell r="O1937">
            <v>1276</v>
          </cell>
        </row>
        <row r="1938">
          <cell r="C1938" t="str">
            <v>기계경비</v>
          </cell>
          <cell r="D1938" t="str">
            <v>트럭탑재형 크레인(5ton)</v>
          </cell>
          <cell r="E1938" t="str">
            <v>((1.96*0.4)*0.5)</v>
          </cell>
          <cell r="F1938" t="str">
            <v>hr</v>
          </cell>
          <cell r="G1938">
            <v>0.39200000000000002</v>
          </cell>
          <cell r="H1938">
            <v>9154</v>
          </cell>
          <cell r="I1938">
            <v>3588.3679999999999</v>
          </cell>
          <cell r="J1938">
            <v>20522</v>
          </cell>
          <cell r="K1938">
            <v>8044.6240000000007</v>
          </cell>
          <cell r="L1938">
            <v>10362</v>
          </cell>
          <cell r="M1938">
            <v>4061.904</v>
          </cell>
          <cell r="N1938">
            <v>40038</v>
          </cell>
          <cell r="O1938">
            <v>15694</v>
          </cell>
          <cell r="P1938" t="str">
            <v>m21호표</v>
          </cell>
        </row>
        <row r="1939">
          <cell r="B1939" t="str">
            <v>철SCRAP중량A</v>
          </cell>
          <cell r="C1939" t="str">
            <v>고재비</v>
          </cell>
          <cell r="D1939" t="str">
            <v>철SCRAP</v>
          </cell>
          <cell r="E1939" t="str">
            <v>중량A</v>
          </cell>
          <cell r="F1939" t="str">
            <v>Kg</v>
          </cell>
          <cell r="G1939">
            <v>49.2</v>
          </cell>
          <cell r="H1939">
            <v>350</v>
          </cell>
          <cell r="I1939">
            <v>-17220</v>
          </cell>
          <cell r="N1939">
            <v>350</v>
          </cell>
          <cell r="O1939">
            <v>-17220</v>
          </cell>
          <cell r="P1939" t="str">
            <v>부착대</v>
          </cell>
        </row>
        <row r="1940">
          <cell r="B1940" t="str">
            <v>철SCRAP중량A</v>
          </cell>
          <cell r="C1940" t="str">
            <v>고재비</v>
          </cell>
          <cell r="D1940" t="str">
            <v>철SCRAP</v>
          </cell>
          <cell r="E1940" t="str">
            <v>중량A</v>
          </cell>
          <cell r="F1940" t="str">
            <v>Kg</v>
          </cell>
          <cell r="G1940">
            <v>2.1190000000000002</v>
          </cell>
          <cell r="H1940">
            <v>350</v>
          </cell>
          <cell r="I1940">
            <v>-741.65000000000009</v>
          </cell>
          <cell r="N1940">
            <v>350</v>
          </cell>
          <cell r="O1940">
            <v>-742</v>
          </cell>
          <cell r="P1940" t="str">
            <v>와이어로프</v>
          </cell>
        </row>
        <row r="1941">
          <cell r="C1941" t="str">
            <v>도로교통정리</v>
          </cell>
          <cell r="D1941" t="str">
            <v>보통인부</v>
          </cell>
          <cell r="E1941" t="str">
            <v>((0.2*0.4)*0.5)*1.1</v>
          </cell>
          <cell r="F1941" t="str">
            <v>인</v>
          </cell>
          <cell r="G1941">
            <v>4.4000000000000011E-2</v>
          </cell>
          <cell r="J1941">
            <v>81443</v>
          </cell>
          <cell r="K1941">
            <v>3583</v>
          </cell>
          <cell r="N1941">
            <v>81443</v>
          </cell>
          <cell r="O1941">
            <v>3583</v>
          </cell>
        </row>
        <row r="1943">
          <cell r="A1943">
            <v>152</v>
          </cell>
          <cell r="B1943">
            <v>3</v>
          </cell>
          <cell r="C1943" t="str">
            <v>제152호표</v>
          </cell>
          <cell r="D1943" t="str">
            <v>차량신호등 철거(1개)</v>
          </cell>
          <cell r="E1943" t="str">
            <v>1면 4색,3색,2색,1색 LED, 고효율</v>
          </cell>
          <cell r="F1943" t="str">
            <v>대</v>
          </cell>
          <cell r="G1943">
            <v>1</v>
          </cell>
          <cell r="I1943">
            <v>0</v>
          </cell>
          <cell r="K1943">
            <v>123253</v>
          </cell>
          <cell r="M1943">
            <v>3697</v>
          </cell>
          <cell r="O1943">
            <v>126950</v>
          </cell>
          <cell r="P1943" t="str">
            <v>전5-46(가)</v>
          </cell>
        </row>
        <row r="1945">
          <cell r="B1945" t="str">
            <v>차량신호등 철거(1개)1면 4색,3색,2색,1색 LED, 고효율</v>
          </cell>
          <cell r="D1945" t="str">
            <v>차량신호등 철거(1개)</v>
          </cell>
          <cell r="E1945" t="str">
            <v>1면 4색,3색,2색,1색 LED, 고효율</v>
          </cell>
          <cell r="F1945" t="str">
            <v>대</v>
          </cell>
          <cell r="G1945">
            <v>1</v>
          </cell>
          <cell r="K1945">
            <v>0</v>
          </cell>
          <cell r="M1945">
            <v>0</v>
          </cell>
          <cell r="O1945">
            <v>0</v>
          </cell>
        </row>
        <row r="1947">
          <cell r="C1947" t="str">
            <v>노무비</v>
          </cell>
          <cell r="D1947" t="str">
            <v>내선전공</v>
          </cell>
          <cell r="E1947" t="str">
            <v>((0.9*0.5)*1.2)*1.1</v>
          </cell>
          <cell r="F1947" t="str">
            <v>인</v>
          </cell>
          <cell r="G1947">
            <v>0.59400000000000008</v>
          </cell>
          <cell r="I1947">
            <v>0</v>
          </cell>
          <cell r="J1947">
            <v>135106</v>
          </cell>
          <cell r="K1947">
            <v>80252</v>
          </cell>
          <cell r="M1947">
            <v>0</v>
          </cell>
          <cell r="N1947">
            <v>135106</v>
          </cell>
          <cell r="O1947">
            <v>80252</v>
          </cell>
        </row>
        <row r="1948">
          <cell r="D1948" t="str">
            <v>보통인부</v>
          </cell>
          <cell r="E1948" t="str">
            <v>((0.8*0.5)*1.2)*1.1</v>
          </cell>
          <cell r="F1948" t="str">
            <v>인</v>
          </cell>
          <cell r="G1948">
            <v>0.52800000000000002</v>
          </cell>
          <cell r="J1948">
            <v>81443</v>
          </cell>
          <cell r="K1948">
            <v>43001</v>
          </cell>
        </row>
        <row r="1949">
          <cell r="D1949" t="str">
            <v>공구손료</v>
          </cell>
          <cell r="E1949" t="str">
            <v>노무비의</v>
          </cell>
          <cell r="F1949" t="str">
            <v>%</v>
          </cell>
          <cell r="G1949">
            <v>3</v>
          </cell>
          <cell r="L1949">
            <v>123253</v>
          </cell>
          <cell r="M1949">
            <v>3697</v>
          </cell>
          <cell r="N1949">
            <v>123253</v>
          </cell>
          <cell r="O1949">
            <v>3697</v>
          </cell>
        </row>
        <row r="1951">
          <cell r="A1951">
            <v>153</v>
          </cell>
          <cell r="B1951">
            <v>3</v>
          </cell>
          <cell r="C1951" t="str">
            <v>제153호표</v>
          </cell>
          <cell r="D1951" t="str">
            <v>보행신호등 철거</v>
          </cell>
          <cell r="E1951" t="str">
            <v>1면 2색 LED, 고효율</v>
          </cell>
          <cell r="F1951" t="str">
            <v>대</v>
          </cell>
          <cell r="G1951">
            <v>1</v>
          </cell>
          <cell r="I1951">
            <v>0</v>
          </cell>
          <cell r="K1951">
            <v>31250</v>
          </cell>
          <cell r="M1951">
            <v>937</v>
          </cell>
          <cell r="O1951">
            <v>32187</v>
          </cell>
          <cell r="P1951" t="str">
            <v>전5-46(가)</v>
          </cell>
        </row>
        <row r="1952">
          <cell r="B1952" t="str">
            <v>보행신호등 철거1면 2색 LED, 고효율</v>
          </cell>
          <cell r="D1952" t="str">
            <v>보행신호등 철거</v>
          </cell>
          <cell r="E1952" t="str">
            <v>1면 2색 LED, 고효율</v>
          </cell>
          <cell r="F1952" t="str">
            <v>대</v>
          </cell>
          <cell r="G1952">
            <v>1</v>
          </cell>
          <cell r="K1952">
            <v>0</v>
          </cell>
          <cell r="M1952">
            <v>0</v>
          </cell>
          <cell r="O1952">
            <v>0</v>
          </cell>
        </row>
        <row r="1954">
          <cell r="C1954" t="str">
            <v>노무비</v>
          </cell>
          <cell r="D1954" t="str">
            <v>내선전공</v>
          </cell>
          <cell r="E1954" t="str">
            <v>(0.3*0.5)*1.1</v>
          </cell>
          <cell r="F1954" t="str">
            <v>인</v>
          </cell>
          <cell r="G1954">
            <v>0.16500000000000001</v>
          </cell>
          <cell r="I1954">
            <v>0</v>
          </cell>
          <cell r="J1954">
            <v>135106</v>
          </cell>
          <cell r="K1954">
            <v>22292</v>
          </cell>
          <cell r="M1954">
            <v>0</v>
          </cell>
          <cell r="N1954">
            <v>135106</v>
          </cell>
          <cell r="O1954">
            <v>22292</v>
          </cell>
        </row>
        <row r="1955">
          <cell r="D1955" t="str">
            <v>보통인부</v>
          </cell>
          <cell r="E1955" t="str">
            <v>(0.2*0.5)*1.1</v>
          </cell>
          <cell r="F1955" t="str">
            <v>인</v>
          </cell>
          <cell r="G1955">
            <v>0.11000000000000001</v>
          </cell>
          <cell r="J1955">
            <v>81443</v>
          </cell>
          <cell r="K1955">
            <v>8958</v>
          </cell>
          <cell r="N1955">
            <v>81443</v>
          </cell>
          <cell r="O1955">
            <v>8958</v>
          </cell>
        </row>
        <row r="1956">
          <cell r="D1956" t="str">
            <v>공구손료</v>
          </cell>
          <cell r="E1956" t="str">
            <v>노무비의</v>
          </cell>
          <cell r="F1956" t="str">
            <v>%</v>
          </cell>
          <cell r="G1956">
            <v>3</v>
          </cell>
          <cell r="L1956">
            <v>31250</v>
          </cell>
          <cell r="M1956">
            <v>937</v>
          </cell>
          <cell r="N1956">
            <v>31250</v>
          </cell>
          <cell r="O1956">
            <v>937</v>
          </cell>
        </row>
        <row r="1958">
          <cell r="A1958">
            <v>154</v>
          </cell>
          <cell r="B1958">
            <v>3</v>
          </cell>
          <cell r="C1958" t="str">
            <v>제154호표</v>
          </cell>
          <cell r="D1958" t="str">
            <v>보행자잔여표시기 철거</v>
          </cell>
          <cell r="E1958" t="str">
            <v>고휘도LED(경찰청규격)</v>
          </cell>
          <cell r="F1958" t="str">
            <v>개</v>
          </cell>
          <cell r="G1958">
            <v>1</v>
          </cell>
          <cell r="I1958">
            <v>0</v>
          </cell>
          <cell r="K1958">
            <v>31250</v>
          </cell>
          <cell r="M1958">
            <v>937</v>
          </cell>
          <cell r="O1958">
            <v>32187</v>
          </cell>
          <cell r="P1958" t="str">
            <v>전5-46</v>
          </cell>
        </row>
        <row r="1959">
          <cell r="B1959" t="str">
            <v>보행자잔여표시기 철거고휘도LED(경찰청규격)</v>
          </cell>
          <cell r="D1959" t="str">
            <v>보행자잔여표시기 철거</v>
          </cell>
          <cell r="E1959" t="str">
            <v>고휘도LED(경찰청규격)</v>
          </cell>
          <cell r="F1959" t="str">
            <v>개</v>
          </cell>
          <cell r="G1959">
            <v>1</v>
          </cell>
          <cell r="J1959">
            <v>0</v>
          </cell>
          <cell r="L1959">
            <v>0</v>
          </cell>
          <cell r="O1959">
            <v>0</v>
          </cell>
        </row>
        <row r="1961">
          <cell r="C1961" t="str">
            <v>노무비</v>
          </cell>
          <cell r="D1961" t="str">
            <v>내선전공</v>
          </cell>
          <cell r="E1961" t="str">
            <v>(0.3*0.5)*1.1</v>
          </cell>
          <cell r="F1961" t="str">
            <v>인</v>
          </cell>
          <cell r="G1961">
            <v>0.16500000000000001</v>
          </cell>
          <cell r="J1961">
            <v>135106</v>
          </cell>
          <cell r="K1961">
            <v>22292</v>
          </cell>
          <cell r="N1961">
            <v>135106</v>
          </cell>
          <cell r="O1961">
            <v>22292</v>
          </cell>
          <cell r="P1961">
            <v>0</v>
          </cell>
        </row>
        <row r="1962">
          <cell r="D1962" t="str">
            <v>보통인부</v>
          </cell>
          <cell r="E1962" t="str">
            <v>(0.2*0.5)*1.1</v>
          </cell>
          <cell r="F1962" t="str">
            <v>인</v>
          </cell>
          <cell r="G1962">
            <v>0.11000000000000001</v>
          </cell>
          <cell r="J1962">
            <v>81443</v>
          </cell>
          <cell r="K1962">
            <v>8958</v>
          </cell>
          <cell r="N1962">
            <v>81443</v>
          </cell>
          <cell r="O1962">
            <v>8958</v>
          </cell>
          <cell r="P1962">
            <v>0</v>
          </cell>
        </row>
        <row r="1963">
          <cell r="D1963" t="str">
            <v>공구손료</v>
          </cell>
          <cell r="E1963" t="str">
            <v>노무비의</v>
          </cell>
          <cell r="F1963" t="str">
            <v>%</v>
          </cell>
          <cell r="G1963">
            <v>3</v>
          </cell>
          <cell r="L1963">
            <v>31250</v>
          </cell>
          <cell r="M1963">
            <v>937</v>
          </cell>
          <cell r="N1963">
            <v>31250</v>
          </cell>
          <cell r="O1963">
            <v>937</v>
          </cell>
        </row>
        <row r="1966">
          <cell r="A1966">
            <v>155</v>
          </cell>
          <cell r="B1966">
            <v>3</v>
          </cell>
          <cell r="C1966" t="str">
            <v>제155호표</v>
          </cell>
          <cell r="D1966" t="str">
            <v>경보등제어기 철거</v>
          </cell>
          <cell r="E1966">
            <v>0</v>
          </cell>
          <cell r="F1966" t="str">
            <v>개</v>
          </cell>
          <cell r="G1966">
            <v>1</v>
          </cell>
          <cell r="I1966">
            <v>0</v>
          </cell>
          <cell r="K1966">
            <v>17877</v>
          </cell>
          <cell r="M1966">
            <v>536</v>
          </cell>
          <cell r="O1966">
            <v>18413</v>
          </cell>
          <cell r="P1966" t="str">
            <v>전6-2</v>
          </cell>
        </row>
        <row r="1967">
          <cell r="B1967" t="str">
            <v>경보등제어기 철거</v>
          </cell>
          <cell r="D1967" t="str">
            <v>경보등제어기 철거</v>
          </cell>
          <cell r="F1967" t="str">
            <v>개</v>
          </cell>
          <cell r="G1967">
            <v>1</v>
          </cell>
          <cell r="J1967">
            <v>0</v>
          </cell>
          <cell r="L1967">
            <v>0</v>
          </cell>
          <cell r="O1967">
            <v>0</v>
          </cell>
        </row>
        <row r="1969">
          <cell r="C1969" t="str">
            <v>노무비</v>
          </cell>
          <cell r="D1969" t="str">
            <v>계장공</v>
          </cell>
          <cell r="E1969" t="str">
            <v>0.3*0.4</v>
          </cell>
          <cell r="F1969" t="str">
            <v>인</v>
          </cell>
          <cell r="G1969">
            <v>0.12</v>
          </cell>
          <cell r="J1969">
            <v>148981</v>
          </cell>
          <cell r="K1969">
            <v>17877</v>
          </cell>
          <cell r="N1969">
            <v>148981</v>
          </cell>
          <cell r="O1969">
            <v>17877</v>
          </cell>
          <cell r="P1969">
            <v>0</v>
          </cell>
        </row>
        <row r="1970">
          <cell r="D1970" t="str">
            <v>공구손료</v>
          </cell>
          <cell r="E1970" t="str">
            <v>노무비의</v>
          </cell>
          <cell r="F1970" t="str">
            <v>%</v>
          </cell>
          <cell r="G1970">
            <v>3</v>
          </cell>
          <cell r="L1970">
            <v>17877</v>
          </cell>
          <cell r="M1970">
            <v>536</v>
          </cell>
          <cell r="N1970">
            <v>17877</v>
          </cell>
          <cell r="O1970">
            <v>536</v>
          </cell>
        </row>
        <row r="1972">
          <cell r="A1972">
            <v>156</v>
          </cell>
          <cell r="B1972">
            <v>3</v>
          </cell>
          <cell r="C1972" t="str">
            <v>제156호표</v>
          </cell>
          <cell r="D1972" t="str">
            <v>음향신호기 철거</v>
          </cell>
          <cell r="E1972" t="str">
            <v>버튼스위치 포함</v>
          </cell>
          <cell r="F1972" t="str">
            <v>개</v>
          </cell>
          <cell r="G1972">
            <v>1</v>
          </cell>
          <cell r="I1972">
            <v>0</v>
          </cell>
          <cell r="K1972">
            <v>31250</v>
          </cell>
          <cell r="M1972">
            <v>937</v>
          </cell>
          <cell r="O1972">
            <v>32187</v>
          </cell>
          <cell r="P1972" t="str">
            <v>전 5-46</v>
          </cell>
        </row>
        <row r="1973">
          <cell r="B1973" t="str">
            <v>음향신호기 철거버튼스위치 포함</v>
          </cell>
          <cell r="D1973" t="str">
            <v>음향신호기 철거</v>
          </cell>
          <cell r="E1973" t="str">
            <v>버튼스위치 포함</v>
          </cell>
          <cell r="F1973" t="str">
            <v>개</v>
          </cell>
          <cell r="G1973">
            <v>1</v>
          </cell>
          <cell r="J1973">
            <v>0</v>
          </cell>
          <cell r="L1973">
            <v>0</v>
          </cell>
          <cell r="O1973">
            <v>0</v>
          </cell>
        </row>
        <row r="1975">
          <cell r="C1975" t="str">
            <v>노무비</v>
          </cell>
          <cell r="D1975" t="str">
            <v>내선전공</v>
          </cell>
          <cell r="E1975" t="str">
            <v>(0.3*0.5)*1.1</v>
          </cell>
          <cell r="F1975" t="str">
            <v>인</v>
          </cell>
          <cell r="G1975">
            <v>0.16500000000000001</v>
          </cell>
          <cell r="J1975">
            <v>135106</v>
          </cell>
          <cell r="K1975">
            <v>22292</v>
          </cell>
          <cell r="N1975">
            <v>135106</v>
          </cell>
          <cell r="O1975">
            <v>22292</v>
          </cell>
          <cell r="P1975">
            <v>0</v>
          </cell>
        </row>
        <row r="1976">
          <cell r="D1976" t="str">
            <v>보통인부</v>
          </cell>
          <cell r="E1976" t="str">
            <v>(0.2*0.5)*1.1</v>
          </cell>
          <cell r="F1976" t="str">
            <v>인</v>
          </cell>
          <cell r="G1976">
            <v>0.11000000000000001</v>
          </cell>
          <cell r="J1976">
            <v>81443</v>
          </cell>
          <cell r="K1976">
            <v>8958</v>
          </cell>
          <cell r="N1976">
            <v>81443</v>
          </cell>
          <cell r="O1976">
            <v>8958</v>
          </cell>
          <cell r="P1976">
            <v>0</v>
          </cell>
        </row>
        <row r="1977">
          <cell r="D1977" t="str">
            <v>공구손료</v>
          </cell>
          <cell r="E1977" t="str">
            <v>노무비의</v>
          </cell>
          <cell r="F1977" t="str">
            <v>%</v>
          </cell>
          <cell r="G1977">
            <v>3</v>
          </cell>
          <cell r="L1977">
            <v>31250</v>
          </cell>
          <cell r="M1977">
            <v>937</v>
          </cell>
          <cell r="N1977">
            <v>31250</v>
          </cell>
          <cell r="O1977">
            <v>937</v>
          </cell>
        </row>
        <row r="1979">
          <cell r="A1979">
            <v>157</v>
          </cell>
          <cell r="B1979">
            <v>3</v>
          </cell>
          <cell r="C1979" t="str">
            <v>제157호표</v>
          </cell>
          <cell r="D1979" t="str">
            <v>교통신호제어반(슬림형)철거</v>
          </cell>
          <cell r="E1979" t="str">
            <v>경찰청 규격품</v>
          </cell>
          <cell r="F1979" t="str">
            <v>대</v>
          </cell>
          <cell r="G1979">
            <v>1</v>
          </cell>
          <cell r="I1979">
            <v>-31500</v>
          </cell>
          <cell r="K1979">
            <v>186083</v>
          </cell>
          <cell r="M1979">
            <v>5582</v>
          </cell>
          <cell r="O1979">
            <v>160165</v>
          </cell>
          <cell r="P1979" t="str">
            <v>전5-46(다)</v>
          </cell>
        </row>
        <row r="1981">
          <cell r="D1981" t="str">
            <v>교통신호제어반(슬림형)철거</v>
          </cell>
          <cell r="E1981" t="str">
            <v>경찰청 규격품</v>
          </cell>
        </row>
        <row r="1983">
          <cell r="B1983" t="str">
            <v>교통신호제어반(슬림형)경찰청 규격품</v>
          </cell>
          <cell r="C1983" t="str">
            <v>재료비</v>
          </cell>
          <cell r="D1983" t="str">
            <v>교통신호제어반(슬림형)</v>
          </cell>
          <cell r="E1983" t="str">
            <v>경찰청 규격품</v>
          </cell>
          <cell r="F1983" t="str">
            <v>대</v>
          </cell>
          <cell r="G1983">
            <v>1</v>
          </cell>
          <cell r="I1983">
            <v>0</v>
          </cell>
          <cell r="M1983">
            <v>0</v>
          </cell>
          <cell r="O1983">
            <v>0</v>
          </cell>
          <cell r="P1983" t="str">
            <v>관급자재</v>
          </cell>
        </row>
        <row r="1985">
          <cell r="C1985" t="str">
            <v>노무비</v>
          </cell>
          <cell r="D1985" t="str">
            <v>내선전공</v>
          </cell>
          <cell r="E1985" t="str">
            <v>(1.6*0.5)*1.1</v>
          </cell>
          <cell r="F1985" t="str">
            <v>인</v>
          </cell>
          <cell r="G1985">
            <v>0.88000000000000012</v>
          </cell>
          <cell r="J1985">
            <v>135106</v>
          </cell>
          <cell r="K1985">
            <v>118893</v>
          </cell>
          <cell r="M1985">
            <v>0</v>
          </cell>
          <cell r="N1985">
            <v>135106</v>
          </cell>
          <cell r="O1985">
            <v>118893</v>
          </cell>
        </row>
        <row r="1986">
          <cell r="D1986" t="str">
            <v>보통인부</v>
          </cell>
          <cell r="E1986" t="str">
            <v>(1.5*0.5)*1.1</v>
          </cell>
          <cell r="F1986" t="str">
            <v>인</v>
          </cell>
          <cell r="G1986">
            <v>0.82500000000000007</v>
          </cell>
          <cell r="J1986">
            <v>81443</v>
          </cell>
          <cell r="K1986">
            <v>67190</v>
          </cell>
          <cell r="M1986">
            <v>0</v>
          </cell>
          <cell r="N1986">
            <v>81443</v>
          </cell>
          <cell r="O1986">
            <v>67190</v>
          </cell>
        </row>
        <row r="1987">
          <cell r="D1987" t="str">
            <v>공구손료</v>
          </cell>
          <cell r="E1987" t="str">
            <v>노무비의</v>
          </cell>
          <cell r="F1987" t="str">
            <v>%</v>
          </cell>
          <cell r="G1987">
            <v>3</v>
          </cell>
          <cell r="L1987">
            <v>186083</v>
          </cell>
          <cell r="M1987">
            <v>5582</v>
          </cell>
          <cell r="N1987">
            <v>186083</v>
          </cell>
          <cell r="O1987">
            <v>5582</v>
          </cell>
        </row>
        <row r="1989">
          <cell r="B1989" t="str">
            <v>철SCRAP중량A</v>
          </cell>
          <cell r="C1989" t="str">
            <v>고재비</v>
          </cell>
          <cell r="D1989" t="str">
            <v>철SCRAP</v>
          </cell>
          <cell r="E1989" t="str">
            <v>중량A</v>
          </cell>
          <cell r="F1989" t="str">
            <v>Kg</v>
          </cell>
          <cell r="G1989">
            <v>90</v>
          </cell>
          <cell r="H1989">
            <v>350</v>
          </cell>
          <cell r="I1989">
            <v>-31500</v>
          </cell>
          <cell r="N1989">
            <v>350</v>
          </cell>
          <cell r="O1989">
            <v>-31500</v>
          </cell>
        </row>
        <row r="1991">
          <cell r="A1991">
            <v>158</v>
          </cell>
          <cell r="B1991">
            <v>3</v>
          </cell>
          <cell r="C1991" t="str">
            <v>제158호표</v>
          </cell>
          <cell r="D1991" t="str">
            <v>전선 철거(지중)</v>
          </cell>
          <cell r="E1991" t="str">
            <v>F-CVV 5C/2.5㎟ 이하</v>
          </cell>
          <cell r="F1991" t="str">
            <v>m</v>
          </cell>
          <cell r="G1991">
            <v>1</v>
          </cell>
          <cell r="I1991">
            <v>-729</v>
          </cell>
          <cell r="K1991">
            <v>3014</v>
          </cell>
          <cell r="M1991">
            <v>90</v>
          </cell>
          <cell r="O1991">
            <v>2375</v>
          </cell>
          <cell r="P1991" t="str">
            <v>전5-13</v>
          </cell>
        </row>
        <row r="1992">
          <cell r="D1992" t="str">
            <v>전선 철거(지중)</v>
          </cell>
          <cell r="E1992" t="str">
            <v>F-CVV 5C/2.5㎟ 이하</v>
          </cell>
          <cell r="F1992" t="str">
            <v>m</v>
          </cell>
          <cell r="G1992">
            <v>1</v>
          </cell>
          <cell r="M1992">
            <v>0</v>
          </cell>
          <cell r="O1992">
            <v>0</v>
          </cell>
        </row>
        <row r="1994">
          <cell r="C1994" t="str">
            <v>노무비</v>
          </cell>
          <cell r="D1994" t="str">
            <v>저압케이블공</v>
          </cell>
          <cell r="E1994" t="str">
            <v>(0.032*0.5)*1.15</v>
          </cell>
          <cell r="F1994" t="str">
            <v>인</v>
          </cell>
          <cell r="G1994">
            <v>1.84E-2</v>
          </cell>
          <cell r="J1994">
            <v>163808</v>
          </cell>
          <cell r="K1994">
            <v>3014</v>
          </cell>
          <cell r="M1994">
            <v>0</v>
          </cell>
          <cell r="N1994">
            <v>163808</v>
          </cell>
          <cell r="O1994">
            <v>3014</v>
          </cell>
        </row>
        <row r="1995">
          <cell r="D1995" t="str">
            <v>공구손료</v>
          </cell>
          <cell r="E1995" t="str">
            <v>노무비의</v>
          </cell>
          <cell r="F1995" t="str">
            <v>%</v>
          </cell>
          <cell r="G1995">
            <v>3</v>
          </cell>
          <cell r="L1995">
            <v>3014</v>
          </cell>
          <cell r="M1995">
            <v>90</v>
          </cell>
          <cell r="N1995">
            <v>3014</v>
          </cell>
          <cell r="O1995">
            <v>90</v>
          </cell>
        </row>
        <row r="1997">
          <cell r="C1997" t="str">
            <v>고재비</v>
          </cell>
          <cell r="D1997" t="str">
            <v>동SCRAP</v>
          </cell>
          <cell r="E1997" t="str">
            <v>0.34*0.4*0.8=0.1088</v>
          </cell>
          <cell r="F1997" t="str">
            <v>Kg</v>
          </cell>
          <cell r="G1997">
            <v>0.10880000000000001</v>
          </cell>
          <cell r="H1997">
            <v>6700</v>
          </cell>
          <cell r="I1997">
            <v>-729</v>
          </cell>
          <cell r="N1997">
            <v>6700</v>
          </cell>
          <cell r="O1997">
            <v>-729</v>
          </cell>
        </row>
        <row r="1999">
          <cell r="A1999">
            <v>159</v>
          </cell>
          <cell r="B1999">
            <v>3</v>
          </cell>
          <cell r="C1999" t="str">
            <v>제159호표</v>
          </cell>
          <cell r="D1999" t="str">
            <v>전선 철거(가공)</v>
          </cell>
          <cell r="E1999" t="str">
            <v>F-CVV 5C/2.5㎟ 이하</v>
          </cell>
          <cell r="F1999" t="str">
            <v>m</v>
          </cell>
          <cell r="G1999">
            <v>1</v>
          </cell>
          <cell r="I1999">
            <v>-729</v>
          </cell>
          <cell r="K1999">
            <v>3747</v>
          </cell>
          <cell r="M1999">
            <v>112</v>
          </cell>
          <cell r="O1999">
            <v>3130</v>
          </cell>
          <cell r="P1999" t="str">
            <v>전5-13</v>
          </cell>
        </row>
        <row r="2000">
          <cell r="D2000" t="str">
            <v>전선 철거(가공)</v>
          </cell>
          <cell r="E2000" t="str">
            <v>F-CVV 5C/2.5㎟ 이하</v>
          </cell>
          <cell r="F2000" t="str">
            <v>m</v>
          </cell>
          <cell r="G2000">
            <v>1</v>
          </cell>
          <cell r="M2000">
            <v>0</v>
          </cell>
          <cell r="O2000">
            <v>0</v>
          </cell>
        </row>
        <row r="2002">
          <cell r="C2002" t="str">
            <v>노무비</v>
          </cell>
          <cell r="D2002" t="str">
            <v>저압케이블공</v>
          </cell>
          <cell r="E2002" t="str">
            <v>(0.032*0.5)*1.1*1.3</v>
          </cell>
          <cell r="F2002" t="str">
            <v>인</v>
          </cell>
          <cell r="G2002">
            <v>2.2880000000000001E-2</v>
          </cell>
          <cell r="J2002">
            <v>163808</v>
          </cell>
          <cell r="K2002">
            <v>3747</v>
          </cell>
          <cell r="M2002">
            <v>0</v>
          </cell>
          <cell r="N2002">
            <v>163808</v>
          </cell>
          <cell r="O2002">
            <v>3747</v>
          </cell>
        </row>
        <row r="2003">
          <cell r="D2003" t="str">
            <v>공구손료</v>
          </cell>
          <cell r="E2003" t="str">
            <v>노무비의</v>
          </cell>
          <cell r="F2003" t="str">
            <v>%</v>
          </cell>
          <cell r="G2003">
            <v>3</v>
          </cell>
          <cell r="L2003">
            <v>3747</v>
          </cell>
          <cell r="M2003">
            <v>112</v>
          </cell>
          <cell r="N2003">
            <v>3747</v>
          </cell>
          <cell r="O2003">
            <v>112</v>
          </cell>
        </row>
        <row r="2004">
          <cell r="C2004" t="str">
            <v>고재비</v>
          </cell>
          <cell r="D2004" t="str">
            <v>동SCRAP</v>
          </cell>
          <cell r="E2004" t="str">
            <v>0.34*0.4*0.8=0.1088</v>
          </cell>
          <cell r="F2004" t="str">
            <v>Kg</v>
          </cell>
          <cell r="G2004">
            <v>0.10880000000000001</v>
          </cell>
          <cell r="H2004">
            <v>6700</v>
          </cell>
          <cell r="I2004">
            <v>-729</v>
          </cell>
          <cell r="N2004">
            <v>6700</v>
          </cell>
          <cell r="O2004">
            <v>-729</v>
          </cell>
        </row>
        <row r="2006">
          <cell r="A2006">
            <v>160</v>
          </cell>
          <cell r="B2006">
            <v>3</v>
          </cell>
          <cell r="C2006" t="str">
            <v>제160호표</v>
          </cell>
          <cell r="D2006" t="str">
            <v>전선 철거(지중)</v>
          </cell>
          <cell r="E2006" t="str">
            <v>F-CV 2C/4㎟</v>
          </cell>
          <cell r="F2006" t="str">
            <v>m</v>
          </cell>
          <cell r="G2006">
            <v>1</v>
          </cell>
          <cell r="I2006">
            <v>-536</v>
          </cell>
          <cell r="K2006">
            <v>651</v>
          </cell>
          <cell r="M2006">
            <v>19</v>
          </cell>
          <cell r="O2006">
            <v>134</v>
          </cell>
          <cell r="P2006" t="str">
            <v>전4-34</v>
          </cell>
        </row>
        <row r="2007">
          <cell r="D2007" t="str">
            <v>전선 철거(지중)</v>
          </cell>
          <cell r="E2007" t="str">
            <v>F-CV 2C/4㎟</v>
          </cell>
          <cell r="F2007" t="str">
            <v>m</v>
          </cell>
          <cell r="G2007">
            <v>1</v>
          </cell>
          <cell r="M2007">
            <v>0</v>
          </cell>
          <cell r="O2007">
            <v>0</v>
          </cell>
        </row>
        <row r="2009">
          <cell r="C2009" t="str">
            <v>노무비</v>
          </cell>
          <cell r="D2009" t="str">
            <v>저압케이블공</v>
          </cell>
          <cell r="E2009" t="str">
            <v>0.00462*0.5*1.15</v>
          </cell>
          <cell r="F2009" t="str">
            <v>인</v>
          </cell>
          <cell r="G2009">
            <v>2.6564999999999996E-3</v>
          </cell>
          <cell r="J2009">
            <v>163808</v>
          </cell>
          <cell r="K2009">
            <v>435</v>
          </cell>
          <cell r="M2009">
            <v>0</v>
          </cell>
          <cell r="N2009">
            <v>163808</v>
          </cell>
          <cell r="O2009">
            <v>435</v>
          </cell>
        </row>
        <row r="2010">
          <cell r="D2010" t="str">
            <v>보통인부</v>
          </cell>
          <cell r="E2010" t="str">
            <v>0.00462*0.5*1.15</v>
          </cell>
          <cell r="F2010" t="str">
            <v>인</v>
          </cell>
          <cell r="G2010">
            <v>2.6564999999999996E-3</v>
          </cell>
          <cell r="J2010">
            <v>81443</v>
          </cell>
          <cell r="K2010">
            <v>216</v>
          </cell>
          <cell r="M2010">
            <v>0</v>
          </cell>
          <cell r="N2010">
            <v>81443</v>
          </cell>
          <cell r="O2010">
            <v>216</v>
          </cell>
        </row>
        <row r="2011">
          <cell r="D2011" t="str">
            <v>공구손료</v>
          </cell>
          <cell r="E2011" t="str">
            <v>노무비의</v>
          </cell>
          <cell r="F2011" t="str">
            <v>%</v>
          </cell>
          <cell r="G2011">
            <v>3</v>
          </cell>
          <cell r="L2011">
            <v>651</v>
          </cell>
          <cell r="M2011">
            <v>19</v>
          </cell>
          <cell r="N2011">
            <v>651</v>
          </cell>
          <cell r="O2011">
            <v>19</v>
          </cell>
        </row>
        <row r="2012">
          <cell r="C2012" t="str">
            <v>고재비</v>
          </cell>
          <cell r="D2012" t="str">
            <v>동SCRAP</v>
          </cell>
          <cell r="E2012" t="str">
            <v>0.25*0.4*0.8=0.08</v>
          </cell>
          <cell r="F2012" t="str">
            <v>Kg</v>
          </cell>
          <cell r="G2012">
            <v>8.0000000000000016E-2</v>
          </cell>
          <cell r="H2012">
            <v>6700</v>
          </cell>
          <cell r="I2012">
            <v>-536</v>
          </cell>
          <cell r="N2012">
            <v>6700</v>
          </cell>
          <cell r="O2012">
            <v>-536</v>
          </cell>
        </row>
        <row r="2014">
          <cell r="A2014">
            <v>161</v>
          </cell>
          <cell r="B2014">
            <v>3</v>
          </cell>
          <cell r="C2014" t="str">
            <v>제161호표</v>
          </cell>
          <cell r="D2014" t="str">
            <v>전선 철거(가공)</v>
          </cell>
          <cell r="E2014" t="str">
            <v>F-CV 2C/4㎟</v>
          </cell>
          <cell r="F2014" t="str">
            <v>m</v>
          </cell>
          <cell r="G2014">
            <v>1</v>
          </cell>
          <cell r="I2014">
            <v>-536</v>
          </cell>
          <cell r="K2014">
            <v>810</v>
          </cell>
          <cell r="M2014">
            <v>24</v>
          </cell>
          <cell r="O2014">
            <v>298</v>
          </cell>
          <cell r="P2014" t="str">
            <v>전4-34</v>
          </cell>
        </row>
        <row r="2015">
          <cell r="D2015" t="str">
            <v>전선 철거(가공)</v>
          </cell>
          <cell r="E2015" t="str">
            <v>F-CV 2C/4㎟</v>
          </cell>
          <cell r="F2015" t="str">
            <v>m</v>
          </cell>
          <cell r="G2015">
            <v>1</v>
          </cell>
          <cell r="M2015">
            <v>0</v>
          </cell>
          <cell r="O2015">
            <v>0</v>
          </cell>
        </row>
        <row r="2017">
          <cell r="C2017" t="str">
            <v>노무비</v>
          </cell>
          <cell r="D2017" t="str">
            <v>저압케이블공</v>
          </cell>
          <cell r="E2017" t="str">
            <v>0.00462*0.5*1.1*1.3</v>
          </cell>
          <cell r="F2017" t="str">
            <v>인</v>
          </cell>
          <cell r="G2017">
            <v>3.3033000000000003E-3</v>
          </cell>
          <cell r="J2017">
            <v>163808</v>
          </cell>
          <cell r="K2017">
            <v>541</v>
          </cell>
          <cell r="M2017">
            <v>0</v>
          </cell>
          <cell r="N2017">
            <v>163808</v>
          </cell>
          <cell r="O2017">
            <v>541</v>
          </cell>
        </row>
        <row r="2018">
          <cell r="D2018" t="str">
            <v>보통인부</v>
          </cell>
          <cell r="E2018" t="str">
            <v>0.00462*0.5*1.1*1.3</v>
          </cell>
          <cell r="F2018" t="str">
            <v>인</v>
          </cell>
          <cell r="G2018">
            <v>3.3033000000000003E-3</v>
          </cell>
          <cell r="J2018">
            <v>81443</v>
          </cell>
          <cell r="K2018">
            <v>269</v>
          </cell>
          <cell r="M2018">
            <v>0</v>
          </cell>
          <cell r="N2018">
            <v>81443</v>
          </cell>
          <cell r="O2018">
            <v>269</v>
          </cell>
        </row>
        <row r="2019">
          <cell r="D2019" t="str">
            <v>공구손료</v>
          </cell>
          <cell r="E2019" t="str">
            <v>노무비의</v>
          </cell>
          <cell r="F2019" t="str">
            <v>%</v>
          </cell>
          <cell r="G2019">
            <v>3</v>
          </cell>
          <cell r="L2019">
            <v>810</v>
          </cell>
          <cell r="M2019">
            <v>24</v>
          </cell>
          <cell r="N2019">
            <v>810</v>
          </cell>
          <cell r="O2019">
            <v>24</v>
          </cell>
        </row>
        <row r="2021">
          <cell r="C2021" t="str">
            <v>고재비</v>
          </cell>
          <cell r="D2021" t="str">
            <v>동SCRAP</v>
          </cell>
          <cell r="E2021" t="str">
            <v>0.25*0.4*0.8=0.08</v>
          </cell>
          <cell r="F2021" t="str">
            <v>Kg</v>
          </cell>
          <cell r="G2021">
            <v>8.0000000000000016E-2</v>
          </cell>
          <cell r="H2021">
            <v>6700</v>
          </cell>
          <cell r="I2021">
            <v>-536</v>
          </cell>
          <cell r="N2021">
            <v>6700</v>
          </cell>
          <cell r="O2021">
            <v>-536</v>
          </cell>
        </row>
        <row r="2023">
          <cell r="A2023">
            <v>162</v>
          </cell>
          <cell r="B2023">
            <v>3</v>
          </cell>
          <cell r="C2023" t="str">
            <v>제162호표</v>
          </cell>
          <cell r="D2023" t="str">
            <v>전선 철거(지중)</v>
          </cell>
          <cell r="E2023" t="str">
            <v>F-CV 2C/6㎟</v>
          </cell>
          <cell r="F2023" t="str">
            <v>m</v>
          </cell>
          <cell r="G2023">
            <v>1</v>
          </cell>
          <cell r="I2023">
            <v>-665</v>
          </cell>
          <cell r="K2023">
            <v>651</v>
          </cell>
          <cell r="M2023">
            <v>19</v>
          </cell>
          <cell r="O2023">
            <v>5</v>
          </cell>
          <cell r="P2023" t="str">
            <v>전4-34</v>
          </cell>
        </row>
        <row r="2024">
          <cell r="D2024" t="str">
            <v>전선 철거(지중)</v>
          </cell>
          <cell r="E2024" t="str">
            <v>F-CV 2C/6㎟</v>
          </cell>
          <cell r="F2024" t="str">
            <v>m</v>
          </cell>
          <cell r="G2024">
            <v>1</v>
          </cell>
          <cell r="M2024">
            <v>0</v>
          </cell>
          <cell r="O2024">
            <v>0</v>
          </cell>
        </row>
        <row r="2026">
          <cell r="C2026" t="str">
            <v>노무비</v>
          </cell>
          <cell r="D2026" t="str">
            <v>저압케이블공</v>
          </cell>
          <cell r="E2026" t="str">
            <v>(0.00462*0.5)*1.15</v>
          </cell>
          <cell r="F2026" t="str">
            <v>인</v>
          </cell>
          <cell r="G2026">
            <v>2.6564999999999996E-3</v>
          </cell>
          <cell r="J2026">
            <v>163808</v>
          </cell>
          <cell r="K2026">
            <v>435</v>
          </cell>
          <cell r="M2026">
            <v>0</v>
          </cell>
          <cell r="N2026">
            <v>163808</v>
          </cell>
          <cell r="O2026">
            <v>435</v>
          </cell>
        </row>
        <row r="2027">
          <cell r="D2027" t="str">
            <v>보통인부</v>
          </cell>
          <cell r="E2027" t="str">
            <v>(0.00462*0.5)*1.15</v>
          </cell>
          <cell r="F2027" t="str">
            <v>인</v>
          </cell>
          <cell r="G2027">
            <v>2.6564999999999996E-3</v>
          </cell>
          <cell r="J2027">
            <v>81443</v>
          </cell>
          <cell r="K2027">
            <v>216</v>
          </cell>
          <cell r="M2027">
            <v>0</v>
          </cell>
          <cell r="N2027">
            <v>81443</v>
          </cell>
          <cell r="O2027">
            <v>216</v>
          </cell>
        </row>
        <row r="2028">
          <cell r="D2028" t="str">
            <v>공구손료</v>
          </cell>
          <cell r="E2028" t="str">
            <v>노무비의</v>
          </cell>
          <cell r="F2028" t="str">
            <v>%</v>
          </cell>
          <cell r="G2028">
            <v>3</v>
          </cell>
          <cell r="L2028">
            <v>651</v>
          </cell>
          <cell r="M2028">
            <v>19</v>
          </cell>
          <cell r="N2028">
            <v>651</v>
          </cell>
          <cell r="O2028">
            <v>19</v>
          </cell>
        </row>
        <row r="2030">
          <cell r="C2030" t="str">
            <v>고재비</v>
          </cell>
          <cell r="D2030" t="str">
            <v>동SCRAP</v>
          </cell>
          <cell r="E2030" t="str">
            <v>0.31*0.4*0.8=0.0992</v>
          </cell>
          <cell r="F2030" t="str">
            <v>Kg</v>
          </cell>
          <cell r="G2030">
            <v>9.920000000000001E-2</v>
          </cell>
          <cell r="H2030">
            <v>6700</v>
          </cell>
          <cell r="I2030">
            <v>-665</v>
          </cell>
          <cell r="N2030">
            <v>6700</v>
          </cell>
          <cell r="O2030">
            <v>-665</v>
          </cell>
        </row>
        <row r="2032">
          <cell r="A2032">
            <v>163</v>
          </cell>
          <cell r="B2032">
            <v>3</v>
          </cell>
          <cell r="C2032" t="str">
            <v>제163호표</v>
          </cell>
          <cell r="D2032" t="str">
            <v>와이어로프 철거</v>
          </cell>
          <cell r="E2032" t="str">
            <v>부착대13m</v>
          </cell>
          <cell r="F2032" t="str">
            <v>식</v>
          </cell>
          <cell r="G2032">
            <v>1</v>
          </cell>
          <cell r="I2032">
            <v>-5090.05</v>
          </cell>
          <cell r="K2032">
            <v>0</v>
          </cell>
          <cell r="M2032">
            <v>0</v>
          </cell>
          <cell r="O2032">
            <v>-5091</v>
          </cell>
        </row>
        <row r="2034">
          <cell r="B2034" t="str">
            <v>와이어로프 철거부착대13m</v>
          </cell>
          <cell r="D2034" t="str">
            <v>와이어로프 철거</v>
          </cell>
          <cell r="E2034" t="str">
            <v>부착대13m</v>
          </cell>
          <cell r="F2034" t="str">
            <v>식</v>
          </cell>
          <cell r="G2034">
            <v>1</v>
          </cell>
        </row>
        <row r="2036">
          <cell r="B2036" t="str">
            <v>철SCRAP중량A</v>
          </cell>
          <cell r="C2036" t="str">
            <v>고재비</v>
          </cell>
          <cell r="D2036" t="str">
            <v>철SCRAP</v>
          </cell>
          <cell r="E2036" t="str">
            <v>중량A</v>
          </cell>
          <cell r="F2036" t="str">
            <v>Kg</v>
          </cell>
          <cell r="G2036">
            <v>14.542999999999999</v>
          </cell>
          <cell r="H2036">
            <v>350</v>
          </cell>
          <cell r="I2036">
            <v>-5090.05</v>
          </cell>
          <cell r="N2036">
            <v>350</v>
          </cell>
          <cell r="O2036">
            <v>-5091</v>
          </cell>
        </row>
        <row r="2039">
          <cell r="A2039">
            <v>164</v>
          </cell>
          <cell r="B2039">
            <v>3</v>
          </cell>
          <cell r="C2039" t="str">
            <v>제164호표</v>
          </cell>
          <cell r="D2039" t="str">
            <v>와이어로프 철거</v>
          </cell>
          <cell r="E2039" t="str">
            <v>부착대11m</v>
          </cell>
          <cell r="F2039" t="str">
            <v>식</v>
          </cell>
          <cell r="G2039">
            <v>1</v>
          </cell>
          <cell r="I2039">
            <v>-3512.25</v>
          </cell>
          <cell r="K2039">
            <v>0</v>
          </cell>
          <cell r="M2039">
            <v>0</v>
          </cell>
          <cell r="O2039">
            <v>-3513</v>
          </cell>
        </row>
        <row r="2041">
          <cell r="B2041" t="str">
            <v>와이어로프 철거부착대11m</v>
          </cell>
          <cell r="D2041" t="str">
            <v>와이어로프 철거</v>
          </cell>
          <cell r="E2041" t="str">
            <v>부착대11m</v>
          </cell>
          <cell r="F2041" t="str">
            <v>식</v>
          </cell>
          <cell r="G2041">
            <v>1</v>
          </cell>
        </row>
        <row r="2042">
          <cell r="B2042" t="str">
            <v>철SCRAP중량A</v>
          </cell>
          <cell r="C2042" t="str">
            <v>고재비</v>
          </cell>
          <cell r="D2042" t="str">
            <v>철SCRAP</v>
          </cell>
          <cell r="E2042" t="str">
            <v>중량A</v>
          </cell>
          <cell r="F2042" t="str">
            <v>Kg</v>
          </cell>
          <cell r="G2042">
            <v>10.035</v>
          </cell>
          <cell r="H2042">
            <v>350</v>
          </cell>
          <cell r="I2042">
            <v>-3512.25</v>
          </cell>
          <cell r="N2042">
            <v>350</v>
          </cell>
          <cell r="O2042">
            <v>-3513</v>
          </cell>
        </row>
        <row r="2044">
          <cell r="A2044">
            <v>165</v>
          </cell>
          <cell r="B2044">
            <v>3</v>
          </cell>
          <cell r="C2044" t="str">
            <v>제165호표</v>
          </cell>
          <cell r="D2044" t="str">
            <v>와이어로프 철거</v>
          </cell>
          <cell r="E2044" t="str">
            <v>부착대9m</v>
          </cell>
          <cell r="F2044" t="str">
            <v>식</v>
          </cell>
          <cell r="G2044">
            <v>1</v>
          </cell>
          <cell r="I2044">
            <v>-2757.6499999999996</v>
          </cell>
          <cell r="K2044">
            <v>0</v>
          </cell>
          <cell r="M2044">
            <v>0</v>
          </cell>
          <cell r="O2044">
            <v>-2758</v>
          </cell>
        </row>
        <row r="2046">
          <cell r="B2046" t="str">
            <v>와이어로프 철거부착대9m</v>
          </cell>
          <cell r="D2046" t="str">
            <v>와이어로프 철거</v>
          </cell>
          <cell r="E2046" t="str">
            <v>부착대9m</v>
          </cell>
          <cell r="F2046" t="str">
            <v>식</v>
          </cell>
          <cell r="G2046">
            <v>1</v>
          </cell>
        </row>
        <row r="2048">
          <cell r="B2048" t="str">
            <v>철SCRAP중량A</v>
          </cell>
          <cell r="C2048" t="str">
            <v>고재비</v>
          </cell>
          <cell r="D2048" t="str">
            <v>철SCRAP</v>
          </cell>
          <cell r="E2048" t="str">
            <v>중량A</v>
          </cell>
          <cell r="F2048" t="str">
            <v>Kg</v>
          </cell>
          <cell r="G2048">
            <v>7.8789999999999996</v>
          </cell>
          <cell r="H2048">
            <v>350</v>
          </cell>
          <cell r="I2048">
            <v>-2757.6499999999996</v>
          </cell>
          <cell r="N2048">
            <v>350</v>
          </cell>
          <cell r="O2048">
            <v>-2758</v>
          </cell>
        </row>
        <row r="2050">
          <cell r="A2050">
            <v>166</v>
          </cell>
          <cell r="B2050">
            <v>3</v>
          </cell>
          <cell r="C2050" t="str">
            <v>제166호표</v>
          </cell>
          <cell r="D2050" t="str">
            <v>와이어로프 철거</v>
          </cell>
          <cell r="E2050" t="str">
            <v>부착대7m</v>
          </cell>
          <cell r="F2050" t="str">
            <v>식</v>
          </cell>
          <cell r="G2050">
            <v>1</v>
          </cell>
          <cell r="I2050">
            <v>-1756.3</v>
          </cell>
          <cell r="K2050">
            <v>0</v>
          </cell>
          <cell r="M2050">
            <v>0</v>
          </cell>
          <cell r="O2050">
            <v>-1757</v>
          </cell>
        </row>
        <row r="2052">
          <cell r="B2052" t="str">
            <v>와이어로프 철거부착대7m</v>
          </cell>
          <cell r="D2052" t="str">
            <v>와이어로프 철거</v>
          </cell>
          <cell r="E2052" t="str">
            <v>부착대7m</v>
          </cell>
          <cell r="F2052" t="str">
            <v>식</v>
          </cell>
          <cell r="G2052">
            <v>1</v>
          </cell>
        </row>
        <row r="2054">
          <cell r="B2054" t="str">
            <v>철SCRAP중량A</v>
          </cell>
          <cell r="C2054" t="str">
            <v>고재비</v>
          </cell>
          <cell r="D2054" t="str">
            <v>철SCRAP</v>
          </cell>
          <cell r="E2054" t="str">
            <v>중량A</v>
          </cell>
          <cell r="F2054" t="str">
            <v>Kg</v>
          </cell>
          <cell r="G2054">
            <v>5.0179999999999998</v>
          </cell>
          <cell r="H2054">
            <v>350</v>
          </cell>
          <cell r="I2054">
            <v>-1756.3</v>
          </cell>
          <cell r="N2054">
            <v>350</v>
          </cell>
          <cell r="O2054">
            <v>-1757</v>
          </cell>
        </row>
        <row r="2056">
          <cell r="A2056">
            <v>167</v>
          </cell>
          <cell r="B2056">
            <v>3</v>
          </cell>
          <cell r="C2056" t="str">
            <v>제167호표</v>
          </cell>
          <cell r="D2056" t="str">
            <v>와이어로프 철거</v>
          </cell>
          <cell r="E2056" t="str">
            <v>부착대5m</v>
          </cell>
          <cell r="F2056" t="str">
            <v>식</v>
          </cell>
          <cell r="G2056">
            <v>1</v>
          </cell>
          <cell r="I2056">
            <v>-1236.2</v>
          </cell>
          <cell r="K2056">
            <v>0</v>
          </cell>
          <cell r="M2056">
            <v>0</v>
          </cell>
          <cell r="O2056">
            <v>-1237</v>
          </cell>
        </row>
        <row r="2058">
          <cell r="B2058" t="str">
            <v>와이어로프 철거부착대5m</v>
          </cell>
          <cell r="D2058" t="str">
            <v>와이어로프 철거</v>
          </cell>
          <cell r="E2058" t="str">
            <v>부착대5m</v>
          </cell>
          <cell r="F2058" t="str">
            <v>식</v>
          </cell>
          <cell r="G2058">
            <v>1</v>
          </cell>
        </row>
        <row r="2060">
          <cell r="B2060" t="str">
            <v>철SCRAP중량A</v>
          </cell>
          <cell r="C2060" t="str">
            <v>고재비</v>
          </cell>
          <cell r="D2060" t="str">
            <v>철SCRAP</v>
          </cell>
          <cell r="E2060" t="str">
            <v>중량A</v>
          </cell>
          <cell r="F2060" t="str">
            <v>Kg</v>
          </cell>
          <cell r="G2060">
            <v>3.532</v>
          </cell>
          <cell r="H2060">
            <v>350</v>
          </cell>
          <cell r="I2060">
            <v>-1236.2</v>
          </cell>
          <cell r="N2060">
            <v>350</v>
          </cell>
          <cell r="O2060">
            <v>-1237</v>
          </cell>
        </row>
        <row r="2062">
          <cell r="A2062">
            <v>168</v>
          </cell>
          <cell r="B2062">
            <v>3</v>
          </cell>
          <cell r="C2062" t="str">
            <v>제168호표</v>
          </cell>
          <cell r="D2062" t="str">
            <v>와이어로프 철거</v>
          </cell>
          <cell r="E2062" t="str">
            <v>부착대3m</v>
          </cell>
          <cell r="F2062" t="str">
            <v>식</v>
          </cell>
          <cell r="G2062">
            <v>1</v>
          </cell>
          <cell r="I2062">
            <v>-741.65000000000009</v>
          </cell>
          <cell r="K2062">
            <v>0</v>
          </cell>
          <cell r="M2062">
            <v>0</v>
          </cell>
          <cell r="O2062">
            <v>-742</v>
          </cell>
        </row>
        <row r="2064">
          <cell r="B2064" t="str">
            <v>와이어로프 철거부착대3m</v>
          </cell>
          <cell r="D2064" t="str">
            <v>와이어로프 철거</v>
          </cell>
          <cell r="E2064" t="str">
            <v>부착대3m</v>
          </cell>
          <cell r="F2064" t="str">
            <v>식</v>
          </cell>
          <cell r="G2064">
            <v>1</v>
          </cell>
        </row>
        <row r="2066">
          <cell r="B2066" t="str">
            <v>철SCRAP중량A</v>
          </cell>
          <cell r="C2066" t="str">
            <v>고재비</v>
          </cell>
          <cell r="D2066" t="str">
            <v>철SCRAP</v>
          </cell>
          <cell r="E2066" t="str">
            <v>중량A</v>
          </cell>
          <cell r="F2066" t="str">
            <v>Kg</v>
          </cell>
          <cell r="G2066">
            <v>2.1190000000000002</v>
          </cell>
          <cell r="H2066">
            <v>350</v>
          </cell>
          <cell r="I2066">
            <v>-741.65000000000009</v>
          </cell>
          <cell r="N2066">
            <v>350</v>
          </cell>
          <cell r="O2066">
            <v>-742</v>
          </cell>
        </row>
        <row r="2068">
          <cell r="A2068">
            <v>169</v>
          </cell>
          <cell r="B2068">
            <v>3</v>
          </cell>
          <cell r="C2068" t="str">
            <v>제169호표</v>
          </cell>
          <cell r="D2068" t="str">
            <v>접지봉설치(1본) 철거</v>
          </cell>
          <cell r="E2068" t="str">
            <v>CU 14Ø x 1000L</v>
          </cell>
          <cell r="F2068" t="str">
            <v>개소</v>
          </cell>
          <cell r="G2068">
            <v>1</v>
          </cell>
          <cell r="I2068">
            <v>0</v>
          </cell>
          <cell r="K2068">
            <v>10687</v>
          </cell>
          <cell r="M2068">
            <v>320</v>
          </cell>
          <cell r="O2068">
            <v>11007</v>
          </cell>
          <cell r="P2068" t="str">
            <v>전 3-38</v>
          </cell>
        </row>
        <row r="2070">
          <cell r="B2070" t="str">
            <v>접지봉설치(1본) 철거CU 14Ø x 1000L</v>
          </cell>
          <cell r="D2070" t="str">
            <v>접지봉설치(1본) 철거</v>
          </cell>
          <cell r="E2070" t="str">
            <v>CU 14Ø x 1000L</v>
          </cell>
          <cell r="F2070" t="str">
            <v>개소</v>
          </cell>
          <cell r="G2070">
            <v>1</v>
          </cell>
          <cell r="J2070">
            <v>0</v>
          </cell>
          <cell r="L2070">
            <v>0</v>
          </cell>
          <cell r="O2070">
            <v>0</v>
          </cell>
        </row>
        <row r="2072">
          <cell r="C2072" t="str">
            <v>노무비</v>
          </cell>
          <cell r="D2072" t="str">
            <v>내선전공</v>
          </cell>
          <cell r="E2072" t="str">
            <v>0.11*0.5=0.055</v>
          </cell>
          <cell r="F2072" t="str">
            <v>인</v>
          </cell>
          <cell r="G2072">
            <v>5.5E-2</v>
          </cell>
          <cell r="J2072">
            <v>135106</v>
          </cell>
          <cell r="K2072">
            <v>7430</v>
          </cell>
          <cell r="M2072">
            <v>0</v>
          </cell>
          <cell r="N2072">
            <v>135106</v>
          </cell>
          <cell r="O2072">
            <v>7430</v>
          </cell>
          <cell r="P2072">
            <v>0</v>
          </cell>
        </row>
        <row r="2073">
          <cell r="D2073" t="str">
            <v>보통인부</v>
          </cell>
          <cell r="E2073" t="str">
            <v>0.08*0.5=0.04</v>
          </cell>
          <cell r="F2073" t="str">
            <v>인</v>
          </cell>
          <cell r="G2073">
            <v>0.04</v>
          </cell>
          <cell r="J2073">
            <v>81443</v>
          </cell>
          <cell r="K2073">
            <v>3257</v>
          </cell>
          <cell r="M2073">
            <v>0</v>
          </cell>
          <cell r="N2073">
            <v>81443</v>
          </cell>
          <cell r="O2073">
            <v>3257</v>
          </cell>
          <cell r="P2073">
            <v>0</v>
          </cell>
        </row>
        <row r="2074">
          <cell r="D2074" t="str">
            <v>공구손료</v>
          </cell>
          <cell r="E2074" t="str">
            <v>노무비의</v>
          </cell>
          <cell r="F2074" t="str">
            <v>%</v>
          </cell>
          <cell r="G2074">
            <v>3</v>
          </cell>
          <cell r="L2074">
            <v>10687</v>
          </cell>
          <cell r="M2074">
            <v>320</v>
          </cell>
          <cell r="N2074">
            <v>10687</v>
          </cell>
          <cell r="O2074">
            <v>320</v>
          </cell>
        </row>
        <row r="2078">
          <cell r="A2078">
            <v>170</v>
          </cell>
          <cell r="B2078">
            <v>3</v>
          </cell>
          <cell r="C2078" t="str">
            <v>제170호표</v>
          </cell>
          <cell r="D2078" t="str">
            <v>접지봉설치(3본) 철거</v>
          </cell>
          <cell r="E2078" t="str">
            <v>CU 18Ø x 2400L</v>
          </cell>
          <cell r="F2078" t="str">
            <v>개소</v>
          </cell>
          <cell r="G2078">
            <v>1</v>
          </cell>
          <cell r="I2078">
            <v>0</v>
          </cell>
          <cell r="K2078">
            <v>24356</v>
          </cell>
          <cell r="M2078">
            <v>0</v>
          </cell>
          <cell r="O2078">
            <v>24356</v>
          </cell>
          <cell r="P2078" t="str">
            <v>전 3-38</v>
          </cell>
        </row>
        <row r="2080">
          <cell r="B2080" t="str">
            <v>접지봉설치(3본) 철거CU 18Ø x 2400L</v>
          </cell>
          <cell r="C2080" t="str">
            <v>재료비</v>
          </cell>
          <cell r="D2080" t="str">
            <v>접지봉설치(3본) 철거</v>
          </cell>
          <cell r="E2080" t="str">
            <v>CU 18Ø x 2400L</v>
          </cell>
          <cell r="F2080" t="str">
            <v>개소</v>
          </cell>
          <cell r="G2080">
            <v>1</v>
          </cell>
          <cell r="J2080">
            <v>0</v>
          </cell>
          <cell r="L2080">
            <v>0</v>
          </cell>
          <cell r="O2080">
            <v>0</v>
          </cell>
        </row>
        <row r="2082">
          <cell r="C2082" t="str">
            <v>노무비</v>
          </cell>
          <cell r="D2082" t="str">
            <v>내선전공</v>
          </cell>
          <cell r="E2082" t="str">
            <v>0.24*0.5=0.12</v>
          </cell>
          <cell r="F2082" t="str">
            <v>인</v>
          </cell>
          <cell r="G2082">
            <v>0.12</v>
          </cell>
          <cell r="J2082">
            <v>135106</v>
          </cell>
          <cell r="K2082">
            <v>16212</v>
          </cell>
          <cell r="M2082">
            <v>0</v>
          </cell>
          <cell r="N2082">
            <v>135106</v>
          </cell>
          <cell r="O2082">
            <v>16212</v>
          </cell>
          <cell r="P2082">
            <v>0</v>
          </cell>
        </row>
        <row r="2083">
          <cell r="D2083" t="str">
            <v>보통인부</v>
          </cell>
          <cell r="E2083" t="str">
            <v>0.2*0.5=0.1</v>
          </cell>
          <cell r="F2083" t="str">
            <v>인</v>
          </cell>
          <cell r="G2083">
            <v>0.1</v>
          </cell>
          <cell r="J2083">
            <v>81443</v>
          </cell>
          <cell r="K2083">
            <v>8144</v>
          </cell>
          <cell r="M2083">
            <v>0</v>
          </cell>
          <cell r="N2083">
            <v>81443</v>
          </cell>
          <cell r="O2083">
            <v>8144</v>
          </cell>
          <cell r="P2083">
            <v>0</v>
          </cell>
        </row>
        <row r="2087">
          <cell r="A2087">
            <v>171</v>
          </cell>
          <cell r="B2087">
            <v>3</v>
          </cell>
          <cell r="C2087" t="str">
            <v>제171호표</v>
          </cell>
          <cell r="D2087" t="str">
            <v>철주기초 철거 복구(보도블럭)</v>
          </cell>
          <cell r="E2087" t="str">
            <v>800 x 1400 x 1800(Ø250~Ø300)</v>
          </cell>
          <cell r="F2087" t="str">
            <v>개소</v>
          </cell>
          <cell r="G2087">
            <v>1</v>
          </cell>
          <cell r="I2087">
            <v>14292</v>
          </cell>
          <cell r="K2087">
            <v>33220</v>
          </cell>
          <cell r="M2087">
            <v>6484</v>
          </cell>
          <cell r="O2087">
            <v>53996</v>
          </cell>
        </row>
        <row r="2089">
          <cell r="D2089" t="str">
            <v>철주기초 철거 복구(보도블럭)</v>
          </cell>
          <cell r="E2089" t="str">
            <v>800 x 1400 x 1800(Ø250~Ø300)</v>
          </cell>
          <cell r="F2089" t="str">
            <v>개소</v>
          </cell>
          <cell r="G2089">
            <v>1</v>
          </cell>
        </row>
        <row r="2091">
          <cell r="B2091" t="str">
            <v>터파기(경질토사)(기계70%+인력30%)</v>
          </cell>
          <cell r="D2091" t="str">
            <v>터파기(경질토사)</v>
          </cell>
          <cell r="E2091" t="str">
            <v>(기계70%+인력30%)</v>
          </cell>
          <cell r="F2091" t="str">
            <v>㎥</v>
          </cell>
          <cell r="G2091">
            <v>1.008</v>
          </cell>
          <cell r="H2091">
            <v>290</v>
          </cell>
          <cell r="I2091">
            <v>292</v>
          </cell>
          <cell r="J2091">
            <v>6657</v>
          </cell>
          <cell r="K2091">
            <v>6710</v>
          </cell>
          <cell r="L2091">
            <v>298</v>
          </cell>
          <cell r="M2091">
            <v>300</v>
          </cell>
          <cell r="N2091">
            <v>7245</v>
          </cell>
          <cell r="O2091">
            <v>7302</v>
          </cell>
          <cell r="P2091" t="str">
            <v>제1호표</v>
          </cell>
        </row>
        <row r="2092">
          <cell r="B2092" t="str">
            <v>되메우기 및 다짐(토사)(기계90%+인력10%)</v>
          </cell>
          <cell r="D2092" t="str">
            <v>되메우기 및 다짐(토사)</v>
          </cell>
          <cell r="E2092" t="str">
            <v>(기계90%+인력10%)</v>
          </cell>
          <cell r="F2092" t="str">
            <v>㎥</v>
          </cell>
          <cell r="G2092">
            <v>1.7150000000000001</v>
          </cell>
          <cell r="H2092">
            <v>560</v>
          </cell>
          <cell r="I2092">
            <v>960</v>
          </cell>
          <cell r="J2092">
            <v>6083</v>
          </cell>
          <cell r="K2092">
            <v>10432</v>
          </cell>
          <cell r="L2092">
            <v>309</v>
          </cell>
          <cell r="M2092">
            <v>529</v>
          </cell>
          <cell r="N2092">
            <v>6952</v>
          </cell>
          <cell r="O2092">
            <v>11921</v>
          </cell>
          <cell r="P2092" t="str">
            <v>제4호표</v>
          </cell>
        </row>
        <row r="2093">
          <cell r="B2093" t="str">
            <v>모래세사,왕사(도착도)</v>
          </cell>
          <cell r="D2093" t="str">
            <v>모래</v>
          </cell>
          <cell r="E2093" t="str">
            <v>세사,왕사(도착도)</v>
          </cell>
          <cell r="F2093" t="str">
            <v>㎥</v>
          </cell>
          <cell r="G2093">
            <v>0.106</v>
          </cell>
          <cell r="H2093">
            <v>22000</v>
          </cell>
          <cell r="I2093">
            <v>2332</v>
          </cell>
          <cell r="N2093">
            <v>22000</v>
          </cell>
          <cell r="O2093">
            <v>2332</v>
          </cell>
        </row>
        <row r="2094">
          <cell r="B2094" t="str">
            <v>구조물 헐기대형브레이커+굴삭기(무한궤도) 0.7㎡</v>
          </cell>
          <cell r="D2094" t="str">
            <v>구조물 헐기</v>
          </cell>
          <cell r="E2094" t="str">
            <v>대형브레이커+굴삭기(무한궤도) 0.7㎡</v>
          </cell>
          <cell r="F2094" t="str">
            <v>㎥</v>
          </cell>
          <cell r="G2094">
            <v>0.45200000000000001</v>
          </cell>
          <cell r="H2094">
            <v>5086</v>
          </cell>
          <cell r="I2094">
            <v>2298</v>
          </cell>
          <cell r="J2094">
            <v>7136</v>
          </cell>
          <cell r="K2094">
            <v>3225</v>
          </cell>
          <cell r="L2094">
            <v>6074</v>
          </cell>
          <cell r="M2094">
            <v>2745</v>
          </cell>
          <cell r="N2094">
            <v>18296</v>
          </cell>
          <cell r="O2094">
            <v>8268</v>
          </cell>
          <cell r="P2094" t="str">
            <v>제12호표</v>
          </cell>
        </row>
        <row r="2095">
          <cell r="B2095" t="str">
            <v>보도블럭 철거 및 복구소형고압블럭(20% 신설)</v>
          </cell>
          <cell r="D2095" t="str">
            <v>보도블럭 철거 및 복구</v>
          </cell>
          <cell r="E2095" t="str">
            <v>소형고압블럭(20% 신설)</v>
          </cell>
          <cell r="F2095" t="str">
            <v>㎡</v>
          </cell>
          <cell r="G2095">
            <v>2.97</v>
          </cell>
          <cell r="H2095">
            <v>1496.9802000000002</v>
          </cell>
          <cell r="I2095">
            <v>4446</v>
          </cell>
          <cell r="J2095">
            <v>3784.2209999999995</v>
          </cell>
          <cell r="K2095">
            <v>11239</v>
          </cell>
          <cell r="L2095">
            <v>853.50599999999997</v>
          </cell>
          <cell r="M2095">
            <v>2534</v>
          </cell>
          <cell r="N2095">
            <v>6134</v>
          </cell>
          <cell r="O2095">
            <v>18219</v>
          </cell>
          <cell r="P2095" t="str">
            <v>제19호표</v>
          </cell>
        </row>
        <row r="2096">
          <cell r="B2096" t="str">
            <v>보도블럭 설치소형고압블럭(신설)</v>
          </cell>
          <cell r="D2096" t="str">
            <v>보도블럭 설치</v>
          </cell>
          <cell r="E2096" t="str">
            <v>소형고압블럭(신설)</v>
          </cell>
          <cell r="F2096" t="str">
            <v>㎡</v>
          </cell>
          <cell r="G2096">
            <v>0.64</v>
          </cell>
          <cell r="H2096">
            <v>6193.8810000000003</v>
          </cell>
          <cell r="I2096">
            <v>3964</v>
          </cell>
          <cell r="J2096">
            <v>2522.8139999999999</v>
          </cell>
          <cell r="K2096">
            <v>1614</v>
          </cell>
          <cell r="L2096">
            <v>588.48599999999999</v>
          </cell>
          <cell r="M2096">
            <v>376</v>
          </cell>
          <cell r="N2096">
            <v>9305</v>
          </cell>
          <cell r="O2096">
            <v>5954</v>
          </cell>
          <cell r="P2096" t="str">
            <v>제21호표</v>
          </cell>
        </row>
        <row r="2097">
          <cell r="D2097" t="str">
            <v>폐기물처리(보도블럭)</v>
          </cell>
          <cell r="F2097" t="str">
            <v>㎥</v>
          </cell>
          <cell r="G2097">
            <v>4.1200000000000001E-2</v>
          </cell>
          <cell r="P2097" t="str">
            <v>별도처리</v>
          </cell>
        </row>
        <row r="2098">
          <cell r="D2098" t="str">
            <v>폐기물처리(콘크리트)</v>
          </cell>
          <cell r="F2098" t="str">
            <v>㎥</v>
          </cell>
          <cell r="G2098">
            <v>0.45200000000000001</v>
          </cell>
          <cell r="P2098" t="str">
            <v>별도처리</v>
          </cell>
        </row>
        <row r="2100">
          <cell r="A2100">
            <v>172</v>
          </cell>
          <cell r="B2100">
            <v>3</v>
          </cell>
          <cell r="C2100" t="str">
            <v>제172호표</v>
          </cell>
          <cell r="D2100" t="str">
            <v>철주기초 철거 복구(투스콘)</v>
          </cell>
          <cell r="E2100" t="str">
            <v>800 x 1400 x 1800(Ø250~Ø300)</v>
          </cell>
          <cell r="F2100" t="str">
            <v>개소</v>
          </cell>
          <cell r="G2100">
            <v>1</v>
          </cell>
          <cell r="I2100">
            <v>43034</v>
          </cell>
          <cell r="K2100">
            <v>46746</v>
          </cell>
          <cell r="M2100">
            <v>9598</v>
          </cell>
          <cell r="O2100">
            <v>99378</v>
          </cell>
        </row>
        <row r="2102">
          <cell r="D2102" t="str">
            <v>철주기초 철거 복구(투스콘)</v>
          </cell>
          <cell r="E2102" t="str">
            <v>800 x 1400 x 1800(Ø250~Ø300)</v>
          </cell>
          <cell r="F2102" t="str">
            <v>개소</v>
          </cell>
          <cell r="G2102">
            <v>1</v>
          </cell>
        </row>
        <row r="2104">
          <cell r="B2104" t="str">
            <v>터파기(경질토사)(기계70%+인력30%)</v>
          </cell>
          <cell r="D2104" t="str">
            <v>터파기(경질토사)</v>
          </cell>
          <cell r="E2104" t="str">
            <v>(기계70%+인력30%)</v>
          </cell>
          <cell r="F2104" t="str">
            <v>㎥</v>
          </cell>
          <cell r="G2104">
            <v>1.2589999999999999</v>
          </cell>
          <cell r="H2104">
            <v>290</v>
          </cell>
          <cell r="I2104">
            <v>365</v>
          </cell>
          <cell r="J2104">
            <v>6657</v>
          </cell>
          <cell r="K2104">
            <v>8381</v>
          </cell>
          <cell r="L2104">
            <v>298</v>
          </cell>
          <cell r="M2104">
            <v>375</v>
          </cell>
          <cell r="N2104">
            <v>7245</v>
          </cell>
          <cell r="O2104">
            <v>9121</v>
          </cell>
          <cell r="P2104" t="str">
            <v>제1호표</v>
          </cell>
        </row>
        <row r="2105">
          <cell r="B2105" t="str">
            <v>되메우기 및 다짐(토사)(기계90%+인력10%)</v>
          </cell>
          <cell r="D2105" t="str">
            <v>되메우기 및 다짐(토사)</v>
          </cell>
          <cell r="E2105" t="str">
            <v>(기계90%+인력10%)</v>
          </cell>
          <cell r="F2105" t="str">
            <v>㎥</v>
          </cell>
          <cell r="G2105">
            <v>1.7110000000000001</v>
          </cell>
          <cell r="H2105">
            <v>560</v>
          </cell>
          <cell r="I2105">
            <v>958</v>
          </cell>
          <cell r="J2105">
            <v>6083</v>
          </cell>
          <cell r="K2105">
            <v>10408</v>
          </cell>
          <cell r="L2105">
            <v>309</v>
          </cell>
          <cell r="M2105">
            <v>528</v>
          </cell>
          <cell r="N2105">
            <v>6952</v>
          </cell>
          <cell r="O2105">
            <v>11894</v>
          </cell>
          <cell r="P2105" t="str">
            <v>제4호표</v>
          </cell>
        </row>
        <row r="2106">
          <cell r="B2106" t="str">
            <v>모래세사,왕사(도착도)</v>
          </cell>
          <cell r="D2106" t="str">
            <v>모래</v>
          </cell>
          <cell r="E2106" t="str">
            <v>세사,왕사(도착도)</v>
          </cell>
          <cell r="F2106" t="str">
            <v>㎥</v>
          </cell>
          <cell r="G2106">
            <v>0.106</v>
          </cell>
          <cell r="H2106">
            <v>22000</v>
          </cell>
          <cell r="I2106">
            <v>2332</v>
          </cell>
          <cell r="N2106">
            <v>22000</v>
          </cell>
          <cell r="O2106">
            <v>2332</v>
          </cell>
        </row>
        <row r="2107">
          <cell r="B2107" t="str">
            <v>구조물 헐기대형브레이커+굴삭기(무한궤도) 0.7㎡</v>
          </cell>
          <cell r="D2107" t="str">
            <v>구조물 헐기</v>
          </cell>
          <cell r="E2107" t="str">
            <v>대형브레이커+굴삭기(무한궤도) 0.7㎡</v>
          </cell>
          <cell r="F2107" t="str">
            <v>㎥</v>
          </cell>
          <cell r="G2107">
            <v>0.45200000000000001</v>
          </cell>
          <cell r="H2107">
            <v>5086</v>
          </cell>
          <cell r="I2107">
            <v>2298</v>
          </cell>
          <cell r="J2107">
            <v>7136</v>
          </cell>
          <cell r="K2107">
            <v>3225</v>
          </cell>
          <cell r="L2107">
            <v>6074</v>
          </cell>
          <cell r="M2107">
            <v>2745</v>
          </cell>
          <cell r="N2107">
            <v>18296</v>
          </cell>
          <cell r="O2107">
            <v>8268</v>
          </cell>
          <cell r="P2107" t="str">
            <v>제12호표</v>
          </cell>
        </row>
        <row r="2108">
          <cell r="B2108" t="str">
            <v>아스팔트,투스콘 포장절단블레이드(D = 320~400, T = 3.2mm)</v>
          </cell>
          <cell r="D2108" t="str">
            <v>아스팔트,투스콘 포장절단</v>
          </cell>
          <cell r="E2108" t="str">
            <v>블레이드(D = 320~400, T = 3.2mm)</v>
          </cell>
          <cell r="F2108" t="str">
            <v>m</v>
          </cell>
          <cell r="G2108">
            <v>7.6</v>
          </cell>
          <cell r="H2108">
            <v>750.15428571428572</v>
          </cell>
          <cell r="I2108">
            <v>5701</v>
          </cell>
          <cell r="J2108">
            <v>1608.8371428571429</v>
          </cell>
          <cell r="K2108">
            <v>12227</v>
          </cell>
          <cell r="L2108">
            <v>212.18285714285713</v>
          </cell>
          <cell r="M2108">
            <v>1612</v>
          </cell>
          <cell r="N2108">
            <v>2571</v>
          </cell>
          <cell r="O2108">
            <v>19540</v>
          </cell>
          <cell r="P2108" t="str">
            <v>제8호표</v>
          </cell>
        </row>
        <row r="2109">
          <cell r="B2109" t="str">
            <v>아스팔트,투스콘 포장깨기대형브레이커+굴삭기(무한궤도) 0.2㎡</v>
          </cell>
          <cell r="D2109" t="str">
            <v>아스팔트,투스콘 포장깨기</v>
          </cell>
          <cell r="E2109" t="str">
            <v>대형브레이커+굴삭기(무한궤도) 0.2㎡</v>
          </cell>
          <cell r="F2109" t="str">
            <v>㎥</v>
          </cell>
          <cell r="G2109">
            <v>0.1782</v>
          </cell>
          <cell r="H2109">
            <v>6190</v>
          </cell>
          <cell r="I2109">
            <v>1103</v>
          </cell>
          <cell r="J2109">
            <v>18758</v>
          </cell>
          <cell r="K2109">
            <v>3342</v>
          </cell>
          <cell r="L2109">
            <v>11188</v>
          </cell>
          <cell r="M2109">
            <v>1993</v>
          </cell>
          <cell r="N2109">
            <v>36136</v>
          </cell>
          <cell r="O2109">
            <v>6438</v>
          </cell>
          <cell r="P2109" t="str">
            <v>제10호표</v>
          </cell>
        </row>
        <row r="2110">
          <cell r="B2110" t="str">
            <v>보도용 투스콘포장적색 (180Kg/㎠)</v>
          </cell>
          <cell r="D2110" t="str">
            <v>보도용 투스콘포장</v>
          </cell>
          <cell r="E2110" t="str">
            <v>적색 (180Kg/㎠)</v>
          </cell>
          <cell r="F2110" t="str">
            <v>㎡</v>
          </cell>
          <cell r="G2110">
            <v>3.61</v>
          </cell>
          <cell r="H2110">
            <v>8387</v>
          </cell>
          <cell r="I2110">
            <v>30277</v>
          </cell>
          <cell r="J2110">
            <v>1999</v>
          </cell>
          <cell r="K2110">
            <v>7216</v>
          </cell>
          <cell r="L2110">
            <v>482</v>
          </cell>
          <cell r="M2110">
            <v>1740</v>
          </cell>
          <cell r="N2110">
            <v>10868</v>
          </cell>
          <cell r="O2110">
            <v>39233</v>
          </cell>
          <cell r="P2110" t="str">
            <v>제16호표</v>
          </cell>
        </row>
        <row r="2111">
          <cell r="B2111" t="str">
            <v>보조기층 부설인력식 소규모 장비사용</v>
          </cell>
          <cell r="D2111" t="str">
            <v>보조기층 부설</v>
          </cell>
          <cell r="E2111" t="str">
            <v>인력식 소규모 장비사용</v>
          </cell>
          <cell r="F2111" t="str">
            <v>㎥</v>
          </cell>
          <cell r="G2111">
            <v>0.36099999999999999</v>
          </cell>
          <cell r="J2111">
            <v>5394</v>
          </cell>
          <cell r="K2111">
            <v>1947</v>
          </cell>
          <cell r="L2111">
            <v>1678</v>
          </cell>
          <cell r="M2111">
            <v>605</v>
          </cell>
          <cell r="N2111">
            <v>7072</v>
          </cell>
          <cell r="O2111">
            <v>2552</v>
          </cell>
          <cell r="P2111" t="str">
            <v>제15호표</v>
          </cell>
        </row>
        <row r="2112">
          <cell r="D2112" t="str">
            <v>폐기물처리(투스콘)</v>
          </cell>
          <cell r="F2112" t="str">
            <v>㎥</v>
          </cell>
          <cell r="G2112">
            <v>0.1782</v>
          </cell>
          <cell r="P2112" t="str">
            <v>별도처리</v>
          </cell>
        </row>
        <row r="2113">
          <cell r="D2113" t="str">
            <v>폐기물처리(콘크리트)</v>
          </cell>
          <cell r="F2113" t="str">
            <v>㎥</v>
          </cell>
          <cell r="G2113">
            <v>0.45200000000000001</v>
          </cell>
          <cell r="P2113" t="str">
            <v>별도처리</v>
          </cell>
        </row>
        <row r="2114">
          <cell r="A2114">
            <v>173</v>
          </cell>
          <cell r="B2114">
            <v>3</v>
          </cell>
          <cell r="C2114" t="str">
            <v>제173호표</v>
          </cell>
          <cell r="D2114" t="str">
            <v>철주기초 철거 복구(보도블럭)</v>
          </cell>
          <cell r="E2114" t="str">
            <v>800 x 1100 x 1200(Ø200)</v>
          </cell>
          <cell r="F2114" t="str">
            <v>개소</v>
          </cell>
          <cell r="G2114">
            <v>1</v>
          </cell>
          <cell r="I2114">
            <v>11076</v>
          </cell>
          <cell r="K2114">
            <v>22094</v>
          </cell>
          <cell r="M2114">
            <v>4808</v>
          </cell>
          <cell r="O2114">
            <v>37978</v>
          </cell>
        </row>
        <row r="2116">
          <cell r="D2116" t="str">
            <v>철주기초 철거 복구(보도블럭)</v>
          </cell>
          <cell r="E2116" t="str">
            <v>800 x 1100 x 1200(Ø200)</v>
          </cell>
          <cell r="F2116" t="str">
            <v>개소</v>
          </cell>
          <cell r="G2116">
            <v>1</v>
          </cell>
        </row>
        <row r="2118">
          <cell r="B2118" t="str">
            <v>터파기(경질토사)(기계70%+인력30%)</v>
          </cell>
          <cell r="D2118" t="str">
            <v>터파기(경질토사)</v>
          </cell>
          <cell r="E2118" t="str">
            <v>(기계70%+인력30%)</v>
          </cell>
          <cell r="F2118" t="str">
            <v>㎥</v>
          </cell>
          <cell r="G2118">
            <v>0.71499999999999997</v>
          </cell>
          <cell r="H2118">
            <v>290</v>
          </cell>
          <cell r="I2118">
            <v>207</v>
          </cell>
          <cell r="J2118">
            <v>6657</v>
          </cell>
          <cell r="K2118">
            <v>4759</v>
          </cell>
          <cell r="L2118">
            <v>298</v>
          </cell>
          <cell r="M2118">
            <v>213</v>
          </cell>
          <cell r="N2118">
            <v>7245</v>
          </cell>
          <cell r="O2118">
            <v>5179</v>
          </cell>
          <cell r="P2118" t="str">
            <v>제1호표</v>
          </cell>
        </row>
        <row r="2119">
          <cell r="B2119" t="str">
            <v>되메우기 및 다짐(토사)(기계90%+인력10%)</v>
          </cell>
          <cell r="D2119" t="str">
            <v>되메우기 및 다짐(토사)</v>
          </cell>
          <cell r="E2119" t="str">
            <v>(기계90%+인력10%)</v>
          </cell>
          <cell r="F2119" t="str">
            <v>㎥</v>
          </cell>
          <cell r="G2119">
            <v>0.94799999999999995</v>
          </cell>
          <cell r="H2119">
            <v>560</v>
          </cell>
          <cell r="I2119">
            <v>530</v>
          </cell>
          <cell r="J2119">
            <v>6083</v>
          </cell>
          <cell r="K2119">
            <v>5766</v>
          </cell>
          <cell r="L2119">
            <v>309</v>
          </cell>
          <cell r="M2119">
            <v>292</v>
          </cell>
          <cell r="N2119">
            <v>6952</v>
          </cell>
          <cell r="O2119">
            <v>6588</v>
          </cell>
          <cell r="P2119" t="str">
            <v>제4호표</v>
          </cell>
        </row>
        <row r="2120">
          <cell r="B2120" t="str">
            <v>모래세사,왕사(도착도)</v>
          </cell>
          <cell r="D2120" t="str">
            <v>모래</v>
          </cell>
          <cell r="E2120" t="str">
            <v>세사,왕사(도착도)</v>
          </cell>
          <cell r="F2120" t="str">
            <v>㎥</v>
          </cell>
          <cell r="G2120">
            <v>7.1999999999999995E-2</v>
          </cell>
          <cell r="H2120">
            <v>22000</v>
          </cell>
          <cell r="I2120">
            <v>1584</v>
          </cell>
          <cell r="N2120">
            <v>22000</v>
          </cell>
          <cell r="O2120">
            <v>1584</v>
          </cell>
        </row>
        <row r="2121">
          <cell r="B2121" t="str">
            <v>구조물 헐기대형브레이커+굴삭기(무한궤도) 0.7㎡</v>
          </cell>
          <cell r="D2121" t="str">
            <v>구조물 헐기</v>
          </cell>
          <cell r="E2121" t="str">
            <v>대형브레이커+굴삭기(무한궤도) 0.7㎡</v>
          </cell>
          <cell r="F2121" t="str">
            <v>㎥</v>
          </cell>
          <cell r="G2121">
            <v>0.377</v>
          </cell>
          <cell r="H2121">
            <v>5086</v>
          </cell>
          <cell r="I2121">
            <v>1917</v>
          </cell>
          <cell r="J2121">
            <v>7136</v>
          </cell>
          <cell r="K2121">
            <v>2690</v>
          </cell>
          <cell r="L2121">
            <v>6074</v>
          </cell>
          <cell r="M2121">
            <v>2289</v>
          </cell>
          <cell r="N2121">
            <v>18296</v>
          </cell>
          <cell r="O2121">
            <v>6896</v>
          </cell>
          <cell r="P2121" t="str">
            <v>제12호표</v>
          </cell>
        </row>
        <row r="2122">
          <cell r="B2122" t="str">
            <v>보도블럭 철거 및 복구소형고압블럭(20% 신설)</v>
          </cell>
          <cell r="D2122" t="str">
            <v>보도블럭 철거 및 복구</v>
          </cell>
          <cell r="E2122" t="str">
            <v>소형고압블럭(20% 신설)</v>
          </cell>
          <cell r="F2122" t="str">
            <v>㎡</v>
          </cell>
          <cell r="G2122">
            <v>1.92</v>
          </cell>
          <cell r="H2122">
            <v>1496.9802000000002</v>
          </cell>
          <cell r="I2122">
            <v>2874</v>
          </cell>
          <cell r="J2122">
            <v>3784.2209999999995</v>
          </cell>
          <cell r="K2122">
            <v>7265</v>
          </cell>
          <cell r="L2122">
            <v>853.50599999999997</v>
          </cell>
          <cell r="M2122">
            <v>1638</v>
          </cell>
          <cell r="N2122">
            <v>6134</v>
          </cell>
          <cell r="O2122">
            <v>11777</v>
          </cell>
          <cell r="P2122" t="str">
            <v>제19호표</v>
          </cell>
        </row>
        <row r="2123">
          <cell r="B2123" t="str">
            <v>보도블럭 설치소형고압블럭(신설)</v>
          </cell>
          <cell r="D2123" t="str">
            <v>보도블럭 설치</v>
          </cell>
          <cell r="E2123" t="str">
            <v>소형고압블럭(신설)</v>
          </cell>
          <cell r="F2123" t="str">
            <v>㎡</v>
          </cell>
          <cell r="G2123">
            <v>0.64</v>
          </cell>
          <cell r="H2123">
            <v>6193.8810000000003</v>
          </cell>
          <cell r="I2123">
            <v>3964</v>
          </cell>
          <cell r="J2123">
            <v>2522.8139999999999</v>
          </cell>
          <cell r="K2123">
            <v>1614</v>
          </cell>
          <cell r="L2123">
            <v>588.48599999999999</v>
          </cell>
          <cell r="M2123">
            <v>376</v>
          </cell>
          <cell r="N2123">
            <v>9305</v>
          </cell>
          <cell r="O2123">
            <v>5954</v>
          </cell>
          <cell r="P2123" t="str">
            <v>제21호표</v>
          </cell>
        </row>
        <row r="2124">
          <cell r="D2124" t="str">
            <v>폐기물처리(보도블럭)</v>
          </cell>
          <cell r="F2124" t="str">
            <v>㎥</v>
          </cell>
          <cell r="G2124">
            <v>2.7E-2</v>
          </cell>
          <cell r="P2124" t="str">
            <v>별도처리</v>
          </cell>
        </row>
        <row r="2125">
          <cell r="D2125" t="str">
            <v>폐기물처리(콘크리트)</v>
          </cell>
          <cell r="F2125" t="str">
            <v>㎥</v>
          </cell>
          <cell r="G2125">
            <v>0.377</v>
          </cell>
          <cell r="P2125" t="str">
            <v>별도처리</v>
          </cell>
        </row>
        <row r="2135">
          <cell r="A2135">
            <v>174</v>
          </cell>
          <cell r="B2135">
            <v>3</v>
          </cell>
          <cell r="C2135" t="str">
            <v>제174호표</v>
          </cell>
          <cell r="D2135" t="str">
            <v>철주기초 철거 복구(투스콘)</v>
          </cell>
          <cell r="E2135" t="str">
            <v>800 x 1100 x 1200(Ø200)</v>
          </cell>
          <cell r="F2135" t="str">
            <v>개소</v>
          </cell>
          <cell r="G2135">
            <v>1</v>
          </cell>
          <cell r="I2135">
            <v>31587</v>
          </cell>
          <cell r="K2135">
            <v>37329</v>
          </cell>
          <cell r="M2135">
            <v>7342</v>
          </cell>
          <cell r="O2135">
            <v>76258</v>
          </cell>
        </row>
        <row r="2137">
          <cell r="D2137" t="str">
            <v>철주기초 철거 복구(투스콘)</v>
          </cell>
          <cell r="E2137" t="str">
            <v>800 x 1100 x 1200(Ø200)</v>
          </cell>
          <cell r="F2137" t="str">
            <v>개소</v>
          </cell>
          <cell r="G2137">
            <v>1</v>
          </cell>
        </row>
        <row r="2139">
          <cell r="B2139" t="str">
            <v>터파기(경질토사)(기계70%+인력30%)</v>
          </cell>
          <cell r="D2139" t="str">
            <v>터파기(경질토사)</v>
          </cell>
          <cell r="E2139" t="str">
            <v>(기계70%+인력30%)</v>
          </cell>
          <cell r="F2139" t="str">
            <v>㎥</v>
          </cell>
          <cell r="G2139">
            <v>1.2589999999999999</v>
          </cell>
          <cell r="H2139">
            <v>290</v>
          </cell>
          <cell r="I2139">
            <v>365</v>
          </cell>
          <cell r="J2139">
            <v>6657</v>
          </cell>
          <cell r="K2139">
            <v>8381</v>
          </cell>
          <cell r="L2139">
            <v>298</v>
          </cell>
          <cell r="M2139">
            <v>375</v>
          </cell>
          <cell r="N2139">
            <v>7245</v>
          </cell>
          <cell r="O2139">
            <v>9121</v>
          </cell>
          <cell r="P2139" t="str">
            <v>제1호표</v>
          </cell>
        </row>
        <row r="2140">
          <cell r="B2140" t="str">
            <v>되메우기 및 다짐(토사)(기계90%+인력10%)</v>
          </cell>
          <cell r="D2140" t="str">
            <v>되메우기 및 다짐(토사)</v>
          </cell>
          <cell r="E2140" t="str">
            <v>(기계90%+인력10%)</v>
          </cell>
          <cell r="F2140" t="str">
            <v>㎥</v>
          </cell>
          <cell r="G2140">
            <v>1.2010000000000001</v>
          </cell>
          <cell r="H2140">
            <v>560</v>
          </cell>
          <cell r="I2140">
            <v>672</v>
          </cell>
          <cell r="J2140">
            <v>6083</v>
          </cell>
          <cell r="K2140">
            <v>7305</v>
          </cell>
          <cell r="L2140">
            <v>309</v>
          </cell>
          <cell r="M2140">
            <v>371</v>
          </cell>
          <cell r="N2140">
            <v>6952</v>
          </cell>
          <cell r="O2140">
            <v>8348</v>
          </cell>
          <cell r="P2140" t="str">
            <v>제4호표</v>
          </cell>
        </row>
        <row r="2141">
          <cell r="B2141" t="str">
            <v>모래세사,왕사(도착도)</v>
          </cell>
          <cell r="D2141" t="str">
            <v>모래</v>
          </cell>
          <cell r="E2141" t="str">
            <v>세사,왕사(도착도)</v>
          </cell>
          <cell r="F2141" t="str">
            <v>㎥</v>
          </cell>
          <cell r="G2141">
            <v>7.4999999999999997E-2</v>
          </cell>
          <cell r="H2141">
            <v>22000</v>
          </cell>
          <cell r="I2141">
            <v>1650</v>
          </cell>
          <cell r="N2141">
            <v>22000</v>
          </cell>
          <cell r="O2141">
            <v>1650</v>
          </cell>
        </row>
        <row r="2142">
          <cell r="B2142" t="str">
            <v>구조물 헐기대형브레이커+굴삭기(무한궤도) 0.7㎡</v>
          </cell>
          <cell r="D2142" t="str">
            <v>구조물 헐기</v>
          </cell>
          <cell r="E2142" t="str">
            <v>대형브레이커+굴삭기(무한궤도) 0.7㎡</v>
          </cell>
          <cell r="F2142" t="str">
            <v>㎥</v>
          </cell>
          <cell r="G2142">
            <v>0.377</v>
          </cell>
          <cell r="H2142">
            <v>5086</v>
          </cell>
          <cell r="I2142">
            <v>1917</v>
          </cell>
          <cell r="J2142">
            <v>7136</v>
          </cell>
          <cell r="K2142">
            <v>2690</v>
          </cell>
          <cell r="L2142">
            <v>6074</v>
          </cell>
          <cell r="M2142">
            <v>2289</v>
          </cell>
          <cell r="N2142">
            <v>18296</v>
          </cell>
          <cell r="O2142">
            <v>6896</v>
          </cell>
          <cell r="P2142" t="str">
            <v>제12호표</v>
          </cell>
        </row>
        <row r="2143">
          <cell r="B2143" t="str">
            <v>아스팔트,투스콘 포장절단블레이드(D = 320~400, T = 3.2mm)</v>
          </cell>
          <cell r="D2143" t="str">
            <v>아스팔트,투스콘 포장절단</v>
          </cell>
          <cell r="E2143" t="str">
            <v>블레이드(D = 320~400, T = 3.2mm)</v>
          </cell>
          <cell r="F2143" t="str">
            <v>m</v>
          </cell>
          <cell r="G2143">
            <v>6.4</v>
          </cell>
          <cell r="H2143">
            <v>750.15428571428572</v>
          </cell>
          <cell r="I2143">
            <v>4800</v>
          </cell>
          <cell r="J2143">
            <v>1608.8371428571429</v>
          </cell>
          <cell r="K2143">
            <v>10296</v>
          </cell>
          <cell r="L2143">
            <v>212.18285714285713</v>
          </cell>
          <cell r="M2143">
            <v>1357</v>
          </cell>
          <cell r="N2143">
            <v>2571</v>
          </cell>
          <cell r="O2143">
            <v>16453</v>
          </cell>
          <cell r="P2143" t="str">
            <v>제8호표</v>
          </cell>
        </row>
        <row r="2144">
          <cell r="B2144" t="str">
            <v>아스팔트,투스콘 포장깨기대형브레이커+굴삭기(무한궤도) 0.2㎡</v>
          </cell>
          <cell r="D2144" t="str">
            <v>아스팔트,투스콘 포장깨기</v>
          </cell>
          <cell r="E2144" t="str">
            <v>대형브레이커+굴삭기(무한궤도) 0.2㎡</v>
          </cell>
          <cell r="F2144" t="str">
            <v>㎥</v>
          </cell>
          <cell r="G2144">
            <v>0.1152</v>
          </cell>
          <cell r="H2144">
            <v>6190</v>
          </cell>
          <cell r="I2144">
            <v>713</v>
          </cell>
          <cell r="J2144">
            <v>18758</v>
          </cell>
          <cell r="K2144">
            <v>2160</v>
          </cell>
          <cell r="L2144">
            <v>11188</v>
          </cell>
          <cell r="M2144">
            <v>1288</v>
          </cell>
          <cell r="N2144">
            <v>36136</v>
          </cell>
          <cell r="O2144">
            <v>4161</v>
          </cell>
          <cell r="P2144" t="str">
            <v>제10호표</v>
          </cell>
        </row>
        <row r="2145">
          <cell r="B2145" t="str">
            <v>보도용 투스콘포장적색 (180Kg/㎠)</v>
          </cell>
          <cell r="D2145" t="str">
            <v>보도용 투스콘포장</v>
          </cell>
          <cell r="E2145" t="str">
            <v>적색 (180Kg/㎠)</v>
          </cell>
          <cell r="F2145" t="str">
            <v>㎡</v>
          </cell>
          <cell r="G2145">
            <v>2.56</v>
          </cell>
          <cell r="H2145">
            <v>8387</v>
          </cell>
          <cell r="I2145">
            <v>21470</v>
          </cell>
          <cell r="J2145">
            <v>1999</v>
          </cell>
          <cell r="K2145">
            <v>5117</v>
          </cell>
          <cell r="L2145">
            <v>482</v>
          </cell>
          <cell r="M2145">
            <v>1233</v>
          </cell>
          <cell r="N2145">
            <v>10868</v>
          </cell>
          <cell r="O2145">
            <v>27820</v>
          </cell>
          <cell r="P2145" t="str">
            <v>제16호표</v>
          </cell>
        </row>
        <row r="2146">
          <cell r="B2146" t="str">
            <v>보조기층 부설인력식 소규모 장비사용</v>
          </cell>
          <cell r="D2146" t="str">
            <v>보조기층 부설</v>
          </cell>
          <cell r="E2146" t="str">
            <v>인력식 소규모 장비사용</v>
          </cell>
          <cell r="F2146" t="str">
            <v>㎥</v>
          </cell>
          <cell r="G2146">
            <v>0.25600000000000001</v>
          </cell>
          <cell r="J2146">
            <v>5394</v>
          </cell>
          <cell r="K2146">
            <v>1380</v>
          </cell>
          <cell r="L2146">
            <v>1678</v>
          </cell>
          <cell r="M2146">
            <v>429</v>
          </cell>
          <cell r="N2146">
            <v>7072</v>
          </cell>
          <cell r="O2146">
            <v>1809</v>
          </cell>
          <cell r="P2146" t="str">
            <v>제15호표</v>
          </cell>
        </row>
        <row r="2147">
          <cell r="D2147" t="str">
            <v>폐기물처리(투스콘)</v>
          </cell>
          <cell r="F2147" t="str">
            <v>㎥</v>
          </cell>
          <cell r="G2147">
            <v>0.1152</v>
          </cell>
          <cell r="P2147" t="str">
            <v>별도처리</v>
          </cell>
        </row>
        <row r="2148">
          <cell r="D2148" t="str">
            <v>폐기물처리(콘크리트)</v>
          </cell>
          <cell r="F2148" t="str">
            <v>㎥</v>
          </cell>
          <cell r="G2148">
            <v>0.377</v>
          </cell>
          <cell r="P2148" t="str">
            <v>별도처리</v>
          </cell>
        </row>
        <row r="2150">
          <cell r="A2150">
            <v>175</v>
          </cell>
          <cell r="B2150">
            <v>3</v>
          </cell>
          <cell r="C2150" t="str">
            <v>제175호표</v>
          </cell>
          <cell r="D2150" t="str">
            <v>보행등주기초 철거 복구(보도블럭)</v>
          </cell>
          <cell r="E2150" t="str">
            <v>500 x 700 x 800(Ø125)</v>
          </cell>
          <cell r="F2150" t="str">
            <v>개소</v>
          </cell>
          <cell r="G2150">
            <v>1</v>
          </cell>
          <cell r="I2150">
            <v>5074</v>
          </cell>
          <cell r="K2150">
            <v>10076</v>
          </cell>
          <cell r="M2150">
            <v>2110</v>
          </cell>
          <cell r="O2150">
            <v>17260</v>
          </cell>
        </row>
        <row r="2152">
          <cell r="D2152" t="str">
            <v>보행등주기초 철거 복구(보도블럭)</v>
          </cell>
          <cell r="E2152" t="str">
            <v>500 x 700 x 800(Ø125)</v>
          </cell>
        </row>
        <row r="2153">
          <cell r="B2153" t="str">
            <v>터파기(경질토사)(기계70%+인력30%)</v>
          </cell>
          <cell r="D2153" t="str">
            <v>터파기(경질토사)</v>
          </cell>
          <cell r="E2153" t="str">
            <v>(기계70%+인력30%)</v>
          </cell>
          <cell r="F2153" t="str">
            <v>㎥</v>
          </cell>
          <cell r="G2153">
            <v>0.317</v>
          </cell>
          <cell r="H2153">
            <v>290</v>
          </cell>
          <cell r="I2153">
            <v>91</v>
          </cell>
          <cell r="J2153">
            <v>6657</v>
          </cell>
          <cell r="K2153">
            <v>2110</v>
          </cell>
          <cell r="L2153">
            <v>298</v>
          </cell>
          <cell r="M2153">
            <v>94</v>
          </cell>
          <cell r="N2153">
            <v>7245</v>
          </cell>
          <cell r="O2153">
            <v>2295</v>
          </cell>
          <cell r="P2153" t="str">
            <v>제1호표</v>
          </cell>
        </row>
        <row r="2154">
          <cell r="B2154" t="str">
            <v>되메우기 및 다짐(토사)(기계90%+인력10%)</v>
          </cell>
          <cell r="D2154" t="str">
            <v>되메우기 및 다짐(토사)</v>
          </cell>
          <cell r="E2154" t="str">
            <v>(기계90%+인력10%)</v>
          </cell>
          <cell r="F2154" t="str">
            <v>㎥</v>
          </cell>
          <cell r="G2154">
            <v>0.432</v>
          </cell>
          <cell r="H2154">
            <v>560</v>
          </cell>
          <cell r="I2154">
            <v>241</v>
          </cell>
          <cell r="J2154">
            <v>6083</v>
          </cell>
          <cell r="K2154">
            <v>2627</v>
          </cell>
          <cell r="L2154">
            <v>309</v>
          </cell>
          <cell r="M2154">
            <v>133</v>
          </cell>
          <cell r="N2154">
            <v>6952</v>
          </cell>
          <cell r="O2154">
            <v>3001</v>
          </cell>
          <cell r="P2154" t="str">
            <v>제4호표</v>
          </cell>
        </row>
        <row r="2155">
          <cell r="B2155" t="str">
            <v>모래세사,왕사(도착도)</v>
          </cell>
          <cell r="D2155" t="str">
            <v>모래</v>
          </cell>
          <cell r="E2155" t="str">
            <v>세사,왕사(도착도)</v>
          </cell>
          <cell r="F2155" t="str">
            <v>㎥</v>
          </cell>
          <cell r="G2155">
            <v>4.4999999999999998E-2</v>
          </cell>
          <cell r="H2155">
            <v>22000</v>
          </cell>
          <cell r="I2155">
            <v>990</v>
          </cell>
          <cell r="N2155">
            <v>22000</v>
          </cell>
          <cell r="O2155">
            <v>990</v>
          </cell>
        </row>
        <row r="2156">
          <cell r="B2156" t="str">
            <v>구조물 헐기대형브레이커+굴삭기(무한궤도) 0.7㎡</v>
          </cell>
          <cell r="D2156" t="str">
            <v>구조물 헐기</v>
          </cell>
          <cell r="E2156" t="str">
            <v>대형브레이커+굴삭기(무한궤도) 0.7㎡</v>
          </cell>
          <cell r="F2156" t="str">
            <v>㎥</v>
          </cell>
          <cell r="G2156">
            <v>0.151</v>
          </cell>
          <cell r="H2156">
            <v>5086</v>
          </cell>
          <cell r="I2156">
            <v>767</v>
          </cell>
          <cell r="J2156">
            <v>7136</v>
          </cell>
          <cell r="K2156">
            <v>1077</v>
          </cell>
          <cell r="L2156">
            <v>6074</v>
          </cell>
          <cell r="M2156">
            <v>917</v>
          </cell>
          <cell r="N2156">
            <v>18296</v>
          </cell>
          <cell r="O2156">
            <v>2761</v>
          </cell>
          <cell r="P2156" t="str">
            <v>제12호표</v>
          </cell>
        </row>
        <row r="2157">
          <cell r="B2157" t="str">
            <v>보도블럭 철거 및 복구소형고압블럭(20% 신설)</v>
          </cell>
          <cell r="D2157" t="str">
            <v>보도블럭 철거 및 복구</v>
          </cell>
          <cell r="E2157" t="str">
            <v>소형고압블럭(20% 신설)</v>
          </cell>
          <cell r="F2157" t="str">
            <v>㎡</v>
          </cell>
          <cell r="G2157">
            <v>0.96</v>
          </cell>
          <cell r="H2157">
            <v>1496.9802000000002</v>
          </cell>
          <cell r="I2157">
            <v>1437</v>
          </cell>
          <cell r="J2157">
            <v>3784.2209999999995</v>
          </cell>
          <cell r="K2157">
            <v>3632</v>
          </cell>
          <cell r="L2157">
            <v>853.50599999999997</v>
          </cell>
          <cell r="M2157">
            <v>819</v>
          </cell>
          <cell r="N2157">
            <v>6134</v>
          </cell>
          <cell r="O2157">
            <v>5888</v>
          </cell>
          <cell r="P2157" t="str">
            <v>제19호표</v>
          </cell>
        </row>
        <row r="2158">
          <cell r="B2158" t="str">
            <v>보도블럭 설치소형고압블럭(신설)</v>
          </cell>
          <cell r="D2158" t="str">
            <v>보도블럭 설치</v>
          </cell>
          <cell r="E2158" t="str">
            <v>소형고압블럭(신설)</v>
          </cell>
          <cell r="F2158" t="str">
            <v>㎡</v>
          </cell>
          <cell r="G2158">
            <v>0.25</v>
          </cell>
          <cell r="H2158">
            <v>6193.8810000000003</v>
          </cell>
          <cell r="I2158">
            <v>1548</v>
          </cell>
          <cell r="J2158">
            <v>2522.8139999999999</v>
          </cell>
          <cell r="K2158">
            <v>630</v>
          </cell>
          <cell r="L2158">
            <v>588.48599999999999</v>
          </cell>
          <cell r="M2158">
            <v>147</v>
          </cell>
          <cell r="N2158">
            <v>9305</v>
          </cell>
          <cell r="O2158">
            <v>2325</v>
          </cell>
          <cell r="P2158" t="str">
            <v>제21호표</v>
          </cell>
        </row>
        <row r="2159">
          <cell r="D2159" t="str">
            <v>폐기물처리(보도블럭)</v>
          </cell>
          <cell r="F2159" t="str">
            <v>㎥</v>
          </cell>
          <cell r="G2159">
            <v>1.34E-2</v>
          </cell>
          <cell r="P2159" t="str">
            <v>별도처리</v>
          </cell>
        </row>
        <row r="2160">
          <cell r="D2160" t="str">
            <v>폐기물처리(콘크리트)</v>
          </cell>
          <cell r="F2160" t="str">
            <v>㎥</v>
          </cell>
          <cell r="G2160">
            <v>0.151</v>
          </cell>
          <cell r="P2160" t="str">
            <v>별도처리</v>
          </cell>
        </row>
        <row r="2162">
          <cell r="A2162">
            <v>176</v>
          </cell>
          <cell r="B2162">
            <v>3</v>
          </cell>
          <cell r="C2162" t="str">
            <v>제176호표</v>
          </cell>
          <cell r="D2162" t="str">
            <v>보행등주기초 철거 복구(투스콘)</v>
          </cell>
          <cell r="E2162" t="str">
            <v>500 x 700 x 800(Ø125)</v>
          </cell>
          <cell r="F2162" t="str">
            <v>개소</v>
          </cell>
          <cell r="G2162">
            <v>1</v>
          </cell>
          <cell r="I2162">
            <v>15985</v>
          </cell>
          <cell r="K2162">
            <v>18318</v>
          </cell>
          <cell r="M2162">
            <v>3569</v>
          </cell>
          <cell r="O2162">
            <v>37872</v>
          </cell>
        </row>
        <row r="2164">
          <cell r="D2164" t="str">
            <v>보행등주기초 철거 복구(투스콘)</v>
          </cell>
          <cell r="E2164" t="str">
            <v>500 x 700 x 800(Ø125)</v>
          </cell>
        </row>
        <row r="2165">
          <cell r="B2165" t="str">
            <v>터파기(경질토사)(기계70%+인력30%)</v>
          </cell>
          <cell r="D2165" t="str">
            <v>터파기(경질토사)</v>
          </cell>
          <cell r="E2165" t="str">
            <v>(기계70%+인력30%)</v>
          </cell>
          <cell r="F2165" t="str">
            <v>㎥</v>
          </cell>
          <cell r="G2165">
            <v>0.4</v>
          </cell>
          <cell r="H2165">
            <v>290</v>
          </cell>
          <cell r="I2165">
            <v>116</v>
          </cell>
          <cell r="J2165">
            <v>6657</v>
          </cell>
          <cell r="K2165">
            <v>2662</v>
          </cell>
          <cell r="L2165">
            <v>298</v>
          </cell>
          <cell r="M2165">
            <v>119</v>
          </cell>
          <cell r="N2165">
            <v>7245</v>
          </cell>
          <cell r="O2165">
            <v>2897</v>
          </cell>
          <cell r="P2165" t="str">
            <v>제1호표</v>
          </cell>
        </row>
        <row r="2166">
          <cell r="B2166" t="str">
            <v>되메우기 및 다짐(토사)(기계90%+인력10%)</v>
          </cell>
          <cell r="D2166" t="str">
            <v>되메우기 및 다짐(토사)</v>
          </cell>
          <cell r="E2166" t="str">
            <v>(기계90%+인력10%)</v>
          </cell>
          <cell r="F2166" t="str">
            <v>㎥</v>
          </cell>
          <cell r="G2166">
            <v>0.55100000000000005</v>
          </cell>
          <cell r="H2166">
            <v>560</v>
          </cell>
          <cell r="I2166">
            <v>308</v>
          </cell>
          <cell r="J2166">
            <v>6083</v>
          </cell>
          <cell r="K2166">
            <v>3351</v>
          </cell>
          <cell r="L2166">
            <v>309</v>
          </cell>
          <cell r="M2166">
            <v>170</v>
          </cell>
          <cell r="N2166">
            <v>6952</v>
          </cell>
          <cell r="O2166">
            <v>3829</v>
          </cell>
          <cell r="P2166" t="str">
            <v>제4호표</v>
          </cell>
        </row>
        <row r="2167">
          <cell r="B2167" t="str">
            <v>모래세사,왕사(도착도)</v>
          </cell>
          <cell r="D2167" t="str">
            <v>모래</v>
          </cell>
          <cell r="E2167" t="str">
            <v>세사,왕사(도착도)</v>
          </cell>
          <cell r="F2167" t="str">
            <v>㎥</v>
          </cell>
          <cell r="G2167">
            <v>4.4999999999999998E-2</v>
          </cell>
          <cell r="H2167">
            <v>22000</v>
          </cell>
          <cell r="I2167">
            <v>990</v>
          </cell>
          <cell r="N2167">
            <v>22000</v>
          </cell>
          <cell r="O2167">
            <v>990</v>
          </cell>
        </row>
        <row r="2168">
          <cell r="B2168" t="str">
            <v>구조물 헐기대형브레이커+굴삭기(무한궤도) 0.7㎡</v>
          </cell>
          <cell r="D2168" t="str">
            <v>구조물 헐기</v>
          </cell>
          <cell r="E2168" t="str">
            <v>대형브레이커+굴삭기(무한궤도) 0.7㎡</v>
          </cell>
          <cell r="F2168" t="str">
            <v>㎥</v>
          </cell>
          <cell r="G2168">
            <v>0.151</v>
          </cell>
          <cell r="H2168">
            <v>5086</v>
          </cell>
          <cell r="I2168">
            <v>767</v>
          </cell>
          <cell r="J2168">
            <v>7136</v>
          </cell>
          <cell r="K2168">
            <v>1077</v>
          </cell>
          <cell r="L2168">
            <v>6074</v>
          </cell>
          <cell r="M2168">
            <v>917</v>
          </cell>
          <cell r="N2168">
            <v>18296</v>
          </cell>
          <cell r="O2168">
            <v>2761</v>
          </cell>
          <cell r="P2168" t="str">
            <v>제12호표</v>
          </cell>
        </row>
        <row r="2169">
          <cell r="B2169" t="str">
            <v>아스팔트,투스콘 포장절단블레이드(D = 320~400, T = 3.2mm)</v>
          </cell>
          <cell r="D2169" t="str">
            <v>아스팔트,투스콘 포장절단</v>
          </cell>
          <cell r="E2169" t="str">
            <v>블레이드(D = 320~400, T = 3.2mm)</v>
          </cell>
          <cell r="F2169" t="str">
            <v>m</v>
          </cell>
          <cell r="G2169">
            <v>4.4000000000000004</v>
          </cell>
          <cell r="H2169">
            <v>750.15428571428572</v>
          </cell>
          <cell r="I2169">
            <v>3300</v>
          </cell>
          <cell r="J2169">
            <v>1608.8371428571429</v>
          </cell>
          <cell r="K2169">
            <v>7078</v>
          </cell>
          <cell r="L2169">
            <v>212.18285714285713</v>
          </cell>
          <cell r="M2169">
            <v>933</v>
          </cell>
          <cell r="N2169">
            <v>2571</v>
          </cell>
          <cell r="O2169">
            <v>11311</v>
          </cell>
          <cell r="P2169" t="str">
            <v>제8호표</v>
          </cell>
        </row>
        <row r="2170">
          <cell r="B2170" t="str">
            <v>아스팔트,투스콘 포장깨기대형브레이커+굴삭기(무한궤도) 0.2㎡</v>
          </cell>
          <cell r="D2170" t="str">
            <v>아스팔트,투스콘 포장깨기</v>
          </cell>
          <cell r="E2170" t="str">
            <v>대형브레이커+굴삭기(무한궤도) 0.2㎡</v>
          </cell>
          <cell r="F2170" t="str">
            <v>㎥</v>
          </cell>
          <cell r="G2170">
            <v>5.7599999999999998E-2</v>
          </cell>
          <cell r="H2170">
            <v>6190</v>
          </cell>
          <cell r="I2170">
            <v>356</v>
          </cell>
          <cell r="J2170">
            <v>18758</v>
          </cell>
          <cell r="K2170">
            <v>1080</v>
          </cell>
          <cell r="L2170">
            <v>11188</v>
          </cell>
          <cell r="M2170">
            <v>644</v>
          </cell>
          <cell r="N2170">
            <v>36136</v>
          </cell>
          <cell r="O2170">
            <v>2080</v>
          </cell>
          <cell r="P2170" t="str">
            <v>제10호표</v>
          </cell>
        </row>
        <row r="2171">
          <cell r="B2171" t="str">
            <v>보도용 투스콘포장적색 (180Kg/㎠)</v>
          </cell>
          <cell r="D2171" t="str">
            <v>보도용 투스콘포장</v>
          </cell>
          <cell r="E2171" t="str">
            <v>적색 (180Kg/㎠)</v>
          </cell>
          <cell r="F2171" t="str">
            <v>㎡</v>
          </cell>
          <cell r="G2171">
            <v>1.21</v>
          </cell>
          <cell r="H2171">
            <v>8387</v>
          </cell>
          <cell r="I2171">
            <v>10148</v>
          </cell>
          <cell r="J2171">
            <v>1999</v>
          </cell>
          <cell r="K2171">
            <v>2418</v>
          </cell>
          <cell r="L2171">
            <v>482</v>
          </cell>
          <cell r="M2171">
            <v>583</v>
          </cell>
          <cell r="N2171">
            <v>10868</v>
          </cell>
          <cell r="O2171">
            <v>13149</v>
          </cell>
          <cell r="P2171" t="str">
            <v>제16호표</v>
          </cell>
        </row>
        <row r="2172">
          <cell r="B2172" t="str">
            <v>보조기층 부설인력식 소규모 장비사용</v>
          </cell>
          <cell r="D2172" t="str">
            <v>보조기층 부설</v>
          </cell>
          <cell r="E2172" t="str">
            <v>인력식 소규모 장비사용</v>
          </cell>
          <cell r="F2172" t="str">
            <v>㎥</v>
          </cell>
          <cell r="G2172">
            <v>0.121</v>
          </cell>
          <cell r="J2172">
            <v>5394</v>
          </cell>
          <cell r="K2172">
            <v>652</v>
          </cell>
          <cell r="L2172">
            <v>1678</v>
          </cell>
          <cell r="M2172">
            <v>203</v>
          </cell>
          <cell r="N2172">
            <v>7072</v>
          </cell>
          <cell r="O2172">
            <v>855</v>
          </cell>
          <cell r="P2172" t="str">
            <v>제15호표</v>
          </cell>
        </row>
        <row r="2173">
          <cell r="D2173" t="str">
            <v>폐기물처리(투스콘)</v>
          </cell>
          <cell r="F2173" t="str">
            <v>㎥</v>
          </cell>
          <cell r="G2173">
            <v>5.7599999999999998E-2</v>
          </cell>
          <cell r="P2173" t="str">
            <v>별도처리</v>
          </cell>
        </row>
        <row r="2174">
          <cell r="D2174" t="str">
            <v>폐기물처리(콘크리트)</v>
          </cell>
          <cell r="F2174" t="str">
            <v>㎥</v>
          </cell>
          <cell r="G2174">
            <v>0.151</v>
          </cell>
          <cell r="P2174" t="str">
            <v>별도처리</v>
          </cell>
        </row>
        <row r="2175">
          <cell r="A2175">
            <v>177</v>
          </cell>
          <cell r="B2175">
            <v>3</v>
          </cell>
          <cell r="C2175" t="str">
            <v>제177호표</v>
          </cell>
          <cell r="D2175" t="str">
            <v>제어기 기초 철거 복구(보도블럭)</v>
          </cell>
          <cell r="E2175" t="str">
            <v>650 x 500 x 800</v>
          </cell>
          <cell r="F2175" t="str">
            <v>개소</v>
          </cell>
          <cell r="G2175">
            <v>1</v>
          </cell>
          <cell r="I2175">
            <v>5316</v>
          </cell>
          <cell r="K2175">
            <v>11392</v>
          </cell>
          <cell r="M2175">
            <v>2593</v>
          </cell>
          <cell r="O2175">
            <v>19301</v>
          </cell>
        </row>
        <row r="2177">
          <cell r="D2177" t="str">
            <v>제어기 기초 철거 복구(보도블럭)</v>
          </cell>
          <cell r="E2177" t="str">
            <v>650 x 500 x 800</v>
          </cell>
        </row>
        <row r="2179">
          <cell r="B2179" t="str">
            <v>터파기(경질토사)(기계70%+인력30%)</v>
          </cell>
          <cell r="D2179" t="str">
            <v>터파기(경질토사)</v>
          </cell>
          <cell r="E2179" t="str">
            <v>(기계70%+인력30%)</v>
          </cell>
          <cell r="F2179" t="str">
            <v>㎥</v>
          </cell>
          <cell r="G2179">
            <v>0.38900000000000001</v>
          </cell>
          <cell r="H2179">
            <v>290</v>
          </cell>
          <cell r="I2179">
            <v>112</v>
          </cell>
          <cell r="J2179">
            <v>6657</v>
          </cell>
          <cell r="K2179">
            <v>2589</v>
          </cell>
          <cell r="L2179">
            <v>298</v>
          </cell>
          <cell r="M2179">
            <v>115</v>
          </cell>
          <cell r="N2179">
            <v>7245</v>
          </cell>
          <cell r="O2179">
            <v>2816</v>
          </cell>
          <cell r="P2179" t="str">
            <v>제1호표</v>
          </cell>
        </row>
        <row r="2180">
          <cell r="B2180" t="str">
            <v>되메우기 및 다짐(토사)(기계90%+인력10%)</v>
          </cell>
          <cell r="D2180" t="str">
            <v>되메우기 및 다짐(토사)</v>
          </cell>
          <cell r="E2180" t="str">
            <v>(기계90%+인력10%)</v>
          </cell>
          <cell r="F2180" t="str">
            <v>㎥</v>
          </cell>
          <cell r="G2180">
            <v>0.63449999999999995</v>
          </cell>
          <cell r="H2180">
            <v>560</v>
          </cell>
          <cell r="I2180">
            <v>355</v>
          </cell>
          <cell r="J2180">
            <v>6083</v>
          </cell>
          <cell r="K2180">
            <v>3859</v>
          </cell>
          <cell r="L2180">
            <v>309</v>
          </cell>
          <cell r="M2180">
            <v>196</v>
          </cell>
          <cell r="N2180">
            <v>6952</v>
          </cell>
          <cell r="O2180">
            <v>4410</v>
          </cell>
          <cell r="P2180" t="str">
            <v>제4호표</v>
          </cell>
        </row>
        <row r="2181">
          <cell r="B2181" t="str">
            <v>모래세사,왕사(도착도)</v>
          </cell>
          <cell r="D2181" t="str">
            <v>모래</v>
          </cell>
          <cell r="E2181" t="str">
            <v>세사,왕사(도착도)</v>
          </cell>
          <cell r="F2181" t="str">
            <v>㎥</v>
          </cell>
          <cell r="G2181">
            <v>2.8000000000000001E-2</v>
          </cell>
          <cell r="H2181">
            <v>22000</v>
          </cell>
          <cell r="I2181">
            <v>616</v>
          </cell>
          <cell r="N2181">
            <v>22000</v>
          </cell>
          <cell r="O2181">
            <v>616</v>
          </cell>
        </row>
        <row r="2182">
          <cell r="B2182" t="str">
            <v>구조물 헐기대형브레이커+굴삭기(무한궤도) 0.7㎡</v>
          </cell>
          <cell r="D2182" t="str">
            <v>구조물 헐기</v>
          </cell>
          <cell r="E2182" t="str">
            <v>대형브레이커+굴삭기(무한궤도) 0.7㎡</v>
          </cell>
          <cell r="F2182" t="str">
            <v>㎥</v>
          </cell>
          <cell r="G2182">
            <v>0.26</v>
          </cell>
          <cell r="H2182">
            <v>5086</v>
          </cell>
          <cell r="I2182">
            <v>1322</v>
          </cell>
          <cell r="J2182">
            <v>7136</v>
          </cell>
          <cell r="K2182">
            <v>1855</v>
          </cell>
          <cell r="L2182">
            <v>6074</v>
          </cell>
          <cell r="M2182">
            <v>1579</v>
          </cell>
          <cell r="N2182">
            <v>18296</v>
          </cell>
          <cell r="O2182">
            <v>4756</v>
          </cell>
          <cell r="P2182" t="str">
            <v>제12호표</v>
          </cell>
        </row>
        <row r="2183">
          <cell r="B2183" t="str">
            <v>보도블럭 철거 및 복구소형고압블럭(20% 신설)</v>
          </cell>
          <cell r="D2183" t="str">
            <v>보도블럭 철거 및 복구</v>
          </cell>
          <cell r="E2183" t="str">
            <v>소형고압블럭(20% 신설)</v>
          </cell>
          <cell r="F2183" t="str">
            <v>㎡</v>
          </cell>
          <cell r="G2183">
            <v>0.6</v>
          </cell>
          <cell r="H2183">
            <v>1496.9802000000002</v>
          </cell>
          <cell r="I2183">
            <v>898</v>
          </cell>
          <cell r="J2183">
            <v>3784.2209999999995</v>
          </cell>
          <cell r="K2183">
            <v>2270</v>
          </cell>
          <cell r="L2183">
            <v>853.50599999999997</v>
          </cell>
          <cell r="M2183">
            <v>512</v>
          </cell>
          <cell r="N2183">
            <v>6134</v>
          </cell>
          <cell r="O2183">
            <v>3680</v>
          </cell>
          <cell r="P2183" t="str">
            <v>제19호표</v>
          </cell>
        </row>
        <row r="2184">
          <cell r="B2184" t="str">
            <v>보도블럭 설치소형고압블럭(신설)</v>
          </cell>
          <cell r="D2184" t="str">
            <v>보도블럭 설치</v>
          </cell>
          <cell r="E2184" t="str">
            <v>소형고압블럭(신설)</v>
          </cell>
          <cell r="F2184" t="str">
            <v>㎡</v>
          </cell>
          <cell r="G2184">
            <v>0.32500000000000001</v>
          </cell>
          <cell r="H2184">
            <v>6193.8810000000003</v>
          </cell>
          <cell r="I2184">
            <v>2013</v>
          </cell>
          <cell r="J2184">
            <v>2522.8139999999999</v>
          </cell>
          <cell r="K2184">
            <v>819</v>
          </cell>
          <cell r="L2184">
            <v>588.48599999999999</v>
          </cell>
          <cell r="M2184">
            <v>191</v>
          </cell>
          <cell r="N2184">
            <v>9305</v>
          </cell>
          <cell r="O2184">
            <v>3023</v>
          </cell>
          <cell r="P2184" t="str">
            <v>제21호표</v>
          </cell>
        </row>
        <row r="2185">
          <cell r="D2185" t="str">
            <v>폐기물처리(보도블럭)</v>
          </cell>
          <cell r="F2185" t="str">
            <v>㎥</v>
          </cell>
          <cell r="G2185">
            <v>8.8000000000000005E-3</v>
          </cell>
          <cell r="P2185" t="str">
            <v>별도처리</v>
          </cell>
        </row>
        <row r="2186">
          <cell r="D2186" t="str">
            <v>폐기물처리(콘크리트)</v>
          </cell>
          <cell r="F2186" t="str">
            <v>㎥</v>
          </cell>
          <cell r="G2186">
            <v>0.26</v>
          </cell>
          <cell r="P2186" t="str">
            <v>별도처리</v>
          </cell>
        </row>
        <row r="2188">
          <cell r="A2188">
            <v>178</v>
          </cell>
          <cell r="B2188">
            <v>3</v>
          </cell>
          <cell r="C2188" t="str">
            <v>제178호표</v>
          </cell>
          <cell r="D2188" t="str">
            <v>제어기 기초 철거 복구(투스콘)</v>
          </cell>
          <cell r="E2188" t="str">
            <v>650 x 500 x 800</v>
          </cell>
          <cell r="F2188" t="str">
            <v>개소</v>
          </cell>
          <cell r="G2188">
            <v>1</v>
          </cell>
          <cell r="I2188">
            <v>14650</v>
          </cell>
          <cell r="K2188">
            <v>38581</v>
          </cell>
          <cell r="M2188">
            <v>4041</v>
          </cell>
          <cell r="O2188">
            <v>57272</v>
          </cell>
        </row>
        <row r="2190">
          <cell r="D2190" t="str">
            <v>제어기 기초 철거 복구(투스콘)</v>
          </cell>
          <cell r="E2190" t="str">
            <v>650 x 500 x 800</v>
          </cell>
        </row>
        <row r="2192">
          <cell r="B2192" t="str">
            <v>터파기(경질토사)(기계70%+인력30%)</v>
          </cell>
          <cell r="D2192" t="str">
            <v>터파기(경질토사)</v>
          </cell>
          <cell r="E2192" t="str">
            <v>(기계70%+인력30%)</v>
          </cell>
          <cell r="F2192" t="str">
            <v>㎥</v>
          </cell>
          <cell r="G2192">
            <v>0.14599999999999999</v>
          </cell>
          <cell r="H2192">
            <v>290</v>
          </cell>
          <cell r="I2192">
            <v>42</v>
          </cell>
          <cell r="J2192">
            <v>6657</v>
          </cell>
          <cell r="K2192">
            <v>971</v>
          </cell>
          <cell r="L2192">
            <v>298</v>
          </cell>
          <cell r="M2192">
            <v>43</v>
          </cell>
          <cell r="N2192">
            <v>7245</v>
          </cell>
          <cell r="O2192">
            <v>1056</v>
          </cell>
          <cell r="P2192" t="str">
            <v>제1호표</v>
          </cell>
        </row>
        <row r="2193">
          <cell r="B2193" t="str">
            <v>되메우기 및 다짐(토사)(기계90%+인력10%)</v>
          </cell>
          <cell r="D2193" t="str">
            <v>되메우기 및 다짐(토사)</v>
          </cell>
          <cell r="E2193" t="str">
            <v>(기계90%+인력10%)</v>
          </cell>
          <cell r="F2193" t="str">
            <v>㎥</v>
          </cell>
          <cell r="G2193">
            <v>0.24399999999999999</v>
          </cell>
          <cell r="H2193">
            <v>560</v>
          </cell>
          <cell r="I2193">
            <v>136</v>
          </cell>
          <cell r="J2193">
            <v>6083</v>
          </cell>
          <cell r="K2193">
            <v>1484</v>
          </cell>
          <cell r="L2193">
            <v>309</v>
          </cell>
          <cell r="M2193">
            <v>75</v>
          </cell>
          <cell r="N2193">
            <v>6952</v>
          </cell>
          <cell r="O2193">
            <v>1695</v>
          </cell>
          <cell r="P2193" t="str">
            <v>제4호표</v>
          </cell>
        </row>
        <row r="2194">
          <cell r="B2194" t="str">
            <v>모래세사,왕사(도착도)</v>
          </cell>
          <cell r="D2194" t="str">
            <v>모래</v>
          </cell>
          <cell r="E2194" t="str">
            <v>세사,왕사(도착도)</v>
          </cell>
          <cell r="F2194" t="str">
            <v>㎥</v>
          </cell>
          <cell r="G2194">
            <v>2.8000000000000001E-2</v>
          </cell>
          <cell r="H2194">
            <v>22000</v>
          </cell>
          <cell r="I2194">
            <v>616</v>
          </cell>
          <cell r="N2194">
            <v>22000</v>
          </cell>
          <cell r="O2194">
            <v>616</v>
          </cell>
        </row>
        <row r="2195">
          <cell r="B2195" t="str">
            <v>구조물 헐기대형브레이커+굴삭기(무한궤도) 0.7㎡</v>
          </cell>
          <cell r="D2195" t="str">
            <v>구조물 헐기</v>
          </cell>
          <cell r="E2195" t="str">
            <v>대형브레이커+굴삭기(무한궤도) 0.7㎡</v>
          </cell>
          <cell r="F2195" t="str">
            <v>㎥</v>
          </cell>
          <cell r="G2195">
            <v>0.26</v>
          </cell>
          <cell r="H2195">
            <v>5086</v>
          </cell>
          <cell r="I2195">
            <v>1322</v>
          </cell>
          <cell r="J2195">
            <v>7136</v>
          </cell>
          <cell r="K2195">
            <v>1855</v>
          </cell>
          <cell r="L2195">
            <v>6074</v>
          </cell>
          <cell r="M2195">
            <v>1579</v>
          </cell>
          <cell r="N2195">
            <v>18296</v>
          </cell>
          <cell r="O2195">
            <v>4756</v>
          </cell>
          <cell r="P2195" t="str">
            <v>제12호표</v>
          </cell>
        </row>
        <row r="2196">
          <cell r="B2196" t="str">
            <v>아스팔트,투스콘 포장절단블레이드(D = 320~400, T = 3.2mm)</v>
          </cell>
          <cell r="D2196" t="str">
            <v>아스팔트,투스콘 포장절단</v>
          </cell>
          <cell r="E2196" t="str">
            <v>블레이드(D = 320~400, T = 3.2mm)</v>
          </cell>
          <cell r="F2196" t="str">
            <v>m</v>
          </cell>
          <cell r="G2196">
            <v>3.74</v>
          </cell>
          <cell r="H2196">
            <v>750.15428571428572</v>
          </cell>
          <cell r="I2196">
            <v>2805</v>
          </cell>
          <cell r="J2196">
            <v>1608.8371428571429</v>
          </cell>
          <cell r="K2196">
            <v>6017</v>
          </cell>
          <cell r="L2196">
            <v>212.18285714285713</v>
          </cell>
          <cell r="M2196">
            <v>793</v>
          </cell>
          <cell r="N2196">
            <v>2571</v>
          </cell>
          <cell r="O2196">
            <v>9615</v>
          </cell>
          <cell r="P2196" t="str">
            <v>제8호표</v>
          </cell>
        </row>
        <row r="2197">
          <cell r="B2197" t="str">
            <v>아스팔트,투스콘 포장깨기대형브레이커+굴삭기(무한궤도) 0.2㎡</v>
          </cell>
          <cell r="D2197" t="str">
            <v>아스팔트,투스콘 포장깨기</v>
          </cell>
          <cell r="E2197" t="str">
            <v>대형브레이커+굴삭기(무한궤도) 0.2㎡</v>
          </cell>
          <cell r="F2197" t="str">
            <v>㎥</v>
          </cell>
          <cell r="G2197">
            <v>8.5999999999999993E-2</v>
          </cell>
          <cell r="H2197">
            <v>6190</v>
          </cell>
          <cell r="I2197">
            <v>532</v>
          </cell>
          <cell r="J2197">
            <v>18758</v>
          </cell>
          <cell r="K2197">
            <v>1613</v>
          </cell>
          <cell r="L2197">
            <v>11188</v>
          </cell>
          <cell r="M2197">
            <v>962</v>
          </cell>
          <cell r="N2197">
            <v>36136</v>
          </cell>
          <cell r="O2197">
            <v>3107</v>
          </cell>
          <cell r="P2197" t="str">
            <v>제10호표</v>
          </cell>
        </row>
        <row r="2198">
          <cell r="B2198" t="str">
            <v>보조기층 부설인력식 소규모 장비사용</v>
          </cell>
          <cell r="D2198" t="str">
            <v>보조기층 부설</v>
          </cell>
          <cell r="E2198" t="str">
            <v>인력식 소규모 장비사용</v>
          </cell>
          <cell r="F2198" t="str">
            <v>㎥</v>
          </cell>
          <cell r="G2198">
            <v>0.10199999999999999</v>
          </cell>
          <cell r="H2198">
            <v>18810</v>
          </cell>
          <cell r="I2198">
            <v>1918</v>
          </cell>
          <cell r="J2198">
            <v>5394</v>
          </cell>
          <cell r="K2198">
            <v>550</v>
          </cell>
          <cell r="L2198">
            <v>1678</v>
          </cell>
          <cell r="M2198">
            <v>171</v>
          </cell>
          <cell r="N2198">
            <v>25882</v>
          </cell>
          <cell r="O2198">
            <v>2639</v>
          </cell>
          <cell r="P2198" t="str">
            <v>제15호표</v>
          </cell>
        </row>
        <row r="2199">
          <cell r="B2199" t="str">
            <v>보도용 투스콘포장적색 (180Kg/㎠)</v>
          </cell>
          <cell r="D2199" t="str">
            <v>보도용 투스콘포장</v>
          </cell>
          <cell r="E2199" t="str">
            <v>적색 (180Kg/㎠)</v>
          </cell>
          <cell r="F2199" t="str">
            <v>㎡</v>
          </cell>
          <cell r="G2199">
            <v>0.86799999999999999</v>
          </cell>
          <cell r="H2199">
            <v>8387</v>
          </cell>
          <cell r="I2199">
            <v>7279</v>
          </cell>
          <cell r="J2199">
            <v>1999</v>
          </cell>
          <cell r="K2199">
            <v>1735</v>
          </cell>
          <cell r="L2199">
            <v>482</v>
          </cell>
          <cell r="M2199">
            <v>418</v>
          </cell>
          <cell r="N2199">
            <v>10868</v>
          </cell>
          <cell r="O2199">
            <v>9432</v>
          </cell>
          <cell r="P2199" t="str">
            <v>제16호표</v>
          </cell>
        </row>
        <row r="2200">
          <cell r="B2200" t="str">
            <v>접지봉설치(3본) 철거CU 18Ø x 2400L</v>
          </cell>
          <cell r="D2200" t="str">
            <v>접지봉설치(3본) 철거</v>
          </cell>
          <cell r="E2200" t="str">
            <v>CU 18Ø x 2400L</v>
          </cell>
          <cell r="F2200" t="str">
            <v>개소</v>
          </cell>
          <cell r="G2200">
            <v>1</v>
          </cell>
          <cell r="H2200">
            <v>0</v>
          </cell>
          <cell r="I2200">
            <v>0</v>
          </cell>
          <cell r="J2200">
            <v>24356</v>
          </cell>
          <cell r="K2200">
            <v>24356</v>
          </cell>
          <cell r="L2200">
            <v>0</v>
          </cell>
          <cell r="M2200">
            <v>0</v>
          </cell>
          <cell r="N2200">
            <v>24356</v>
          </cell>
          <cell r="O2200">
            <v>24356</v>
          </cell>
          <cell r="P2200" t="str">
            <v>제170호표</v>
          </cell>
        </row>
        <row r="2201">
          <cell r="D2201" t="str">
            <v>폐기물처리(투스콘)</v>
          </cell>
          <cell r="F2201" t="str">
            <v>㎥</v>
          </cell>
          <cell r="G2201">
            <v>8.5999999999999993E-2</v>
          </cell>
          <cell r="P2201" t="str">
            <v>별도처리</v>
          </cell>
        </row>
        <row r="2202">
          <cell r="D2202" t="str">
            <v>폐기물처리(콘크리트)</v>
          </cell>
          <cell r="F2202" t="str">
            <v>㎥</v>
          </cell>
          <cell r="G2202">
            <v>0.26</v>
          </cell>
          <cell r="P2202" t="str">
            <v>별도처리</v>
          </cell>
        </row>
        <row r="2204">
          <cell r="A2204">
            <v>179</v>
          </cell>
          <cell r="B2204">
            <v>3</v>
          </cell>
          <cell r="C2204" t="str">
            <v>제179호표</v>
          </cell>
          <cell r="D2204" t="str">
            <v>기존 핸드홀 철거 복구(보도블럭)</v>
          </cell>
          <cell r="E2204" t="str">
            <v>800x800x800 이하</v>
          </cell>
          <cell r="F2204" t="str">
            <v>개소</v>
          </cell>
          <cell r="G2204">
            <v>1</v>
          </cell>
          <cell r="I2204">
            <v>5410</v>
          </cell>
          <cell r="K2204">
            <v>10628</v>
          </cell>
          <cell r="M2204">
            <v>2372</v>
          </cell>
          <cell r="O2204">
            <v>18410</v>
          </cell>
        </row>
        <row r="2206">
          <cell r="D2206" t="str">
            <v>기존 핸드홀 철거 복구(보도블럭)</v>
          </cell>
          <cell r="E2206" t="str">
            <v>800x800x800 이하</v>
          </cell>
        </row>
        <row r="2208">
          <cell r="B2208" t="str">
            <v>터파기(경질토사)(기계70%+인력30%)</v>
          </cell>
          <cell r="D2208" t="str">
            <v>터파기(경질토사)</v>
          </cell>
          <cell r="E2208" t="str">
            <v>(기계70%+인력30%)</v>
          </cell>
          <cell r="F2208" t="str">
            <v>㎥</v>
          </cell>
          <cell r="G2208">
            <v>0.33700000000000002</v>
          </cell>
          <cell r="H2208">
            <v>290</v>
          </cell>
          <cell r="I2208">
            <v>97</v>
          </cell>
          <cell r="J2208">
            <v>6657</v>
          </cell>
          <cell r="K2208">
            <v>2243</v>
          </cell>
          <cell r="L2208">
            <v>298</v>
          </cell>
          <cell r="M2208">
            <v>100</v>
          </cell>
          <cell r="N2208">
            <v>7245</v>
          </cell>
          <cell r="O2208">
            <v>2440</v>
          </cell>
          <cell r="P2208" t="str">
            <v>제1호표</v>
          </cell>
        </row>
        <row r="2209">
          <cell r="B2209" t="str">
            <v>되메우기 및 다짐(토사)(기계90%+인력10%)</v>
          </cell>
          <cell r="D2209" t="str">
            <v>되메우기 및 다짐(토사)</v>
          </cell>
          <cell r="E2209" t="str">
            <v>(기계90%+인력10%)</v>
          </cell>
          <cell r="F2209" t="str">
            <v>㎥</v>
          </cell>
          <cell r="G2209">
            <v>0.55300000000000005</v>
          </cell>
          <cell r="H2209">
            <v>560</v>
          </cell>
          <cell r="I2209">
            <v>309</v>
          </cell>
          <cell r="J2209">
            <v>6083</v>
          </cell>
          <cell r="K2209">
            <v>3363</v>
          </cell>
          <cell r="L2209">
            <v>309</v>
          </cell>
          <cell r="M2209">
            <v>170</v>
          </cell>
          <cell r="N2209">
            <v>6952</v>
          </cell>
          <cell r="O2209">
            <v>3842</v>
          </cell>
          <cell r="P2209" t="str">
            <v>제4호표</v>
          </cell>
        </row>
        <row r="2210">
          <cell r="B2210" t="str">
            <v>모래세사,왕사(도착도)</v>
          </cell>
          <cell r="D2210" t="str">
            <v>모래</v>
          </cell>
          <cell r="E2210" t="str">
            <v>세사,왕사(도착도)</v>
          </cell>
          <cell r="F2210" t="str">
            <v>㎥</v>
          </cell>
          <cell r="G2210">
            <v>0.03</v>
          </cell>
          <cell r="H2210">
            <v>22000</v>
          </cell>
          <cell r="I2210">
            <v>660</v>
          </cell>
          <cell r="N2210">
            <v>22000</v>
          </cell>
          <cell r="O2210">
            <v>660</v>
          </cell>
        </row>
        <row r="2211">
          <cell r="B2211" t="str">
            <v>구조물 헐기대형브레이커+굴삭기(무한궤도) 0.7㎡</v>
          </cell>
          <cell r="D2211" t="str">
            <v>구조물 헐기</v>
          </cell>
          <cell r="E2211" t="str">
            <v>대형브레이커+굴삭기(무한궤도) 0.7㎡</v>
          </cell>
          <cell r="F2211" t="str">
            <v>㎥</v>
          </cell>
          <cell r="G2211">
            <v>0.216</v>
          </cell>
          <cell r="H2211">
            <v>5086</v>
          </cell>
          <cell r="I2211">
            <v>1098</v>
          </cell>
          <cell r="J2211">
            <v>7136</v>
          </cell>
          <cell r="K2211">
            <v>1541</v>
          </cell>
          <cell r="L2211">
            <v>6074</v>
          </cell>
          <cell r="M2211">
            <v>1311</v>
          </cell>
          <cell r="N2211">
            <v>18296</v>
          </cell>
          <cell r="O2211">
            <v>3950</v>
          </cell>
          <cell r="P2211" t="str">
            <v>제12호표</v>
          </cell>
        </row>
        <row r="2212">
          <cell r="B2212" t="str">
            <v>보도블럭 철거 및 복구소형고압블럭(20% 신설)</v>
          </cell>
          <cell r="D2212" t="str">
            <v>보도블럭 철거 및 복구</v>
          </cell>
          <cell r="E2212" t="str">
            <v>소형고압블럭(20% 신설)</v>
          </cell>
          <cell r="F2212" t="str">
            <v>㎡</v>
          </cell>
          <cell r="G2212">
            <v>0.68</v>
          </cell>
          <cell r="H2212">
            <v>1496.9802000000002</v>
          </cell>
          <cell r="I2212">
            <v>1017</v>
          </cell>
          <cell r="J2212">
            <v>3784.2209999999995</v>
          </cell>
          <cell r="K2212">
            <v>2573</v>
          </cell>
          <cell r="L2212">
            <v>853.50599999999997</v>
          </cell>
          <cell r="M2212">
            <v>580</v>
          </cell>
          <cell r="N2212">
            <v>6134</v>
          </cell>
          <cell r="O2212">
            <v>4170</v>
          </cell>
          <cell r="P2212" t="str">
            <v>제19호표</v>
          </cell>
        </row>
        <row r="2213">
          <cell r="B2213" t="str">
            <v>보도블럭 설치소형고압블럭(신설)</v>
          </cell>
          <cell r="D2213" t="str">
            <v>보도블럭 설치</v>
          </cell>
          <cell r="E2213" t="str">
            <v>소형고압블럭(신설)</v>
          </cell>
          <cell r="F2213" t="str">
            <v>㎡</v>
          </cell>
          <cell r="G2213">
            <v>0.36</v>
          </cell>
          <cell r="H2213">
            <v>6193.8810000000003</v>
          </cell>
          <cell r="I2213">
            <v>2229</v>
          </cell>
          <cell r="J2213">
            <v>2522.8139999999999</v>
          </cell>
          <cell r="K2213">
            <v>908</v>
          </cell>
          <cell r="L2213">
            <v>588.48599999999999</v>
          </cell>
          <cell r="M2213">
            <v>211</v>
          </cell>
          <cell r="N2213">
            <v>9305</v>
          </cell>
          <cell r="O2213">
            <v>3348</v>
          </cell>
          <cell r="P2213" t="str">
            <v>제21호표</v>
          </cell>
        </row>
        <row r="2214">
          <cell r="D2214" t="str">
            <v>폐기물처리(보도블럭)</v>
          </cell>
          <cell r="F2214" t="str">
            <v>㎥</v>
          </cell>
          <cell r="G2214">
            <v>9.4999999999999998E-3</v>
          </cell>
          <cell r="P2214" t="str">
            <v>별도처리</v>
          </cell>
        </row>
        <row r="2215">
          <cell r="D2215" t="str">
            <v>폐기물처리(콘크리트)</v>
          </cell>
          <cell r="F2215" t="str">
            <v>㎥</v>
          </cell>
          <cell r="G2215">
            <v>0.216</v>
          </cell>
          <cell r="P2215" t="str">
            <v>별도처리</v>
          </cell>
        </row>
        <row r="2217">
          <cell r="A2217">
            <v>180</v>
          </cell>
          <cell r="B2217">
            <v>3</v>
          </cell>
          <cell r="C2217" t="str">
            <v>제180호표</v>
          </cell>
          <cell r="D2217" t="str">
            <v>기존 핸드홀 철거 복구(투스콘)</v>
          </cell>
          <cell r="E2217" t="str">
            <v>800x800x800 이하</v>
          </cell>
          <cell r="F2217" t="str">
            <v>개소</v>
          </cell>
          <cell r="G2217">
            <v>1</v>
          </cell>
          <cell r="I2217">
            <v>16149</v>
          </cell>
          <cell r="K2217">
            <v>17099</v>
          </cell>
          <cell r="M2217">
            <v>3568</v>
          </cell>
          <cell r="O2217">
            <v>36816</v>
          </cell>
        </row>
        <row r="2219">
          <cell r="D2219" t="str">
            <v>기존 핸드홀 철거 복구(투스콘)</v>
          </cell>
          <cell r="E2219" t="str">
            <v>800x800x800 이하</v>
          </cell>
        </row>
        <row r="2221">
          <cell r="B2221" t="str">
            <v>터파기(경질토사)(기계70%+인력30%)</v>
          </cell>
          <cell r="D2221" t="str">
            <v>터파기(경질토사)</v>
          </cell>
          <cell r="E2221" t="str">
            <v>(기계70%+인력30%)</v>
          </cell>
          <cell r="F2221" t="str">
            <v>㎥</v>
          </cell>
          <cell r="G2221">
            <v>0.33700000000000002</v>
          </cell>
          <cell r="H2221">
            <v>290</v>
          </cell>
          <cell r="I2221">
            <v>97</v>
          </cell>
          <cell r="J2221">
            <v>6657</v>
          </cell>
          <cell r="K2221">
            <v>2243</v>
          </cell>
          <cell r="L2221">
            <v>298</v>
          </cell>
          <cell r="M2221">
            <v>100</v>
          </cell>
          <cell r="N2221">
            <v>7245</v>
          </cell>
          <cell r="O2221">
            <v>2440</v>
          </cell>
          <cell r="P2221" t="str">
            <v>제1호표</v>
          </cell>
        </row>
        <row r="2222">
          <cell r="B2222" t="str">
            <v>되메우기 및 다짐(토사)(기계90%+인력10%)</v>
          </cell>
          <cell r="D2222" t="str">
            <v>되메우기 및 다짐(토사)</v>
          </cell>
          <cell r="E2222" t="str">
            <v>(기계90%+인력10%)</v>
          </cell>
          <cell r="F2222" t="str">
            <v>㎥</v>
          </cell>
          <cell r="G2222">
            <v>0.55300000000000005</v>
          </cell>
          <cell r="H2222">
            <v>560</v>
          </cell>
          <cell r="I2222">
            <v>309</v>
          </cell>
          <cell r="J2222">
            <v>6083</v>
          </cell>
          <cell r="K2222">
            <v>3363</v>
          </cell>
          <cell r="L2222">
            <v>309</v>
          </cell>
          <cell r="M2222">
            <v>170</v>
          </cell>
          <cell r="N2222">
            <v>6952</v>
          </cell>
          <cell r="O2222">
            <v>3842</v>
          </cell>
          <cell r="P2222" t="str">
            <v>제4호표</v>
          </cell>
        </row>
        <row r="2223">
          <cell r="B2223" t="str">
            <v>모래세사,왕사(도착도)</v>
          </cell>
          <cell r="D2223" t="str">
            <v>모래</v>
          </cell>
          <cell r="E2223" t="str">
            <v>세사,왕사(도착도)</v>
          </cell>
          <cell r="F2223" t="str">
            <v>㎥</v>
          </cell>
          <cell r="G2223">
            <v>0.03</v>
          </cell>
          <cell r="H2223">
            <v>22000</v>
          </cell>
          <cell r="I2223">
            <v>660</v>
          </cell>
          <cell r="N2223">
            <v>22000</v>
          </cell>
          <cell r="O2223">
            <v>660</v>
          </cell>
        </row>
        <row r="2224">
          <cell r="B2224" t="str">
            <v>구조물 헐기대형브레이커+굴삭기(무한궤도) 0.7㎡</v>
          </cell>
          <cell r="D2224" t="str">
            <v>구조물 헐기</v>
          </cell>
          <cell r="E2224" t="str">
            <v>대형브레이커+굴삭기(무한궤도) 0.7㎡</v>
          </cell>
          <cell r="F2224" t="str">
            <v>㎥</v>
          </cell>
          <cell r="G2224">
            <v>0.216</v>
          </cell>
          <cell r="H2224">
            <v>5086</v>
          </cell>
          <cell r="I2224">
            <v>1098</v>
          </cell>
          <cell r="J2224">
            <v>7136</v>
          </cell>
          <cell r="K2224">
            <v>1541</v>
          </cell>
          <cell r="L2224">
            <v>6074</v>
          </cell>
          <cell r="M2224">
            <v>1311</v>
          </cell>
          <cell r="N2224">
            <v>18296</v>
          </cell>
          <cell r="O2224">
            <v>3950</v>
          </cell>
          <cell r="P2224" t="str">
            <v>제12호표</v>
          </cell>
        </row>
        <row r="2225">
          <cell r="B2225" t="str">
            <v>아스팔트,투스콘 포장절단블레이드(D = 320~400, T = 3.2mm)</v>
          </cell>
          <cell r="D2225" t="str">
            <v>아스팔트,투스콘 포장절단</v>
          </cell>
          <cell r="E2225" t="str">
            <v>블레이드(D = 320~400, T = 3.2mm)</v>
          </cell>
          <cell r="F2225" t="str">
            <v>m</v>
          </cell>
          <cell r="G2225">
            <v>4.08</v>
          </cell>
          <cell r="H2225">
            <v>750.15428571428572</v>
          </cell>
          <cell r="I2225">
            <v>3060</v>
          </cell>
          <cell r="J2225">
            <v>1608.8371428571429</v>
          </cell>
          <cell r="K2225">
            <v>6564</v>
          </cell>
          <cell r="L2225">
            <v>212.18285714285713</v>
          </cell>
          <cell r="M2225">
            <v>865</v>
          </cell>
          <cell r="N2225">
            <v>2571</v>
          </cell>
          <cell r="O2225">
            <v>10489</v>
          </cell>
          <cell r="P2225" t="str">
            <v>제8호표</v>
          </cell>
        </row>
        <row r="2226">
          <cell r="B2226" t="str">
            <v>아스팔트,투스콘 포장깨기대형브레이커+굴삭기(무한궤도) 0.2㎡</v>
          </cell>
          <cell r="D2226" t="str">
            <v>아스팔트,투스콘 포장깨기</v>
          </cell>
          <cell r="E2226" t="str">
            <v>대형브레이커+굴삭기(무한궤도) 0.2㎡</v>
          </cell>
          <cell r="F2226" t="str">
            <v>㎥</v>
          </cell>
          <cell r="G2226">
            <v>0.04</v>
          </cell>
          <cell r="H2226">
            <v>6190</v>
          </cell>
          <cell r="I2226">
            <v>247</v>
          </cell>
          <cell r="J2226">
            <v>18758</v>
          </cell>
          <cell r="K2226">
            <v>750</v>
          </cell>
          <cell r="L2226">
            <v>11188</v>
          </cell>
          <cell r="M2226">
            <v>447</v>
          </cell>
          <cell r="N2226">
            <v>36136</v>
          </cell>
          <cell r="O2226">
            <v>1444</v>
          </cell>
          <cell r="P2226" t="str">
            <v>제10호표</v>
          </cell>
        </row>
        <row r="2227">
          <cell r="B2227" t="str">
            <v>보조기층 부설인력식 소규모 장비사용</v>
          </cell>
          <cell r="D2227" t="str">
            <v>보조기층 부설</v>
          </cell>
          <cell r="E2227" t="str">
            <v>인력식 소규모 장비사용</v>
          </cell>
          <cell r="F2227" t="str">
            <v>㎥</v>
          </cell>
          <cell r="G2227">
            <v>0.104</v>
          </cell>
          <cell r="H2227">
            <v>18810</v>
          </cell>
          <cell r="I2227">
            <v>1956</v>
          </cell>
          <cell r="J2227">
            <v>5394</v>
          </cell>
          <cell r="K2227">
            <v>560</v>
          </cell>
          <cell r="L2227">
            <v>1678</v>
          </cell>
          <cell r="M2227">
            <v>174</v>
          </cell>
          <cell r="N2227">
            <v>25882</v>
          </cell>
          <cell r="O2227">
            <v>2690</v>
          </cell>
          <cell r="P2227" t="str">
            <v>제15호표</v>
          </cell>
        </row>
        <row r="2228">
          <cell r="B2228" t="str">
            <v>보도용 투스콘포장적색 (180Kg/㎠)</v>
          </cell>
          <cell r="D2228" t="str">
            <v>보도용 투스콘포장</v>
          </cell>
          <cell r="E2228" t="str">
            <v>적색 (180Kg/㎠)</v>
          </cell>
          <cell r="F2228" t="str">
            <v>㎡</v>
          </cell>
          <cell r="G2228">
            <v>1.04</v>
          </cell>
          <cell r="H2228">
            <v>8387</v>
          </cell>
          <cell r="I2228">
            <v>8722</v>
          </cell>
          <cell r="J2228">
            <v>1999</v>
          </cell>
          <cell r="K2228">
            <v>2078</v>
          </cell>
          <cell r="L2228">
            <v>482</v>
          </cell>
          <cell r="M2228">
            <v>501</v>
          </cell>
          <cell r="N2228">
            <v>10868</v>
          </cell>
          <cell r="O2228">
            <v>11301</v>
          </cell>
          <cell r="P2228" t="str">
            <v>제16호표</v>
          </cell>
        </row>
        <row r="2229">
          <cell r="D2229" t="str">
            <v>폐기물처리(투스콘)</v>
          </cell>
          <cell r="F2229" t="str">
            <v>㎥</v>
          </cell>
          <cell r="G2229">
            <v>0.04</v>
          </cell>
          <cell r="P2229" t="str">
            <v>별도처리</v>
          </cell>
        </row>
        <row r="2230">
          <cell r="D2230" t="str">
            <v>폐기물처리(콘크리트)</v>
          </cell>
          <cell r="F2230" t="str">
            <v>㎥</v>
          </cell>
          <cell r="G2230">
            <v>0.216</v>
          </cell>
          <cell r="P2230" t="str">
            <v>별도처리</v>
          </cell>
        </row>
        <row r="2232">
          <cell r="A2232">
            <v>181</v>
          </cell>
          <cell r="B2232">
            <v>3</v>
          </cell>
          <cell r="C2232" t="str">
            <v>제181호표</v>
          </cell>
          <cell r="D2232" t="str">
            <v>횡단보도 조명기구 철거</v>
          </cell>
          <cell r="E2232" t="str">
            <v>MH 250W</v>
          </cell>
          <cell r="F2232" t="str">
            <v>EA</v>
          </cell>
          <cell r="G2232">
            <v>1</v>
          </cell>
          <cell r="I2232">
            <v>0</v>
          </cell>
          <cell r="K2232">
            <v>80252</v>
          </cell>
          <cell r="M2232">
            <v>2407</v>
          </cell>
          <cell r="O2232">
            <v>82659</v>
          </cell>
          <cell r="P2232" t="str">
            <v>전5-26</v>
          </cell>
        </row>
        <row r="2234">
          <cell r="B2234" t="str">
            <v>횡단보도 조명기구 철거MH 250W</v>
          </cell>
          <cell r="D2234" t="str">
            <v>횡단보도 조명기구 철거</v>
          </cell>
          <cell r="E2234" t="str">
            <v>MH 250W</v>
          </cell>
          <cell r="F2234" t="str">
            <v>EA</v>
          </cell>
          <cell r="G2234">
            <v>1</v>
          </cell>
        </row>
        <row r="2236">
          <cell r="C2236" t="str">
            <v>노무비</v>
          </cell>
          <cell r="D2236" t="str">
            <v>내선전공</v>
          </cell>
          <cell r="E2236" t="str">
            <v>(1.5*0.3)*1.2*1.1</v>
          </cell>
          <cell r="F2236" t="str">
            <v>인</v>
          </cell>
          <cell r="G2236">
            <v>0.59399999999999997</v>
          </cell>
          <cell r="J2236">
            <v>135106</v>
          </cell>
          <cell r="K2236">
            <v>80252</v>
          </cell>
          <cell r="M2236">
            <v>0</v>
          </cell>
          <cell r="N2236">
            <v>135106</v>
          </cell>
          <cell r="O2236">
            <v>80252</v>
          </cell>
        </row>
        <row r="2237">
          <cell r="D2237" t="str">
            <v>공구손료</v>
          </cell>
          <cell r="E2237" t="str">
            <v>노무비의</v>
          </cell>
          <cell r="F2237" t="str">
            <v>%</v>
          </cell>
          <cell r="G2237">
            <v>3</v>
          </cell>
          <cell r="L2237">
            <v>80252</v>
          </cell>
          <cell r="M2237">
            <v>2407</v>
          </cell>
          <cell r="N2237">
            <v>80252</v>
          </cell>
          <cell r="O2237">
            <v>2407</v>
          </cell>
        </row>
        <row r="2239">
          <cell r="A2239">
            <v>182</v>
          </cell>
          <cell r="B2239">
            <v>3</v>
          </cell>
          <cell r="C2239" t="str">
            <v>제182호표</v>
          </cell>
          <cell r="D2239" t="str">
            <v>LED 옥외 전광판 철거</v>
          </cell>
          <cell r="E2239">
            <v>0</v>
          </cell>
          <cell r="F2239" t="str">
            <v>개소</v>
          </cell>
          <cell r="G2239">
            <v>1</v>
          </cell>
          <cell r="I2239">
            <v>0</v>
          </cell>
          <cell r="K2239">
            <v>96265</v>
          </cell>
          <cell r="M2239">
            <v>2887</v>
          </cell>
          <cell r="O2239">
            <v>99152</v>
          </cell>
          <cell r="P2239" t="str">
            <v>전5-55</v>
          </cell>
        </row>
        <row r="2241">
          <cell r="D2241" t="str">
            <v>LED 옥외 전광판 철거</v>
          </cell>
        </row>
        <row r="2243">
          <cell r="B2243" t="str">
            <v>LED 옥외 전광판 철거</v>
          </cell>
          <cell r="C2243" t="str">
            <v>재료비</v>
          </cell>
          <cell r="D2243" t="str">
            <v>LED 옥외 전광판 철거</v>
          </cell>
          <cell r="F2243" t="str">
            <v>개소</v>
          </cell>
          <cell r="G2243">
            <v>1</v>
          </cell>
          <cell r="I2243">
            <v>0</v>
          </cell>
          <cell r="N2243">
            <v>0</v>
          </cell>
          <cell r="O2243">
            <v>0</v>
          </cell>
          <cell r="P2243" t="str">
            <v>관급자재</v>
          </cell>
        </row>
        <row r="2244">
          <cell r="C2244" t="str">
            <v>노무비</v>
          </cell>
          <cell r="D2244" t="str">
            <v>내선전공</v>
          </cell>
          <cell r="E2244" t="str">
            <v>1.02*(2.52*0.42)*0.5*1.2*1.1</v>
          </cell>
          <cell r="F2244" t="str">
            <v>인</v>
          </cell>
          <cell r="G2244">
            <v>0.71251488000000007</v>
          </cell>
          <cell r="J2244">
            <v>135106</v>
          </cell>
          <cell r="K2244">
            <v>96265</v>
          </cell>
          <cell r="M2244">
            <v>0</v>
          </cell>
          <cell r="N2244">
            <v>135106</v>
          </cell>
          <cell r="O2244">
            <v>96265</v>
          </cell>
        </row>
        <row r="2245">
          <cell r="D2245" t="str">
            <v>공구손료</v>
          </cell>
          <cell r="E2245" t="str">
            <v>노무비의</v>
          </cell>
          <cell r="F2245" t="str">
            <v>%</v>
          </cell>
          <cell r="G2245">
            <v>3</v>
          </cell>
          <cell r="L2245">
            <v>96265</v>
          </cell>
          <cell r="M2245">
            <v>2887</v>
          </cell>
          <cell r="N2245">
            <v>96265</v>
          </cell>
          <cell r="O2245">
            <v>2887</v>
          </cell>
        </row>
        <row r="2247">
          <cell r="A2247">
            <v>183</v>
          </cell>
          <cell r="B2247">
            <v>3</v>
          </cell>
          <cell r="C2247" t="str">
            <v>제183호표</v>
          </cell>
          <cell r="D2247" t="str">
            <v>조가선 철거</v>
          </cell>
          <cell r="E2247" t="str">
            <v>용융도금6MM</v>
          </cell>
          <cell r="F2247" t="str">
            <v>M</v>
          </cell>
          <cell r="G2247">
            <v>1</v>
          </cell>
          <cell r="I2247">
            <v>-137.20000000000002</v>
          </cell>
          <cell r="K2247">
            <v>833</v>
          </cell>
          <cell r="M2247">
            <v>24</v>
          </cell>
          <cell r="O2247">
            <v>719</v>
          </cell>
          <cell r="P2247" t="str">
            <v>전4-28</v>
          </cell>
        </row>
        <row r="2249">
          <cell r="D2249" t="str">
            <v>조가선 철거</v>
          </cell>
          <cell r="E2249" t="str">
            <v>용융도금6MM</v>
          </cell>
        </row>
        <row r="2250">
          <cell r="B2250" t="str">
            <v>조가선용융도금6MM</v>
          </cell>
          <cell r="C2250" t="str">
            <v>재료비</v>
          </cell>
          <cell r="D2250" t="str">
            <v>조가선</v>
          </cell>
          <cell r="E2250" t="str">
            <v>용융도금6MM</v>
          </cell>
          <cell r="F2250" t="str">
            <v>M</v>
          </cell>
          <cell r="G2250">
            <v>1</v>
          </cell>
          <cell r="I2250">
            <v>0</v>
          </cell>
          <cell r="J2250">
            <v>0</v>
          </cell>
          <cell r="L2250">
            <v>0</v>
          </cell>
          <cell r="N2250">
            <v>0</v>
          </cell>
          <cell r="O2250">
            <v>0</v>
          </cell>
        </row>
        <row r="2251">
          <cell r="B2251" t="str">
            <v>철SCRAP중량A</v>
          </cell>
          <cell r="C2251" t="str">
            <v>고재비</v>
          </cell>
          <cell r="D2251" t="str">
            <v>철SCRAP</v>
          </cell>
          <cell r="E2251" t="str">
            <v>중량A</v>
          </cell>
          <cell r="F2251" t="str">
            <v>Kg</v>
          </cell>
          <cell r="G2251">
            <v>0.39200000000000002</v>
          </cell>
          <cell r="H2251">
            <v>350</v>
          </cell>
          <cell r="I2251">
            <v>-137.20000000000002</v>
          </cell>
          <cell r="N2251">
            <v>350</v>
          </cell>
          <cell r="O2251">
            <v>-138</v>
          </cell>
          <cell r="P2251" t="str">
            <v>0.392*1</v>
          </cell>
        </row>
        <row r="2252">
          <cell r="C2252" t="str">
            <v>노무비</v>
          </cell>
          <cell r="D2252" t="str">
            <v>저압케이블공</v>
          </cell>
          <cell r="E2252" t="str">
            <v>0.00483*0.6*1.1*1.2</v>
          </cell>
          <cell r="F2252" t="str">
            <v>인</v>
          </cell>
          <cell r="G2252">
            <v>3.8253599999999999E-3</v>
          </cell>
          <cell r="J2252">
            <v>163808</v>
          </cell>
          <cell r="K2252">
            <v>626</v>
          </cell>
          <cell r="N2252">
            <v>163808</v>
          </cell>
          <cell r="O2252">
            <v>626</v>
          </cell>
          <cell r="P2252">
            <v>0</v>
          </cell>
        </row>
        <row r="2253">
          <cell r="D2253" t="str">
            <v>보통인부</v>
          </cell>
          <cell r="E2253" t="str">
            <v>0.00322*0.6*1.1*1.2</v>
          </cell>
          <cell r="F2253" t="str">
            <v>인</v>
          </cell>
          <cell r="G2253">
            <v>2.5502400000000001E-3</v>
          </cell>
          <cell r="J2253">
            <v>81443</v>
          </cell>
          <cell r="K2253">
            <v>207</v>
          </cell>
          <cell r="N2253">
            <v>81443</v>
          </cell>
          <cell r="O2253">
            <v>207</v>
          </cell>
          <cell r="P2253">
            <v>0</v>
          </cell>
        </row>
        <row r="2254">
          <cell r="D2254" t="str">
            <v>공구손료</v>
          </cell>
          <cell r="E2254" t="str">
            <v>노무비의</v>
          </cell>
          <cell r="F2254" t="str">
            <v>%</v>
          </cell>
          <cell r="G2254">
            <v>3</v>
          </cell>
          <cell r="L2254">
            <v>833</v>
          </cell>
          <cell r="M2254">
            <v>24</v>
          </cell>
          <cell r="N2254">
            <v>833</v>
          </cell>
          <cell r="O2254">
            <v>24</v>
          </cell>
        </row>
        <row r="2256">
          <cell r="A2256">
            <v>184</v>
          </cell>
          <cell r="B2256">
            <v>3</v>
          </cell>
          <cell r="C2256" t="str">
            <v>제184호표</v>
          </cell>
          <cell r="D2256" t="str">
            <v>로봇팔 철거</v>
          </cell>
          <cell r="E2256">
            <v>0</v>
          </cell>
          <cell r="F2256" t="str">
            <v>개</v>
          </cell>
          <cell r="G2256">
            <v>1</v>
          </cell>
          <cell r="I2256">
            <v>0</v>
          </cell>
          <cell r="K2256">
            <v>17877</v>
          </cell>
          <cell r="M2256">
            <v>536</v>
          </cell>
          <cell r="O2256">
            <v>18413</v>
          </cell>
          <cell r="P2256" t="str">
            <v>전6-2</v>
          </cell>
        </row>
        <row r="2257">
          <cell r="D2257" t="str">
            <v>로봇팔 철거</v>
          </cell>
        </row>
        <row r="2259">
          <cell r="B2259" t="str">
            <v>로봇팔</v>
          </cell>
          <cell r="C2259" t="str">
            <v>재료비</v>
          </cell>
          <cell r="D2259" t="str">
            <v>로봇팔</v>
          </cell>
          <cell r="F2259" t="str">
            <v>개</v>
          </cell>
          <cell r="G2259">
            <v>1</v>
          </cell>
          <cell r="I2259">
            <v>0</v>
          </cell>
          <cell r="J2259">
            <v>0</v>
          </cell>
          <cell r="L2259">
            <v>0</v>
          </cell>
          <cell r="N2259">
            <v>0</v>
          </cell>
          <cell r="O2259">
            <v>0</v>
          </cell>
          <cell r="P2259" t="str">
            <v>관급자재</v>
          </cell>
        </row>
        <row r="2261">
          <cell r="C2261" t="str">
            <v>노무비</v>
          </cell>
          <cell r="D2261" t="str">
            <v>계장공</v>
          </cell>
          <cell r="E2261" t="str">
            <v>(0.3*0.4)</v>
          </cell>
          <cell r="F2261" t="str">
            <v>인</v>
          </cell>
          <cell r="G2261">
            <v>0.12</v>
          </cell>
          <cell r="J2261">
            <v>148981</v>
          </cell>
          <cell r="K2261">
            <v>17877</v>
          </cell>
          <cell r="N2261">
            <v>148981</v>
          </cell>
          <cell r="O2261">
            <v>17877</v>
          </cell>
          <cell r="P2261">
            <v>0</v>
          </cell>
        </row>
        <row r="2262">
          <cell r="D2262" t="str">
            <v>공구손료</v>
          </cell>
          <cell r="E2262" t="str">
            <v>노무비의</v>
          </cell>
          <cell r="F2262" t="str">
            <v>%</v>
          </cell>
          <cell r="G2262">
            <v>3</v>
          </cell>
          <cell r="L2262">
            <v>17877</v>
          </cell>
          <cell r="M2262">
            <v>536</v>
          </cell>
          <cell r="N2262">
            <v>17877</v>
          </cell>
          <cell r="O2262">
            <v>536</v>
          </cell>
        </row>
        <row r="2264">
          <cell r="A2264">
            <v>185</v>
          </cell>
          <cell r="B2264">
            <v>3</v>
          </cell>
          <cell r="C2264" t="str">
            <v>제185호표</v>
          </cell>
          <cell r="D2264" t="str">
            <v>전력량계함 철거</v>
          </cell>
          <cell r="E2264" t="str">
            <v>230x140x95, 농사용계량기함 포함</v>
          </cell>
          <cell r="F2264" t="str">
            <v>개</v>
          </cell>
          <cell r="G2264">
            <v>1</v>
          </cell>
          <cell r="I2264">
            <v>0</v>
          </cell>
          <cell r="K2264">
            <v>12159</v>
          </cell>
          <cell r="M2264">
            <v>364</v>
          </cell>
          <cell r="O2264">
            <v>12523</v>
          </cell>
          <cell r="P2264" t="str">
            <v>전5-21</v>
          </cell>
        </row>
        <row r="2265">
          <cell r="D2265" t="str">
            <v>전력량계함 철거</v>
          </cell>
          <cell r="E2265" t="str">
            <v>230x140x95, 농사용계량기함 포함</v>
          </cell>
        </row>
        <row r="2267">
          <cell r="B2267" t="str">
            <v>합성수지 계량기함</v>
          </cell>
          <cell r="C2267" t="str">
            <v>재료비</v>
          </cell>
          <cell r="D2267" t="str">
            <v>합성수지 계량기함</v>
          </cell>
          <cell r="F2267" t="str">
            <v>개</v>
          </cell>
          <cell r="G2267">
            <v>1</v>
          </cell>
          <cell r="I2267">
            <v>0</v>
          </cell>
          <cell r="N2267">
            <v>0</v>
          </cell>
          <cell r="O2267">
            <v>0</v>
          </cell>
        </row>
        <row r="2269">
          <cell r="C2269" t="str">
            <v>노무비</v>
          </cell>
          <cell r="D2269" t="str">
            <v>내선전공</v>
          </cell>
          <cell r="E2269" t="str">
            <v>(0.3*0.3)</v>
          </cell>
          <cell r="F2269" t="str">
            <v>인</v>
          </cell>
          <cell r="G2269">
            <v>0.09</v>
          </cell>
          <cell r="J2269">
            <v>135106</v>
          </cell>
          <cell r="K2269">
            <v>12159</v>
          </cell>
          <cell r="M2269">
            <v>0</v>
          </cell>
          <cell r="N2269">
            <v>135106</v>
          </cell>
          <cell r="O2269">
            <v>12159</v>
          </cell>
        </row>
        <row r="2270">
          <cell r="D2270" t="str">
            <v>공구손료</v>
          </cell>
          <cell r="E2270" t="str">
            <v>노무비의</v>
          </cell>
          <cell r="F2270" t="str">
            <v>%</v>
          </cell>
          <cell r="G2270">
            <v>3</v>
          </cell>
          <cell r="L2270">
            <v>12159</v>
          </cell>
          <cell r="M2270">
            <v>364</v>
          </cell>
          <cell r="N2270">
            <v>12159</v>
          </cell>
          <cell r="O2270">
            <v>364</v>
          </cell>
        </row>
        <row r="2272">
          <cell r="A2272">
            <v>186</v>
          </cell>
          <cell r="B2272">
            <v>3</v>
          </cell>
          <cell r="C2272" t="str">
            <v>제186호표</v>
          </cell>
          <cell r="D2272" t="str">
            <v>차광막 철거</v>
          </cell>
          <cell r="E2272" t="str">
            <v xml:space="preserve">FRP, 지주포함 </v>
          </cell>
          <cell r="F2272" t="str">
            <v>개</v>
          </cell>
          <cell r="G2272">
            <v>1</v>
          </cell>
          <cell r="I2272">
            <v>0</v>
          </cell>
          <cell r="K2272">
            <v>12159</v>
          </cell>
          <cell r="M2272">
            <v>364</v>
          </cell>
          <cell r="O2272">
            <v>12523</v>
          </cell>
          <cell r="P2272" t="str">
            <v>전5-21</v>
          </cell>
        </row>
        <row r="2274">
          <cell r="D2274" t="str">
            <v>차광막 철거</v>
          </cell>
          <cell r="E2274" t="str">
            <v xml:space="preserve">FRP, 지주포함 </v>
          </cell>
        </row>
        <row r="2275">
          <cell r="B2275" t="str">
            <v xml:space="preserve">차광막FRP, 지주포함 </v>
          </cell>
          <cell r="C2275" t="str">
            <v>재료비</v>
          </cell>
          <cell r="D2275" t="str">
            <v>차광막</v>
          </cell>
          <cell r="E2275" t="str">
            <v xml:space="preserve">FRP, 지주포함 </v>
          </cell>
          <cell r="F2275" t="str">
            <v>개</v>
          </cell>
          <cell r="G2275">
            <v>1</v>
          </cell>
          <cell r="I2275">
            <v>0</v>
          </cell>
          <cell r="K2275">
            <v>0</v>
          </cell>
          <cell r="M2275">
            <v>0</v>
          </cell>
          <cell r="N2275">
            <v>0</v>
          </cell>
          <cell r="O2275">
            <v>0</v>
          </cell>
        </row>
        <row r="2277">
          <cell r="C2277" t="str">
            <v>노무비</v>
          </cell>
          <cell r="D2277" t="str">
            <v>내선전공</v>
          </cell>
          <cell r="E2277" t="str">
            <v>(0.3*0.3)</v>
          </cell>
          <cell r="F2277" t="str">
            <v>인</v>
          </cell>
          <cell r="G2277">
            <v>0.09</v>
          </cell>
          <cell r="J2277">
            <v>135106</v>
          </cell>
          <cell r="K2277">
            <v>12159</v>
          </cell>
          <cell r="M2277">
            <v>0</v>
          </cell>
          <cell r="N2277">
            <v>135106</v>
          </cell>
          <cell r="O2277">
            <v>12159</v>
          </cell>
        </row>
        <row r="2278">
          <cell r="D2278" t="str">
            <v>공구손료</v>
          </cell>
          <cell r="E2278" t="str">
            <v>노무비의</v>
          </cell>
          <cell r="F2278" t="str">
            <v>%</v>
          </cell>
          <cell r="G2278">
            <v>3</v>
          </cell>
          <cell r="L2278">
            <v>12159</v>
          </cell>
          <cell r="M2278">
            <v>364</v>
          </cell>
          <cell r="N2278">
            <v>12159</v>
          </cell>
          <cell r="O2278">
            <v>364</v>
          </cell>
        </row>
        <row r="2280">
          <cell r="A2280">
            <v>187</v>
          </cell>
          <cell r="B2280">
            <v>3</v>
          </cell>
          <cell r="C2280" t="str">
            <v>제187호표</v>
          </cell>
          <cell r="D2280" t="str">
            <v>차광막 철거(교정)</v>
          </cell>
          <cell r="E2280">
            <v>0</v>
          </cell>
          <cell r="F2280" t="str">
            <v>개</v>
          </cell>
          <cell r="G2280">
            <v>1</v>
          </cell>
          <cell r="I2280">
            <v>0</v>
          </cell>
          <cell r="K2280">
            <v>20265</v>
          </cell>
          <cell r="M2280">
            <v>607</v>
          </cell>
          <cell r="O2280">
            <v>20872</v>
          </cell>
          <cell r="P2280" t="str">
            <v>전5-21</v>
          </cell>
        </row>
        <row r="2282">
          <cell r="D2282" t="str">
            <v>차광막 철거(교정)</v>
          </cell>
        </row>
        <row r="2284">
          <cell r="B2284" t="str">
            <v>합성수지</v>
          </cell>
          <cell r="C2284" t="str">
            <v>재료비</v>
          </cell>
          <cell r="D2284" t="str">
            <v>합성수지</v>
          </cell>
          <cell r="F2284" t="str">
            <v>개</v>
          </cell>
          <cell r="G2284">
            <v>1</v>
          </cell>
          <cell r="I2284">
            <v>0</v>
          </cell>
          <cell r="N2284">
            <v>0</v>
          </cell>
          <cell r="O2284">
            <v>0</v>
          </cell>
        </row>
        <row r="2286">
          <cell r="C2286" t="str">
            <v>노무비</v>
          </cell>
          <cell r="D2286" t="str">
            <v>내선전공</v>
          </cell>
          <cell r="E2286" t="str">
            <v>(0.3*0.5)</v>
          </cell>
          <cell r="F2286" t="str">
            <v>인</v>
          </cell>
          <cell r="G2286">
            <v>0.15</v>
          </cell>
          <cell r="J2286">
            <v>135106</v>
          </cell>
          <cell r="K2286">
            <v>20265</v>
          </cell>
          <cell r="M2286">
            <v>0</v>
          </cell>
          <cell r="N2286">
            <v>135106</v>
          </cell>
          <cell r="O2286">
            <v>20265</v>
          </cell>
        </row>
        <row r="2287">
          <cell r="D2287" t="str">
            <v>공구손료</v>
          </cell>
          <cell r="E2287" t="str">
            <v>노무비의</v>
          </cell>
          <cell r="F2287" t="str">
            <v>%</v>
          </cell>
          <cell r="G2287">
            <v>3</v>
          </cell>
          <cell r="L2287">
            <v>20265</v>
          </cell>
          <cell r="M2287">
            <v>607</v>
          </cell>
          <cell r="N2287">
            <v>20265</v>
          </cell>
          <cell r="O2287">
            <v>607</v>
          </cell>
        </row>
        <row r="2289">
          <cell r="A2289">
            <v>188</v>
          </cell>
          <cell r="B2289">
            <v>3</v>
          </cell>
          <cell r="C2289" t="str">
            <v>제188호표</v>
          </cell>
          <cell r="D2289" t="str">
            <v>횡단보도 조명기구 철거</v>
          </cell>
          <cell r="E2289" t="str">
            <v>LED [90W~130W]</v>
          </cell>
          <cell r="F2289" t="str">
            <v>EA</v>
          </cell>
          <cell r="G2289">
            <v>1</v>
          </cell>
          <cell r="I2289">
            <v>0</v>
          </cell>
          <cell r="K2289">
            <v>78647</v>
          </cell>
          <cell r="M2289">
            <v>2359</v>
          </cell>
          <cell r="O2289">
            <v>81006</v>
          </cell>
          <cell r="P2289" t="str">
            <v>전5-26</v>
          </cell>
        </row>
        <row r="2291">
          <cell r="B2291" t="str">
            <v>횡단보도 조명기구 철거LED [90W~130W]</v>
          </cell>
          <cell r="D2291" t="str">
            <v>횡단보도 조명기구 철거</v>
          </cell>
          <cell r="E2291" t="str">
            <v>LED [90W~130W]</v>
          </cell>
          <cell r="F2291" t="str">
            <v>EA</v>
          </cell>
          <cell r="G2291">
            <v>1</v>
          </cell>
        </row>
        <row r="2293">
          <cell r="C2293" t="str">
            <v>노무비</v>
          </cell>
          <cell r="D2293" t="str">
            <v>내선전공</v>
          </cell>
          <cell r="E2293" t="str">
            <v>(1.47*0.3)*1.2*1.1</v>
          </cell>
          <cell r="F2293" t="str">
            <v>인</v>
          </cell>
          <cell r="G2293">
            <v>0.58212000000000008</v>
          </cell>
          <cell r="J2293">
            <v>135106</v>
          </cell>
          <cell r="K2293">
            <v>78647</v>
          </cell>
          <cell r="M2293">
            <v>0</v>
          </cell>
          <cell r="N2293">
            <v>135106</v>
          </cell>
          <cell r="O2293">
            <v>78647</v>
          </cell>
        </row>
        <row r="2294">
          <cell r="D2294" t="str">
            <v>공구손료</v>
          </cell>
          <cell r="E2294" t="str">
            <v>노무비의</v>
          </cell>
          <cell r="F2294" t="str">
            <v>%</v>
          </cell>
          <cell r="G2294">
            <v>3</v>
          </cell>
          <cell r="L2294">
            <v>78647</v>
          </cell>
          <cell r="M2294">
            <v>2359</v>
          </cell>
          <cell r="N2294">
            <v>78647</v>
          </cell>
          <cell r="O2294">
            <v>2359</v>
          </cell>
        </row>
        <row r="2296">
          <cell r="A2296">
            <v>189</v>
          </cell>
          <cell r="B2296">
            <v>3</v>
          </cell>
          <cell r="C2296" t="str">
            <v>제189호표</v>
          </cell>
          <cell r="D2296" t="str">
            <v>보행자작동스위치 철거</v>
          </cell>
          <cell r="E2296" t="str">
            <v>경찰청 규격품</v>
          </cell>
          <cell r="F2296" t="str">
            <v>대</v>
          </cell>
          <cell r="G2296">
            <v>1</v>
          </cell>
          <cell r="I2296">
            <v>0</v>
          </cell>
          <cell r="K2296">
            <v>2634</v>
          </cell>
          <cell r="M2296">
            <v>79</v>
          </cell>
          <cell r="O2296">
            <v>2713</v>
          </cell>
          <cell r="P2296" t="str">
            <v>전5-23(나)</v>
          </cell>
        </row>
        <row r="2297">
          <cell r="D2297" t="str">
            <v>보행자작동스위치 철거</v>
          </cell>
        </row>
        <row r="2299">
          <cell r="B2299" t="str">
            <v>경찰청 규격품</v>
          </cell>
          <cell r="C2299" t="str">
            <v>재료비</v>
          </cell>
          <cell r="E2299" t="str">
            <v>경찰청 규격품</v>
          </cell>
          <cell r="F2299" t="str">
            <v>대</v>
          </cell>
          <cell r="G2299">
            <v>1</v>
          </cell>
          <cell r="I2299">
            <v>0</v>
          </cell>
          <cell r="M2299">
            <v>0</v>
          </cell>
          <cell r="O2299">
            <v>0</v>
          </cell>
          <cell r="P2299" t="str">
            <v>관급자재</v>
          </cell>
        </row>
        <row r="2301">
          <cell r="C2301" t="str">
            <v>노무비</v>
          </cell>
          <cell r="D2301" t="str">
            <v>내선전공</v>
          </cell>
          <cell r="E2301" t="str">
            <v>0.065*0.3</v>
          </cell>
          <cell r="F2301" t="str">
            <v>인</v>
          </cell>
          <cell r="G2301">
            <v>1.95E-2</v>
          </cell>
          <cell r="J2301">
            <v>135106</v>
          </cell>
          <cell r="K2301">
            <v>2634</v>
          </cell>
          <cell r="M2301">
            <v>0</v>
          </cell>
          <cell r="N2301">
            <v>135106</v>
          </cell>
          <cell r="O2301">
            <v>2634</v>
          </cell>
        </row>
        <row r="2302">
          <cell r="D2302" t="str">
            <v>공구손료</v>
          </cell>
          <cell r="E2302" t="str">
            <v>노무비의</v>
          </cell>
          <cell r="F2302" t="str">
            <v>%</v>
          </cell>
          <cell r="G2302">
            <v>3</v>
          </cell>
          <cell r="L2302">
            <v>2634</v>
          </cell>
          <cell r="M2302">
            <v>79</v>
          </cell>
          <cell r="N2302">
            <v>2634</v>
          </cell>
          <cell r="O2302">
            <v>79</v>
          </cell>
        </row>
        <row r="2304">
          <cell r="A2304">
            <v>190</v>
          </cell>
          <cell r="B2304">
            <v>3</v>
          </cell>
          <cell r="C2304" t="str">
            <v>제190호표</v>
          </cell>
          <cell r="D2304" t="str">
            <v>표지판 지주 철거</v>
          </cell>
          <cell r="E2304" t="str">
            <v>Ø60.5*3m~Ø76.3*4m</v>
          </cell>
          <cell r="F2304" t="str">
            <v>개</v>
          </cell>
          <cell r="G2304">
            <v>1</v>
          </cell>
          <cell r="I2304">
            <v>-2100</v>
          </cell>
          <cell r="K2304">
            <v>14372</v>
          </cell>
          <cell r="M2304">
            <v>431</v>
          </cell>
          <cell r="O2304">
            <v>12703</v>
          </cell>
          <cell r="P2304" t="str">
            <v>토12-5-1</v>
          </cell>
        </row>
        <row r="2305">
          <cell r="D2305" t="str">
            <v>표지판 지주 철거</v>
          </cell>
          <cell r="E2305" t="str">
            <v>Ø60.5*3m~Ø76.3*4m</v>
          </cell>
          <cell r="F2305" t="str">
            <v>개</v>
          </cell>
          <cell r="G2305">
            <v>1</v>
          </cell>
          <cell r="M2305">
            <v>0</v>
          </cell>
          <cell r="O2305">
            <v>0</v>
          </cell>
        </row>
        <row r="2306">
          <cell r="B2306" t="str">
            <v>철SCRAP중량A</v>
          </cell>
          <cell r="C2306" t="str">
            <v>고재비</v>
          </cell>
          <cell r="D2306" t="str">
            <v>철SCRAP</v>
          </cell>
          <cell r="E2306" t="str">
            <v>중량A</v>
          </cell>
          <cell r="F2306" t="str">
            <v>Kg</v>
          </cell>
          <cell r="G2306">
            <v>6</v>
          </cell>
          <cell r="H2306">
            <v>350</v>
          </cell>
          <cell r="I2306">
            <v>-2100</v>
          </cell>
          <cell r="N2306">
            <v>350</v>
          </cell>
          <cell r="O2306">
            <v>-2100</v>
          </cell>
        </row>
        <row r="2307">
          <cell r="C2307" t="str">
            <v>노무비</v>
          </cell>
          <cell r="D2307" t="str">
            <v>보통인부</v>
          </cell>
          <cell r="E2307" t="str">
            <v>(3/17)</v>
          </cell>
          <cell r="F2307" t="str">
            <v>인</v>
          </cell>
          <cell r="G2307">
            <v>0.17647058823529413</v>
          </cell>
          <cell r="J2307">
            <v>81443</v>
          </cell>
          <cell r="K2307">
            <v>14372</v>
          </cell>
          <cell r="M2307">
            <v>0</v>
          </cell>
          <cell r="N2307">
            <v>81443</v>
          </cell>
          <cell r="O2307">
            <v>14372</v>
          </cell>
        </row>
        <row r="2308">
          <cell r="D2308" t="str">
            <v>공구손료</v>
          </cell>
          <cell r="E2308" t="str">
            <v>노무비의</v>
          </cell>
          <cell r="F2308" t="str">
            <v>%</v>
          </cell>
          <cell r="G2308">
            <v>3</v>
          </cell>
          <cell r="L2308">
            <v>14372</v>
          </cell>
          <cell r="M2308">
            <v>431</v>
          </cell>
          <cell r="N2308">
            <v>14372</v>
          </cell>
          <cell r="O2308">
            <v>431</v>
          </cell>
        </row>
        <row r="2310">
          <cell r="A2310">
            <v>191</v>
          </cell>
          <cell r="B2310">
            <v>3</v>
          </cell>
          <cell r="C2310" t="str">
            <v>제191호표</v>
          </cell>
          <cell r="D2310" t="str">
            <v>측주식 지주(테이퍼풀) 철거</v>
          </cell>
          <cell r="E2310" t="str">
            <v>Ø139.8+Ø76.3*6m-중형표지판용</v>
          </cell>
          <cell r="F2310" t="str">
            <v>개</v>
          </cell>
          <cell r="G2310">
            <v>1</v>
          </cell>
          <cell r="I2310">
            <v>-39200</v>
          </cell>
          <cell r="K2310">
            <v>141392</v>
          </cell>
          <cell r="M2310">
            <v>3973</v>
          </cell>
          <cell r="O2310">
            <v>106165</v>
          </cell>
          <cell r="P2310" t="str">
            <v>전5-46</v>
          </cell>
        </row>
        <row r="2311">
          <cell r="D2311" t="str">
            <v>측주식 지주(테이퍼풀) 철거</v>
          </cell>
          <cell r="E2311" t="str">
            <v>Ø139.8+Ø76.3*6m-중형표지판용</v>
          </cell>
          <cell r="F2311" t="str">
            <v>개</v>
          </cell>
          <cell r="G2311">
            <v>1</v>
          </cell>
          <cell r="M2311">
            <v>0</v>
          </cell>
          <cell r="O2311">
            <v>0</v>
          </cell>
        </row>
        <row r="2312">
          <cell r="B2312" t="str">
            <v>철SCRAP중량A</v>
          </cell>
          <cell r="C2312" t="str">
            <v>고재비</v>
          </cell>
          <cell r="D2312" t="str">
            <v>철SCRAP</v>
          </cell>
          <cell r="E2312" t="str">
            <v>중량A</v>
          </cell>
          <cell r="F2312" t="str">
            <v>Kg</v>
          </cell>
          <cell r="G2312">
            <v>112</v>
          </cell>
          <cell r="H2312">
            <v>350</v>
          </cell>
          <cell r="I2312">
            <v>-39200</v>
          </cell>
          <cell r="N2312">
            <v>350</v>
          </cell>
          <cell r="O2312">
            <v>-39200</v>
          </cell>
        </row>
        <row r="2313">
          <cell r="C2313" t="str">
            <v>노무비</v>
          </cell>
          <cell r="D2313" t="str">
            <v>내선전공</v>
          </cell>
          <cell r="E2313" t="str">
            <v>1.3*1.1*0.5</v>
          </cell>
          <cell r="F2313" t="str">
            <v>인</v>
          </cell>
          <cell r="G2313">
            <v>0.71500000000000008</v>
          </cell>
          <cell r="J2313">
            <v>135106</v>
          </cell>
          <cell r="K2313">
            <v>96600</v>
          </cell>
          <cell r="M2313">
            <v>0</v>
          </cell>
          <cell r="N2313">
            <v>135106</v>
          </cell>
          <cell r="O2313">
            <v>96600</v>
          </cell>
        </row>
        <row r="2314">
          <cell r="D2314" t="str">
            <v>보통인부</v>
          </cell>
          <cell r="E2314" t="str">
            <v>0.8*1.1*0.5</v>
          </cell>
          <cell r="F2314" t="str">
            <v>인</v>
          </cell>
          <cell r="G2314">
            <v>0.44000000000000006</v>
          </cell>
          <cell r="J2314">
            <v>81443</v>
          </cell>
          <cell r="K2314">
            <v>35834</v>
          </cell>
          <cell r="M2314">
            <v>0</v>
          </cell>
          <cell r="N2314">
            <v>81443</v>
          </cell>
          <cell r="O2314">
            <v>35834</v>
          </cell>
        </row>
        <row r="2315">
          <cell r="D2315" t="str">
            <v>공구손료</v>
          </cell>
          <cell r="E2315" t="str">
            <v>노무비의</v>
          </cell>
          <cell r="F2315" t="str">
            <v>%</v>
          </cell>
          <cell r="G2315">
            <v>3</v>
          </cell>
          <cell r="L2315">
            <v>132434</v>
          </cell>
          <cell r="M2315">
            <v>3973</v>
          </cell>
          <cell r="N2315">
            <v>132434</v>
          </cell>
          <cell r="O2315">
            <v>3973</v>
          </cell>
        </row>
        <row r="2316">
          <cell r="C2316" t="str">
            <v>도로정리</v>
          </cell>
          <cell r="D2316" t="str">
            <v>보통인부</v>
          </cell>
          <cell r="E2316" t="str">
            <v>0.2*1.1*0.5</v>
          </cell>
          <cell r="F2316" t="str">
            <v>인</v>
          </cell>
          <cell r="G2316">
            <v>0.11000000000000001</v>
          </cell>
          <cell r="J2316">
            <v>81443</v>
          </cell>
          <cell r="K2316">
            <v>8958</v>
          </cell>
          <cell r="M2316">
            <v>0</v>
          </cell>
          <cell r="N2316">
            <v>81443</v>
          </cell>
          <cell r="O2316">
            <v>8958</v>
          </cell>
        </row>
        <row r="2318">
          <cell r="A2318">
            <v>192</v>
          </cell>
          <cell r="B2318">
            <v>3</v>
          </cell>
          <cell r="C2318" t="str">
            <v>제192호표</v>
          </cell>
          <cell r="D2318" t="str">
            <v>교통안전표지 철거</v>
          </cell>
          <cell r="E2318" t="str">
            <v>소형, 중형표지판(노임)</v>
          </cell>
          <cell r="F2318" t="str">
            <v>개</v>
          </cell>
          <cell r="G2318">
            <v>1</v>
          </cell>
          <cell r="I2318">
            <v>-1400</v>
          </cell>
          <cell r="K2318">
            <v>14333</v>
          </cell>
          <cell r="M2318">
            <v>429</v>
          </cell>
          <cell r="O2318">
            <v>13362</v>
          </cell>
          <cell r="P2318" t="str">
            <v>토12-5-1</v>
          </cell>
        </row>
        <row r="2319">
          <cell r="D2319" t="str">
            <v>교통안전표지 철거</v>
          </cell>
          <cell r="E2319" t="str">
            <v>소형, 중형표지판(노임)</v>
          </cell>
          <cell r="F2319" t="str">
            <v>개</v>
          </cell>
          <cell r="G2319">
            <v>1</v>
          </cell>
          <cell r="M2319">
            <v>0</v>
          </cell>
          <cell r="O2319">
            <v>0</v>
          </cell>
        </row>
        <row r="2320">
          <cell r="B2320" t="str">
            <v>철SCRAP중량A</v>
          </cell>
          <cell r="C2320" t="str">
            <v>고재비</v>
          </cell>
          <cell r="D2320" t="str">
            <v>철SCRAP</v>
          </cell>
          <cell r="E2320" t="str">
            <v>중량A</v>
          </cell>
          <cell r="F2320" t="str">
            <v>Kg</v>
          </cell>
          <cell r="G2320">
            <v>4</v>
          </cell>
          <cell r="H2320">
            <v>350</v>
          </cell>
          <cell r="I2320">
            <v>-1400</v>
          </cell>
          <cell r="N2320">
            <v>350</v>
          </cell>
          <cell r="O2320">
            <v>-1400</v>
          </cell>
        </row>
        <row r="2321">
          <cell r="C2321" t="str">
            <v>노무비</v>
          </cell>
          <cell r="D2321" t="str">
            <v>보통인부</v>
          </cell>
          <cell r="E2321" t="str">
            <v>(2/6)*1.2*1.1*0.4</v>
          </cell>
          <cell r="F2321" t="str">
            <v>인</v>
          </cell>
          <cell r="G2321">
            <v>0.17600000000000002</v>
          </cell>
          <cell r="J2321">
            <v>81443</v>
          </cell>
          <cell r="K2321">
            <v>14333</v>
          </cell>
          <cell r="M2321">
            <v>0</v>
          </cell>
          <cell r="N2321">
            <v>81443</v>
          </cell>
          <cell r="O2321">
            <v>14333</v>
          </cell>
        </row>
        <row r="2322">
          <cell r="D2322" t="str">
            <v>공구손료</v>
          </cell>
          <cell r="E2322" t="str">
            <v>노무비의</v>
          </cell>
          <cell r="F2322" t="str">
            <v>%</v>
          </cell>
          <cell r="G2322">
            <v>3</v>
          </cell>
          <cell r="L2322">
            <v>14333</v>
          </cell>
          <cell r="M2322">
            <v>429</v>
          </cell>
          <cell r="N2322">
            <v>14333</v>
          </cell>
          <cell r="O2322">
            <v>429</v>
          </cell>
        </row>
        <row r="2324">
          <cell r="A2324">
            <v>193</v>
          </cell>
          <cell r="B2324">
            <v>3</v>
          </cell>
          <cell r="C2324" t="str">
            <v>제193호표</v>
          </cell>
          <cell r="D2324" t="str">
            <v>경광등 철거(고소작업)</v>
          </cell>
          <cell r="E2324" t="str">
            <v>장방형 L=1000㎜</v>
          </cell>
          <cell r="F2324" t="str">
            <v>개</v>
          </cell>
          <cell r="G2324">
            <v>1</v>
          </cell>
          <cell r="I2324">
            <v>0</v>
          </cell>
          <cell r="K2324">
            <v>123253</v>
          </cell>
          <cell r="M2324">
            <v>3697</v>
          </cell>
          <cell r="O2324">
            <v>126950</v>
          </cell>
          <cell r="P2324" t="str">
            <v>전5-46</v>
          </cell>
        </row>
        <row r="2326">
          <cell r="D2326" t="str">
            <v>경광등 철거(고소작업)</v>
          </cell>
          <cell r="E2326" t="str">
            <v>장방형 L=1000㎜</v>
          </cell>
        </row>
        <row r="2327">
          <cell r="C2327" t="str">
            <v>노무비</v>
          </cell>
          <cell r="D2327" t="str">
            <v>내선전공</v>
          </cell>
          <cell r="E2327" t="str">
            <v>0.9*1.1*1.2*0.5</v>
          </cell>
          <cell r="F2327" t="str">
            <v>인</v>
          </cell>
          <cell r="G2327">
            <v>0.59400000000000008</v>
          </cell>
          <cell r="J2327">
            <v>135106</v>
          </cell>
          <cell r="K2327">
            <v>80252</v>
          </cell>
          <cell r="M2327">
            <v>0</v>
          </cell>
          <cell r="N2327">
            <v>135106</v>
          </cell>
          <cell r="O2327">
            <v>80252</v>
          </cell>
          <cell r="P2327" t="str">
            <v>차량등품적용</v>
          </cell>
        </row>
        <row r="2328">
          <cell r="D2328" t="str">
            <v>보통인부</v>
          </cell>
          <cell r="E2328" t="str">
            <v>0.8*1.1*1.2*0.5</v>
          </cell>
          <cell r="F2328" t="str">
            <v>인</v>
          </cell>
          <cell r="G2328">
            <v>0.52800000000000002</v>
          </cell>
          <cell r="J2328">
            <v>81443</v>
          </cell>
          <cell r="K2328">
            <v>43001</v>
          </cell>
          <cell r="N2328">
            <v>81443</v>
          </cell>
          <cell r="O2328">
            <v>43001</v>
          </cell>
          <cell r="P2328" t="str">
            <v>차량등품적용</v>
          </cell>
        </row>
        <row r="2329">
          <cell r="D2329" t="str">
            <v>공구손료</v>
          </cell>
          <cell r="E2329" t="str">
            <v>노무비의</v>
          </cell>
          <cell r="F2329" t="str">
            <v>%</v>
          </cell>
          <cell r="G2329">
            <v>3</v>
          </cell>
          <cell r="L2329">
            <v>123253</v>
          </cell>
          <cell r="M2329">
            <v>3697</v>
          </cell>
          <cell r="N2329">
            <v>123253</v>
          </cell>
          <cell r="O2329">
            <v>3697</v>
          </cell>
        </row>
        <row r="2331">
          <cell r="A2331" t="str">
            <v>193-1</v>
          </cell>
          <cell r="B2331">
            <v>3</v>
          </cell>
          <cell r="C2331" t="str">
            <v>제193-1호표</v>
          </cell>
          <cell r="D2331" t="str">
            <v>경광등 철거(지상작업)</v>
          </cell>
          <cell r="E2331" t="str">
            <v>장방형 L=1000㎜</v>
          </cell>
          <cell r="F2331" t="str">
            <v>개</v>
          </cell>
          <cell r="G2331">
            <v>1</v>
          </cell>
          <cell r="I2331">
            <v>0</v>
          </cell>
          <cell r="K2331">
            <v>31250</v>
          </cell>
          <cell r="M2331">
            <v>937</v>
          </cell>
          <cell r="O2331">
            <v>32187</v>
          </cell>
          <cell r="P2331" t="str">
            <v>전5-46</v>
          </cell>
        </row>
        <row r="2333">
          <cell r="D2333" t="str">
            <v>경광등 철거(지상작업)</v>
          </cell>
          <cell r="E2333" t="str">
            <v>장방형 L=1000㎜</v>
          </cell>
        </row>
        <row r="2334">
          <cell r="C2334" t="str">
            <v>노무비</v>
          </cell>
          <cell r="D2334" t="str">
            <v>내선전공</v>
          </cell>
          <cell r="E2334" t="str">
            <v>0.3*1.1*0.5</v>
          </cell>
          <cell r="F2334" t="str">
            <v>인</v>
          </cell>
          <cell r="G2334">
            <v>0.16500000000000001</v>
          </cell>
          <cell r="J2334">
            <v>135106</v>
          </cell>
          <cell r="K2334">
            <v>22292</v>
          </cell>
          <cell r="M2334">
            <v>0</v>
          </cell>
          <cell r="N2334">
            <v>135106</v>
          </cell>
          <cell r="O2334">
            <v>22292</v>
          </cell>
          <cell r="P2334" t="str">
            <v>보행등품적용</v>
          </cell>
        </row>
        <row r="2335">
          <cell r="D2335" t="str">
            <v>보통인부</v>
          </cell>
          <cell r="E2335" t="str">
            <v>0.2*1.1*0.5</v>
          </cell>
          <cell r="F2335" t="str">
            <v>인</v>
          </cell>
          <cell r="G2335">
            <v>0.11000000000000001</v>
          </cell>
          <cell r="J2335">
            <v>81443</v>
          </cell>
          <cell r="K2335">
            <v>8958</v>
          </cell>
          <cell r="N2335">
            <v>81443</v>
          </cell>
          <cell r="O2335">
            <v>8958</v>
          </cell>
          <cell r="P2335" t="str">
            <v>보행등품적용</v>
          </cell>
        </row>
        <row r="2336">
          <cell r="D2336" t="str">
            <v>공구손료</v>
          </cell>
          <cell r="E2336" t="str">
            <v>노무비의</v>
          </cell>
          <cell r="F2336" t="str">
            <v>%</v>
          </cell>
          <cell r="G2336">
            <v>3</v>
          </cell>
          <cell r="L2336">
            <v>31250</v>
          </cell>
          <cell r="M2336">
            <v>937</v>
          </cell>
          <cell r="N2336">
            <v>31250</v>
          </cell>
          <cell r="O2336">
            <v>937</v>
          </cell>
        </row>
        <row r="2338">
          <cell r="A2338">
            <v>194</v>
          </cell>
          <cell r="B2338">
            <v>3</v>
          </cell>
          <cell r="C2338" t="str">
            <v>제194호표</v>
          </cell>
          <cell r="D2338" t="str">
            <v>T형 부착대 철거</v>
          </cell>
          <cell r="E2338" t="str">
            <v>3m 이하(노임)</v>
          </cell>
          <cell r="F2338" t="str">
            <v>개</v>
          </cell>
          <cell r="G2338">
            <v>1</v>
          </cell>
          <cell r="I2338">
            <v>2188</v>
          </cell>
          <cell r="K2338">
            <v>54193</v>
          </cell>
          <cell r="M2338">
            <v>5337</v>
          </cell>
          <cell r="O2338">
            <v>61718</v>
          </cell>
          <cell r="P2338" t="str">
            <v>전5-46(나)</v>
          </cell>
        </row>
        <row r="2340">
          <cell r="D2340" t="str">
            <v>T형 부착대 철거</v>
          </cell>
          <cell r="E2340" t="str">
            <v>3m 이하(노임)</v>
          </cell>
        </row>
        <row r="2341">
          <cell r="B2341" t="str">
            <v>철SCRAP중량A</v>
          </cell>
          <cell r="C2341" t="str">
            <v>고재비</v>
          </cell>
          <cell r="D2341" t="str">
            <v>철SCRAP</v>
          </cell>
          <cell r="E2341" t="str">
            <v>중량A</v>
          </cell>
          <cell r="F2341" t="str">
            <v>Kg</v>
          </cell>
          <cell r="G2341">
            <v>4</v>
          </cell>
          <cell r="H2341">
            <v>350</v>
          </cell>
          <cell r="I2341">
            <v>-1400</v>
          </cell>
          <cell r="N2341">
            <v>350</v>
          </cell>
          <cell r="O2341">
            <v>-1400</v>
          </cell>
        </row>
        <row r="2342">
          <cell r="C2342" t="str">
            <v>노무비</v>
          </cell>
          <cell r="D2342" t="str">
            <v>내선전공</v>
          </cell>
          <cell r="E2342" t="str">
            <v>0.98*0.4*1.1*0.5</v>
          </cell>
          <cell r="F2342" t="str">
            <v>인</v>
          </cell>
          <cell r="G2342">
            <v>0.21560000000000001</v>
          </cell>
          <cell r="I2342">
            <v>0</v>
          </cell>
          <cell r="J2342">
            <v>135106</v>
          </cell>
          <cell r="K2342">
            <v>29128</v>
          </cell>
          <cell r="M2342">
            <v>0</v>
          </cell>
          <cell r="N2342">
            <v>135106</v>
          </cell>
          <cell r="O2342">
            <v>29128</v>
          </cell>
        </row>
        <row r="2343">
          <cell r="D2343" t="str">
            <v>보통인부</v>
          </cell>
          <cell r="E2343" t="str">
            <v>0.75*0.4*1.1*0.5</v>
          </cell>
          <cell r="F2343" t="str">
            <v>인</v>
          </cell>
          <cell r="G2343">
            <v>0.16500000000000004</v>
          </cell>
          <cell r="I2343">
            <v>0</v>
          </cell>
          <cell r="J2343">
            <v>81443</v>
          </cell>
          <cell r="K2343">
            <v>13438</v>
          </cell>
          <cell r="M2343">
            <v>0</v>
          </cell>
          <cell r="N2343">
            <v>81443</v>
          </cell>
          <cell r="O2343">
            <v>13438</v>
          </cell>
        </row>
        <row r="2344">
          <cell r="D2344" t="str">
            <v>공구손료</v>
          </cell>
          <cell r="E2344" t="str">
            <v>노무비의</v>
          </cell>
          <cell r="F2344" t="str">
            <v>%</v>
          </cell>
          <cell r="G2344">
            <v>3</v>
          </cell>
          <cell r="L2344">
            <v>42566</v>
          </cell>
          <cell r="M2344">
            <v>1276</v>
          </cell>
          <cell r="N2344">
            <v>42566</v>
          </cell>
          <cell r="O2344">
            <v>1276</v>
          </cell>
        </row>
        <row r="2345">
          <cell r="C2345" t="str">
            <v>기계경비</v>
          </cell>
          <cell r="D2345" t="str">
            <v>트럭탑재형크레인(5ton)</v>
          </cell>
          <cell r="E2345" t="str">
            <v>1.96*0.4*0.5</v>
          </cell>
          <cell r="F2345" t="str">
            <v>hr</v>
          </cell>
          <cell r="G2345">
            <v>0.39200000000000002</v>
          </cell>
          <cell r="H2345">
            <v>9154</v>
          </cell>
          <cell r="I2345">
            <v>3588</v>
          </cell>
          <cell r="J2345">
            <v>20522</v>
          </cell>
          <cell r="K2345">
            <v>8044</v>
          </cell>
          <cell r="L2345">
            <v>10362</v>
          </cell>
          <cell r="M2345">
            <v>4061</v>
          </cell>
          <cell r="N2345">
            <v>40038</v>
          </cell>
          <cell r="O2345">
            <v>15693</v>
          </cell>
          <cell r="P2345" t="str">
            <v>m21호표</v>
          </cell>
        </row>
        <row r="2346">
          <cell r="C2346" t="str">
            <v>도로교통정리</v>
          </cell>
          <cell r="D2346" t="str">
            <v>보통인부</v>
          </cell>
          <cell r="E2346" t="str">
            <v>0.2*0.4*1.1*0.5</v>
          </cell>
          <cell r="F2346" t="str">
            <v>인</v>
          </cell>
          <cell r="G2346">
            <v>4.4000000000000011E-2</v>
          </cell>
          <cell r="I2346">
            <v>0</v>
          </cell>
          <cell r="J2346">
            <v>81443</v>
          </cell>
          <cell r="K2346">
            <v>3583</v>
          </cell>
          <cell r="M2346">
            <v>0</v>
          </cell>
          <cell r="N2346">
            <v>81443</v>
          </cell>
          <cell r="O2346">
            <v>3583</v>
          </cell>
        </row>
        <row r="2349">
          <cell r="C2349" t="str">
            <v>▣ 철거(재사용) 및 설치공사</v>
          </cell>
        </row>
        <row r="2350">
          <cell r="A2350">
            <v>195</v>
          </cell>
          <cell r="B2350">
            <v>3</v>
          </cell>
          <cell r="C2350" t="str">
            <v>제195호표</v>
          </cell>
          <cell r="D2350" t="str">
            <v>교통안전표지 철거 및 설치</v>
          </cell>
          <cell r="E2350" t="str">
            <v>소형, 중형표지판(노임)</v>
          </cell>
          <cell r="F2350" t="str">
            <v>개</v>
          </cell>
          <cell r="G2350">
            <v>1</v>
          </cell>
          <cell r="I2350">
            <v>0</v>
          </cell>
          <cell r="K2350">
            <v>35834</v>
          </cell>
          <cell r="M2350">
            <v>1075</v>
          </cell>
          <cell r="O2350">
            <v>36909</v>
          </cell>
          <cell r="P2350" t="str">
            <v>토12-5-1</v>
          </cell>
        </row>
        <row r="2352">
          <cell r="D2352" t="str">
            <v>교통안전표지 철거 및 설치</v>
          </cell>
          <cell r="E2352" t="str">
            <v>소형, 중형표지판(노임)</v>
          </cell>
          <cell r="F2352" t="str">
            <v>개</v>
          </cell>
          <cell r="G2352">
            <v>1</v>
          </cell>
          <cell r="M2352">
            <v>0</v>
          </cell>
          <cell r="O2352">
            <v>0</v>
          </cell>
        </row>
        <row r="2354">
          <cell r="C2354" t="str">
            <v>노무비</v>
          </cell>
          <cell r="D2354" t="str">
            <v>보통인부</v>
          </cell>
          <cell r="E2354" t="str">
            <v>(2/6)*1.2*1.1</v>
          </cell>
          <cell r="F2354" t="str">
            <v>인</v>
          </cell>
          <cell r="G2354">
            <v>0.44</v>
          </cell>
          <cell r="J2354">
            <v>81443</v>
          </cell>
          <cell r="K2354">
            <v>35834</v>
          </cell>
          <cell r="M2354">
            <v>0</v>
          </cell>
          <cell r="N2354">
            <v>81443</v>
          </cell>
          <cell r="O2354">
            <v>35834</v>
          </cell>
        </row>
        <row r="2355">
          <cell r="D2355" t="str">
            <v>공구손료</v>
          </cell>
          <cell r="E2355" t="str">
            <v>노무비의</v>
          </cell>
          <cell r="F2355" t="str">
            <v>%</v>
          </cell>
          <cell r="G2355">
            <v>3</v>
          </cell>
          <cell r="L2355">
            <v>35834</v>
          </cell>
          <cell r="M2355">
            <v>1075</v>
          </cell>
          <cell r="N2355">
            <v>35834</v>
          </cell>
          <cell r="O2355">
            <v>1075</v>
          </cell>
        </row>
        <row r="2357">
          <cell r="A2357">
            <v>196</v>
          </cell>
          <cell r="B2357">
            <v>3</v>
          </cell>
          <cell r="C2357" t="str">
            <v>제196호표</v>
          </cell>
          <cell r="D2357" t="str">
            <v>횡단보도 조명기구 철거(재사용) 및 설치</v>
          </cell>
          <cell r="E2357" t="str">
            <v>LED [90W~130W]</v>
          </cell>
          <cell r="F2357" t="str">
            <v>EA</v>
          </cell>
          <cell r="G2357">
            <v>1</v>
          </cell>
          <cell r="I2357">
            <v>0</v>
          </cell>
          <cell r="K2357">
            <v>393239</v>
          </cell>
          <cell r="M2357">
            <v>11797</v>
          </cell>
          <cell r="O2357">
            <v>405036</v>
          </cell>
          <cell r="P2357" t="str">
            <v>전5-26</v>
          </cell>
        </row>
        <row r="2358">
          <cell r="B2358" t="str">
            <v>횡단보도 조명기구 철거(재사용) 및 설치LED [90W~130W]</v>
          </cell>
          <cell r="D2358" t="str">
            <v>횡단보도 조명기구 철거(재사용) 및 설치</v>
          </cell>
          <cell r="E2358" t="str">
            <v>LED [90W~130W]</v>
          </cell>
          <cell r="F2358" t="str">
            <v>EA</v>
          </cell>
          <cell r="G2358">
            <v>1</v>
          </cell>
        </row>
        <row r="2360">
          <cell r="C2360" t="str">
            <v>노무비</v>
          </cell>
          <cell r="D2360" t="str">
            <v>내선전공</v>
          </cell>
          <cell r="E2360" t="str">
            <v>(1.47*1.5)*1.2*1.1</v>
          </cell>
          <cell r="F2360" t="str">
            <v>인</v>
          </cell>
          <cell r="G2360">
            <v>2.9106000000000001</v>
          </cell>
          <cell r="J2360">
            <v>135106</v>
          </cell>
          <cell r="K2360">
            <v>393239</v>
          </cell>
          <cell r="M2360">
            <v>0</v>
          </cell>
          <cell r="N2360">
            <v>135106</v>
          </cell>
          <cell r="O2360">
            <v>393239</v>
          </cell>
        </row>
        <row r="2361">
          <cell r="D2361" t="str">
            <v>공구손료</v>
          </cell>
          <cell r="E2361" t="str">
            <v>노무비의</v>
          </cell>
          <cell r="F2361" t="str">
            <v>%</v>
          </cell>
          <cell r="G2361">
            <v>3</v>
          </cell>
          <cell r="L2361">
            <v>393239</v>
          </cell>
          <cell r="M2361">
            <v>11797</v>
          </cell>
          <cell r="N2361">
            <v>393239</v>
          </cell>
          <cell r="O2361">
            <v>11797</v>
          </cell>
        </row>
        <row r="2363">
          <cell r="A2363">
            <v>197</v>
          </cell>
          <cell r="B2363">
            <v>3</v>
          </cell>
          <cell r="C2363" t="str">
            <v>제197호표</v>
          </cell>
          <cell r="D2363" t="str">
            <v>횡단보도 조명기구(재사용) 철거 및 설치</v>
          </cell>
          <cell r="E2363" t="str">
            <v>MH 250W</v>
          </cell>
          <cell r="F2363" t="str">
            <v>EA</v>
          </cell>
          <cell r="G2363">
            <v>1</v>
          </cell>
          <cell r="I2363">
            <v>0</v>
          </cell>
          <cell r="K2363">
            <v>401264</v>
          </cell>
          <cell r="M2363">
            <v>12037</v>
          </cell>
          <cell r="O2363">
            <v>413301</v>
          </cell>
          <cell r="P2363" t="str">
            <v>전5-26</v>
          </cell>
        </row>
        <row r="2364">
          <cell r="B2364" t="str">
            <v>횡단보도 조명기구(재사용) 철거 및 설치MH 250W</v>
          </cell>
          <cell r="D2364" t="str">
            <v>횡단보도 조명기구(재사용) 철거 및 설치</v>
          </cell>
          <cell r="E2364" t="str">
            <v>MH 250W</v>
          </cell>
          <cell r="F2364" t="str">
            <v>EA</v>
          </cell>
          <cell r="G2364">
            <v>1</v>
          </cell>
        </row>
        <row r="2366">
          <cell r="C2366" t="str">
            <v>노무비</v>
          </cell>
          <cell r="D2366" t="str">
            <v>내선전공</v>
          </cell>
          <cell r="E2366" t="str">
            <v>(1.5*1.5)*1.2*1.1</v>
          </cell>
          <cell r="F2366" t="str">
            <v>인</v>
          </cell>
          <cell r="G2366">
            <v>2.9699999999999998</v>
          </cell>
          <cell r="J2366">
            <v>135106</v>
          </cell>
          <cell r="K2366">
            <v>401264</v>
          </cell>
          <cell r="M2366">
            <v>0</v>
          </cell>
          <cell r="N2366">
            <v>135106</v>
          </cell>
          <cell r="O2366">
            <v>401264</v>
          </cell>
        </row>
        <row r="2367">
          <cell r="D2367" t="str">
            <v>공구손료</v>
          </cell>
          <cell r="E2367" t="str">
            <v>노무비의</v>
          </cell>
          <cell r="F2367" t="str">
            <v>%</v>
          </cell>
          <cell r="G2367">
            <v>3</v>
          </cell>
          <cell r="L2367">
            <v>401264</v>
          </cell>
          <cell r="M2367">
            <v>12037</v>
          </cell>
          <cell r="N2367">
            <v>401264</v>
          </cell>
          <cell r="O2367">
            <v>12037</v>
          </cell>
        </row>
        <row r="2369">
          <cell r="A2369">
            <v>198</v>
          </cell>
          <cell r="B2369">
            <v>3</v>
          </cell>
          <cell r="C2369" t="str">
            <v>제198호표</v>
          </cell>
          <cell r="D2369" t="str">
            <v>교통신호철주 철거(재사용) 및 설치,교통정리</v>
          </cell>
          <cell r="E2369" t="str">
            <v>Ø200 x 8m 용융도금</v>
          </cell>
          <cell r="F2369" t="str">
            <v>본</v>
          </cell>
          <cell r="G2369">
            <v>1</v>
          </cell>
          <cell r="I2369">
            <v>5023</v>
          </cell>
          <cell r="K2369">
            <v>260472</v>
          </cell>
          <cell r="M2369">
            <v>12581</v>
          </cell>
          <cell r="O2369">
            <v>278076</v>
          </cell>
          <cell r="P2369" t="str">
            <v>전5-46(나)</v>
          </cell>
        </row>
        <row r="2370">
          <cell r="B2370" t="str">
            <v>교통신호철주 철거(재사용) 및 설치,교통정리Ø200 x 8m 용융도금</v>
          </cell>
          <cell r="D2370" t="str">
            <v>교통신호철주 철거(재사용) 및 설치,교통정리</v>
          </cell>
          <cell r="E2370" t="str">
            <v>Ø200 x 8m 용융도금</v>
          </cell>
          <cell r="F2370" t="str">
            <v>본</v>
          </cell>
          <cell r="G2370">
            <v>1</v>
          </cell>
        </row>
        <row r="2372">
          <cell r="C2372" t="str">
            <v>노무비</v>
          </cell>
          <cell r="D2372" t="str">
            <v>내선전공</v>
          </cell>
          <cell r="E2372" t="str">
            <v>((0.98-0.98*0.4)*1.8)*1.1</v>
          </cell>
          <cell r="F2372" t="str">
            <v>인</v>
          </cell>
          <cell r="G2372">
            <v>1.1642400000000002</v>
          </cell>
          <cell r="I2372">
            <v>0</v>
          </cell>
          <cell r="J2372">
            <v>135106</v>
          </cell>
          <cell r="K2372">
            <v>157295</v>
          </cell>
          <cell r="M2372">
            <v>0</v>
          </cell>
          <cell r="N2372">
            <v>135106</v>
          </cell>
          <cell r="O2372">
            <v>157295</v>
          </cell>
        </row>
        <row r="2373">
          <cell r="D2373" t="str">
            <v>보통인부</v>
          </cell>
          <cell r="E2373" t="str">
            <v>((0.75-0.75*0.4)*1.8)*1.1</v>
          </cell>
          <cell r="F2373" t="str">
            <v>인</v>
          </cell>
          <cell r="G2373">
            <v>0.89100000000000001</v>
          </cell>
          <cell r="I2373">
            <v>0</v>
          </cell>
          <cell r="J2373">
            <v>81443</v>
          </cell>
          <cell r="K2373">
            <v>72565</v>
          </cell>
          <cell r="M2373">
            <v>0</v>
          </cell>
          <cell r="N2373">
            <v>81443</v>
          </cell>
          <cell r="O2373">
            <v>72565</v>
          </cell>
        </row>
        <row r="2374">
          <cell r="D2374" t="str">
            <v>공구손료</v>
          </cell>
          <cell r="E2374" t="str">
            <v>노무비의</v>
          </cell>
          <cell r="F2374" t="str">
            <v>%</v>
          </cell>
          <cell r="G2374">
            <v>3</v>
          </cell>
          <cell r="L2374">
            <v>229860</v>
          </cell>
          <cell r="M2374">
            <v>6895</v>
          </cell>
          <cell r="N2374">
            <v>229860</v>
          </cell>
          <cell r="O2374">
            <v>6895</v>
          </cell>
        </row>
        <row r="2375">
          <cell r="C2375" t="str">
            <v>기계경비</v>
          </cell>
          <cell r="D2375" t="str">
            <v>트럭탑재형 크레인(5ton)</v>
          </cell>
          <cell r="E2375" t="str">
            <v>(1.96-(1.96*0.4)*1.8)</v>
          </cell>
          <cell r="F2375" t="str">
            <v>HR</v>
          </cell>
          <cell r="G2375">
            <v>0.54879999999999995</v>
          </cell>
          <cell r="H2375">
            <v>9154</v>
          </cell>
          <cell r="I2375">
            <v>5023</v>
          </cell>
          <cell r="J2375">
            <v>20522</v>
          </cell>
          <cell r="K2375">
            <v>11262</v>
          </cell>
          <cell r="L2375">
            <v>10362</v>
          </cell>
          <cell r="M2375">
            <v>5686</v>
          </cell>
          <cell r="N2375">
            <v>40038</v>
          </cell>
          <cell r="O2375">
            <v>21971</v>
          </cell>
          <cell r="P2375" t="str">
            <v>m21호표</v>
          </cell>
        </row>
        <row r="2376">
          <cell r="C2376" t="str">
            <v>도로교통정리</v>
          </cell>
          <cell r="D2376" t="str">
            <v>보통인부</v>
          </cell>
          <cell r="E2376" t="str">
            <v>((0.2-(0.2*0.4))*1.8)*1.1</v>
          </cell>
          <cell r="F2376" t="str">
            <v>인</v>
          </cell>
          <cell r="G2376">
            <v>0.23760000000000001</v>
          </cell>
          <cell r="I2376">
            <v>0</v>
          </cell>
          <cell r="J2376">
            <v>81443</v>
          </cell>
          <cell r="K2376">
            <v>19350</v>
          </cell>
          <cell r="M2376">
            <v>0</v>
          </cell>
          <cell r="N2376">
            <v>81443</v>
          </cell>
          <cell r="O2376">
            <v>19350</v>
          </cell>
        </row>
        <row r="2378">
          <cell r="A2378">
            <v>199</v>
          </cell>
          <cell r="B2378">
            <v>3</v>
          </cell>
          <cell r="C2378" t="str">
            <v>제199호표</v>
          </cell>
          <cell r="D2378" t="str">
            <v>교통신호철주 철거(재사용) 및 설치,교통정리</v>
          </cell>
          <cell r="E2378" t="str">
            <v>Ø250 x 8m 용융도금</v>
          </cell>
          <cell r="F2378" t="str">
            <v>본</v>
          </cell>
          <cell r="G2378">
            <v>1</v>
          </cell>
          <cell r="I2378">
            <v>27128</v>
          </cell>
          <cell r="K2378">
            <v>401972</v>
          </cell>
          <cell r="M2378">
            <v>40361</v>
          </cell>
          <cell r="O2378">
            <v>469461</v>
          </cell>
          <cell r="P2378" t="str">
            <v>전5-46(나)</v>
          </cell>
        </row>
        <row r="2380">
          <cell r="B2380" t="str">
            <v>교통신호철주 철거(재사용) 및 설치,교통정리Ø250 x 8m 용융도금</v>
          </cell>
          <cell r="D2380" t="str">
            <v>교통신호철주 철거(재사용) 및 설치,교통정리</v>
          </cell>
          <cell r="E2380" t="str">
            <v>Ø250 x 8m 용융도금</v>
          </cell>
          <cell r="F2380" t="str">
            <v>본</v>
          </cell>
          <cell r="G2380">
            <v>1</v>
          </cell>
        </row>
        <row r="2382">
          <cell r="C2382" t="str">
            <v>노무비</v>
          </cell>
          <cell r="D2382" t="str">
            <v>내선전공</v>
          </cell>
          <cell r="E2382" t="str">
            <v>((0.98-0.98*0.4)*1.4*1.8)*1.1</v>
          </cell>
          <cell r="F2382" t="str">
            <v>인</v>
          </cell>
          <cell r="G2382">
            <v>1.6299360000000001</v>
          </cell>
          <cell r="I2382">
            <v>0</v>
          </cell>
          <cell r="J2382">
            <v>135106</v>
          </cell>
          <cell r="K2382">
            <v>220214</v>
          </cell>
          <cell r="M2382">
            <v>0</v>
          </cell>
          <cell r="N2382">
            <v>135106</v>
          </cell>
          <cell r="O2382">
            <v>220214</v>
          </cell>
        </row>
        <row r="2383">
          <cell r="D2383" t="str">
            <v>보통인부</v>
          </cell>
          <cell r="E2383" t="str">
            <v>((0.75-0.75*0.4)*1.4*1.8)*1.1</v>
          </cell>
          <cell r="F2383" t="str">
            <v>인</v>
          </cell>
          <cell r="G2383">
            <v>1.2474000000000001</v>
          </cell>
          <cell r="I2383">
            <v>0</v>
          </cell>
          <cell r="J2383">
            <v>81443</v>
          </cell>
          <cell r="K2383">
            <v>101591</v>
          </cell>
          <cell r="M2383">
            <v>0</v>
          </cell>
          <cell r="N2383">
            <v>81443</v>
          </cell>
          <cell r="O2383">
            <v>101591</v>
          </cell>
        </row>
        <row r="2384">
          <cell r="D2384" t="str">
            <v>공구손료</v>
          </cell>
          <cell r="E2384" t="str">
            <v>노무비의</v>
          </cell>
          <cell r="F2384" t="str">
            <v>%</v>
          </cell>
          <cell r="G2384">
            <v>3</v>
          </cell>
          <cell r="L2384">
            <v>321805</v>
          </cell>
          <cell r="M2384">
            <v>9654</v>
          </cell>
          <cell r="N2384">
            <v>321805</v>
          </cell>
          <cell r="O2384">
            <v>9654</v>
          </cell>
        </row>
        <row r="2385">
          <cell r="C2385" t="str">
            <v>기계경비</v>
          </cell>
          <cell r="D2385" t="str">
            <v>트럭탑재형 크레인(5ton)</v>
          </cell>
          <cell r="E2385" t="str">
            <v>((1.96-(1.96*0.4))*1.4*1.8)</v>
          </cell>
          <cell r="F2385" t="str">
            <v>hr</v>
          </cell>
          <cell r="G2385">
            <v>2.9635199999999999</v>
          </cell>
          <cell r="H2385">
            <v>9154</v>
          </cell>
          <cell r="I2385">
            <v>27128</v>
          </cell>
          <cell r="J2385">
            <v>20522</v>
          </cell>
          <cell r="K2385">
            <v>60817</v>
          </cell>
          <cell r="L2385">
            <v>10362</v>
          </cell>
          <cell r="M2385">
            <v>30707</v>
          </cell>
          <cell r="N2385">
            <v>40038</v>
          </cell>
          <cell r="O2385">
            <v>118652</v>
          </cell>
          <cell r="P2385" t="str">
            <v>m21호표</v>
          </cell>
        </row>
        <row r="2386">
          <cell r="C2386" t="str">
            <v>도로교통정리</v>
          </cell>
          <cell r="D2386" t="str">
            <v>보통인부</v>
          </cell>
          <cell r="E2386" t="str">
            <v>((0.2-(0.2*0.4))*1.8)*1.1</v>
          </cell>
          <cell r="F2386" t="str">
            <v>인</v>
          </cell>
          <cell r="G2386">
            <v>0.23760000000000001</v>
          </cell>
          <cell r="I2386">
            <v>0</v>
          </cell>
          <cell r="J2386">
            <v>81443</v>
          </cell>
          <cell r="K2386">
            <v>19350</v>
          </cell>
          <cell r="M2386">
            <v>0</v>
          </cell>
          <cell r="N2386">
            <v>81443</v>
          </cell>
          <cell r="O2386">
            <v>19350</v>
          </cell>
        </row>
        <row r="2387">
          <cell r="A2387">
            <v>200</v>
          </cell>
          <cell r="B2387">
            <v>3</v>
          </cell>
          <cell r="C2387" t="str">
            <v>제200호표</v>
          </cell>
          <cell r="D2387" t="str">
            <v>교통신호철주 철거(재사용) 및 설치,교통정리</v>
          </cell>
          <cell r="E2387" t="str">
            <v>Ø300 x 8m 용융도금</v>
          </cell>
          <cell r="F2387" t="str">
            <v>본</v>
          </cell>
          <cell r="G2387">
            <v>1</v>
          </cell>
          <cell r="I2387">
            <v>27128</v>
          </cell>
          <cell r="K2387">
            <v>401972</v>
          </cell>
          <cell r="M2387">
            <v>40361</v>
          </cell>
          <cell r="O2387">
            <v>469461</v>
          </cell>
          <cell r="P2387" t="str">
            <v>전5-46(나)</v>
          </cell>
        </row>
        <row r="2389">
          <cell r="B2389" t="str">
            <v>교통신호철주 철거(재사용) 및 설치,교통정리Ø300 x 8m 용융도금</v>
          </cell>
          <cell r="D2389" t="str">
            <v>교통신호철주 철거(재사용) 및 설치,교통정리</v>
          </cell>
          <cell r="E2389" t="str">
            <v>Ø300 x 8m 용융도금</v>
          </cell>
          <cell r="F2389" t="str">
            <v>본</v>
          </cell>
          <cell r="G2389">
            <v>1</v>
          </cell>
        </row>
        <row r="2391">
          <cell r="C2391" t="str">
            <v>노무비</v>
          </cell>
          <cell r="D2391" t="str">
            <v>내선전공</v>
          </cell>
          <cell r="E2391" t="str">
            <v>((0.98-0.98*0.4)*1.4*1.8)*1.1</v>
          </cell>
          <cell r="F2391" t="str">
            <v>인</v>
          </cell>
          <cell r="G2391">
            <v>1.6299360000000001</v>
          </cell>
          <cell r="I2391">
            <v>0</v>
          </cell>
          <cell r="J2391">
            <v>135106</v>
          </cell>
          <cell r="K2391">
            <v>220214</v>
          </cell>
          <cell r="M2391">
            <v>0</v>
          </cell>
          <cell r="N2391">
            <v>135106</v>
          </cell>
          <cell r="O2391">
            <v>220214</v>
          </cell>
        </row>
        <row r="2392">
          <cell r="D2392" t="str">
            <v>보통인부</v>
          </cell>
          <cell r="E2392" t="str">
            <v>((0.75-0.75*0.4)*1.4*1.8)*1.1</v>
          </cell>
          <cell r="F2392" t="str">
            <v>인</v>
          </cell>
          <cell r="G2392">
            <v>1.2474000000000001</v>
          </cell>
          <cell r="I2392">
            <v>0</v>
          </cell>
          <cell r="J2392">
            <v>81443</v>
          </cell>
          <cell r="K2392">
            <v>101591</v>
          </cell>
          <cell r="M2392">
            <v>0</v>
          </cell>
          <cell r="N2392">
            <v>81443</v>
          </cell>
          <cell r="O2392">
            <v>101591</v>
          </cell>
        </row>
        <row r="2393">
          <cell r="D2393" t="str">
            <v>공구손료</v>
          </cell>
          <cell r="E2393" t="str">
            <v>노무비의</v>
          </cell>
          <cell r="F2393" t="str">
            <v>%</v>
          </cell>
          <cell r="G2393">
            <v>3</v>
          </cell>
          <cell r="L2393">
            <v>321805</v>
          </cell>
          <cell r="M2393">
            <v>9654</v>
          </cell>
          <cell r="N2393">
            <v>321805</v>
          </cell>
          <cell r="O2393">
            <v>9654</v>
          </cell>
        </row>
        <row r="2394">
          <cell r="C2394" t="str">
            <v>기계경비</v>
          </cell>
          <cell r="D2394" t="str">
            <v>트럭탑재형 크레인(5ton)</v>
          </cell>
          <cell r="E2394" t="str">
            <v>((1.96-(1.96*0.4))*1.4*1.8)</v>
          </cell>
          <cell r="F2394" t="str">
            <v>hr</v>
          </cell>
          <cell r="G2394">
            <v>2.9635199999999999</v>
          </cell>
          <cell r="H2394">
            <v>9154</v>
          </cell>
          <cell r="I2394">
            <v>27128</v>
          </cell>
          <cell r="J2394">
            <v>20522</v>
          </cell>
          <cell r="K2394">
            <v>60817</v>
          </cell>
          <cell r="L2394">
            <v>10362</v>
          </cell>
          <cell r="M2394">
            <v>30707</v>
          </cell>
          <cell r="N2394">
            <v>40038</v>
          </cell>
          <cell r="O2394">
            <v>118652</v>
          </cell>
          <cell r="P2394" t="str">
            <v>m21호표</v>
          </cell>
        </row>
        <row r="2395">
          <cell r="C2395" t="str">
            <v>도로교통정리</v>
          </cell>
          <cell r="D2395" t="str">
            <v>보통인부</v>
          </cell>
          <cell r="E2395" t="str">
            <v>((0.2-(0.2*0.4))*1.8)*1.1</v>
          </cell>
          <cell r="F2395" t="str">
            <v>인</v>
          </cell>
          <cell r="G2395">
            <v>0.23760000000000001</v>
          </cell>
          <cell r="I2395">
            <v>0</v>
          </cell>
          <cell r="J2395">
            <v>81443</v>
          </cell>
          <cell r="K2395">
            <v>19350</v>
          </cell>
          <cell r="M2395">
            <v>0</v>
          </cell>
          <cell r="N2395">
            <v>81443</v>
          </cell>
          <cell r="O2395">
            <v>19350</v>
          </cell>
        </row>
        <row r="2397">
          <cell r="A2397">
            <v>201</v>
          </cell>
          <cell r="B2397">
            <v>3</v>
          </cell>
          <cell r="C2397" t="str">
            <v>제201호표</v>
          </cell>
          <cell r="D2397" t="str">
            <v>교통신호철주 철거(재사용) 및 설치,교통정리</v>
          </cell>
          <cell r="E2397" t="str">
            <v>Ø125 x 4m 용융도금</v>
          </cell>
          <cell r="F2397" t="str">
            <v>본</v>
          </cell>
          <cell r="G2397">
            <v>1</v>
          </cell>
          <cell r="I2397">
            <v>0</v>
          </cell>
          <cell r="K2397">
            <v>469366</v>
          </cell>
          <cell r="M2397">
            <v>13500</v>
          </cell>
          <cell r="O2397">
            <v>482866</v>
          </cell>
          <cell r="P2397" t="str">
            <v>전5-46</v>
          </cell>
        </row>
        <row r="2399">
          <cell r="B2399" t="str">
            <v>교통신호철주 철거(재사용) 및 설치,교통정리Ø125 x 4m 용융도금</v>
          </cell>
          <cell r="D2399" t="str">
            <v>교통신호철주 철거(재사용) 및 설치,교통정리</v>
          </cell>
          <cell r="E2399" t="str">
            <v>Ø125 x 4m 용융도금</v>
          </cell>
          <cell r="F2399" t="str">
            <v>본</v>
          </cell>
          <cell r="G2399">
            <v>1</v>
          </cell>
        </row>
        <row r="2401">
          <cell r="C2401" t="str">
            <v>노무비</v>
          </cell>
          <cell r="D2401" t="str">
            <v>내선전공</v>
          </cell>
          <cell r="E2401" t="str">
            <v>(1.2*1.8)*1.1</v>
          </cell>
          <cell r="F2401" t="str">
            <v>인</v>
          </cell>
          <cell r="G2401">
            <v>2.3760000000000003</v>
          </cell>
          <cell r="J2401">
            <v>135106</v>
          </cell>
          <cell r="K2401">
            <v>321011</v>
          </cell>
          <cell r="M2401">
            <v>0</v>
          </cell>
          <cell r="N2401">
            <v>135106</v>
          </cell>
          <cell r="O2401">
            <v>321011</v>
          </cell>
        </row>
        <row r="2402">
          <cell r="D2402" t="str">
            <v>보통인부</v>
          </cell>
          <cell r="E2402" t="str">
            <v>(0.8*1.8)*1.1</v>
          </cell>
          <cell r="F2402" t="str">
            <v>인</v>
          </cell>
          <cell r="G2402">
            <v>1.5840000000000003</v>
          </cell>
          <cell r="J2402">
            <v>81443</v>
          </cell>
          <cell r="K2402">
            <v>129005</v>
          </cell>
          <cell r="M2402">
            <v>0</v>
          </cell>
          <cell r="N2402">
            <v>81443</v>
          </cell>
          <cell r="O2402">
            <v>129005</v>
          </cell>
        </row>
        <row r="2403">
          <cell r="D2403" t="str">
            <v>공구손료</v>
          </cell>
          <cell r="E2403" t="str">
            <v>노무비의</v>
          </cell>
          <cell r="F2403" t="str">
            <v>%</v>
          </cell>
          <cell r="G2403">
            <v>3</v>
          </cell>
          <cell r="L2403">
            <v>450016</v>
          </cell>
          <cell r="M2403">
            <v>13500</v>
          </cell>
          <cell r="N2403">
            <v>450016</v>
          </cell>
          <cell r="O2403">
            <v>13500</v>
          </cell>
        </row>
        <row r="2404">
          <cell r="C2404" t="str">
            <v>도로교통정리</v>
          </cell>
          <cell r="D2404" t="str">
            <v>보통인부</v>
          </cell>
          <cell r="E2404" t="str">
            <v>((0.2-(0.2*0.4))*1.8)*1.1</v>
          </cell>
          <cell r="F2404" t="str">
            <v>인</v>
          </cell>
          <cell r="G2404">
            <v>0.23760000000000001</v>
          </cell>
          <cell r="I2404">
            <v>0</v>
          </cell>
          <cell r="J2404">
            <v>81443</v>
          </cell>
          <cell r="K2404">
            <v>19350</v>
          </cell>
          <cell r="M2404">
            <v>0</v>
          </cell>
          <cell r="N2404">
            <v>81443</v>
          </cell>
          <cell r="O2404">
            <v>19350</v>
          </cell>
        </row>
        <row r="2406">
          <cell r="A2406">
            <v>202</v>
          </cell>
          <cell r="B2406">
            <v>3</v>
          </cell>
          <cell r="C2406" t="str">
            <v>제202호표</v>
          </cell>
          <cell r="D2406" t="str">
            <v>교통신호철주 철거(재사용) 및 설치,교통정리</v>
          </cell>
          <cell r="E2406" t="str">
            <v>Ø125 x 6m 용융도금</v>
          </cell>
          <cell r="F2406" t="str">
            <v>본</v>
          </cell>
          <cell r="G2406">
            <v>1</v>
          </cell>
          <cell r="I2406">
            <v>0</v>
          </cell>
          <cell r="K2406">
            <v>496117</v>
          </cell>
          <cell r="M2406">
            <v>14303</v>
          </cell>
          <cell r="O2406">
            <v>510420</v>
          </cell>
          <cell r="P2406" t="str">
            <v>전5-46(가)</v>
          </cell>
        </row>
        <row r="2407">
          <cell r="B2407" t="str">
            <v>교통신호철주 철거(재사용) 및 설치,교통정리Ø125 x 6m 용융도금</v>
          </cell>
          <cell r="D2407" t="str">
            <v>교통신호철주 철거(재사용) 및 설치,교통정리</v>
          </cell>
          <cell r="E2407" t="str">
            <v>Ø125 x 6m 용융도금</v>
          </cell>
          <cell r="F2407" t="str">
            <v>본</v>
          </cell>
          <cell r="G2407">
            <v>1</v>
          </cell>
        </row>
        <row r="2409">
          <cell r="C2409" t="str">
            <v>노무비</v>
          </cell>
          <cell r="D2409" t="str">
            <v>내선전공</v>
          </cell>
          <cell r="E2409" t="str">
            <v>(1.3*1.8)*1.1</v>
          </cell>
          <cell r="F2409" t="str">
            <v>인</v>
          </cell>
          <cell r="G2409">
            <v>2.5740000000000007</v>
          </cell>
          <cell r="J2409">
            <v>135106</v>
          </cell>
          <cell r="K2409">
            <v>347762</v>
          </cell>
          <cell r="M2409">
            <v>0</v>
          </cell>
          <cell r="N2409">
            <v>135106</v>
          </cell>
          <cell r="O2409">
            <v>347762</v>
          </cell>
        </row>
        <row r="2410">
          <cell r="D2410" t="str">
            <v>보통인부</v>
          </cell>
          <cell r="E2410" t="str">
            <v>(0.8*1.8)*1.1</v>
          </cell>
          <cell r="F2410" t="str">
            <v>인</v>
          </cell>
          <cell r="G2410">
            <v>1.5840000000000003</v>
          </cell>
          <cell r="J2410">
            <v>81443</v>
          </cell>
          <cell r="K2410">
            <v>129005</v>
          </cell>
          <cell r="M2410">
            <v>0</v>
          </cell>
          <cell r="N2410">
            <v>81443</v>
          </cell>
          <cell r="O2410">
            <v>129005</v>
          </cell>
        </row>
        <row r="2411">
          <cell r="D2411" t="str">
            <v>공구손료</v>
          </cell>
          <cell r="E2411" t="str">
            <v>노무비의</v>
          </cell>
          <cell r="F2411" t="str">
            <v>%</v>
          </cell>
          <cell r="G2411">
            <v>3</v>
          </cell>
          <cell r="L2411">
            <v>476767</v>
          </cell>
          <cell r="M2411">
            <v>14303</v>
          </cell>
          <cell r="N2411">
            <v>476767</v>
          </cell>
          <cell r="O2411">
            <v>14303</v>
          </cell>
        </row>
        <row r="2413">
          <cell r="C2413" t="str">
            <v>도로교통정리</v>
          </cell>
          <cell r="D2413" t="str">
            <v>보통인부</v>
          </cell>
          <cell r="E2413" t="str">
            <v>((0.2-(0.2*0.4))*1.8)*1.1</v>
          </cell>
          <cell r="F2413" t="str">
            <v>인</v>
          </cell>
          <cell r="G2413">
            <v>0.23760000000000001</v>
          </cell>
          <cell r="I2413">
            <v>0</v>
          </cell>
          <cell r="J2413">
            <v>81443</v>
          </cell>
          <cell r="K2413">
            <v>19350</v>
          </cell>
          <cell r="M2413">
            <v>0</v>
          </cell>
          <cell r="N2413">
            <v>81443</v>
          </cell>
          <cell r="O2413">
            <v>19350</v>
          </cell>
        </row>
        <row r="2415">
          <cell r="A2415">
            <v>203</v>
          </cell>
          <cell r="B2415">
            <v>3</v>
          </cell>
          <cell r="C2415" t="str">
            <v>제203호표</v>
          </cell>
          <cell r="D2415" t="str">
            <v>차량등 부착대 철거(재사용) 및 설치</v>
          </cell>
          <cell r="E2415" t="str">
            <v>13m</v>
          </cell>
          <cell r="F2415" t="str">
            <v>본</v>
          </cell>
          <cell r="G2415">
            <v>1</v>
          </cell>
          <cell r="I2415">
            <v>225624</v>
          </cell>
          <cell r="K2415">
            <v>267980</v>
          </cell>
          <cell r="M2415">
            <v>26907</v>
          </cell>
          <cell r="O2415">
            <v>520511</v>
          </cell>
          <cell r="P2415" t="str">
            <v>전5-46(나)</v>
          </cell>
        </row>
        <row r="2416">
          <cell r="B2416" t="str">
            <v>차량등 부착대 철거(재사용) 및 설치13m</v>
          </cell>
          <cell r="D2416" t="str">
            <v>차량등 부착대 철거(재사용) 및 설치</v>
          </cell>
          <cell r="E2416" t="str">
            <v>13m</v>
          </cell>
          <cell r="F2416" t="str">
            <v>본</v>
          </cell>
          <cell r="G2416">
            <v>1</v>
          </cell>
        </row>
        <row r="2417">
          <cell r="B2417" t="str">
            <v>와이어로프 신설부착대13m</v>
          </cell>
          <cell r="D2417" t="str">
            <v>와이어로프 신설</v>
          </cell>
          <cell r="E2417" t="str">
            <v>부착대13m</v>
          </cell>
          <cell r="F2417" t="str">
            <v>식</v>
          </cell>
          <cell r="G2417">
            <v>1</v>
          </cell>
          <cell r="H2417">
            <v>212630</v>
          </cell>
          <cell r="I2417">
            <v>212630</v>
          </cell>
          <cell r="J2417">
            <v>0</v>
          </cell>
          <cell r="K2417">
            <v>0</v>
          </cell>
          <cell r="L2417">
            <v>0</v>
          </cell>
          <cell r="M2417">
            <v>0</v>
          </cell>
          <cell r="N2417">
            <v>212630</v>
          </cell>
          <cell r="O2417">
            <v>212630</v>
          </cell>
          <cell r="P2417" t="str">
            <v>제85호표</v>
          </cell>
        </row>
        <row r="2418">
          <cell r="B2418" t="str">
            <v>와이어로프 철거부착대13m</v>
          </cell>
          <cell r="D2418" t="str">
            <v>와이어로프 철거</v>
          </cell>
          <cell r="E2418" t="str">
            <v>부착대13m</v>
          </cell>
          <cell r="F2418" t="str">
            <v>식</v>
          </cell>
          <cell r="G2418">
            <v>1</v>
          </cell>
          <cell r="H2418">
            <v>-5090.05</v>
          </cell>
          <cell r="I2418">
            <v>-5091</v>
          </cell>
          <cell r="J2418">
            <v>0</v>
          </cell>
          <cell r="K2418">
            <v>0</v>
          </cell>
          <cell r="L2418">
            <v>0</v>
          </cell>
          <cell r="M2418">
            <v>0</v>
          </cell>
          <cell r="N2418">
            <v>-5091</v>
          </cell>
          <cell r="O2418">
            <v>-5091</v>
          </cell>
          <cell r="P2418" t="str">
            <v>제163호표</v>
          </cell>
        </row>
        <row r="2420">
          <cell r="C2420" t="str">
            <v>노무비</v>
          </cell>
          <cell r="D2420" t="str">
            <v>내선전공</v>
          </cell>
          <cell r="E2420" t="str">
            <v>((0.98*0.4*0.8)*1.4+(0.98*0.4)*1.4)*1.1</v>
          </cell>
          <cell r="F2420" t="str">
            <v>인</v>
          </cell>
          <cell r="G2420">
            <v>1.086624</v>
          </cell>
          <cell r="J2420">
            <v>135106</v>
          </cell>
          <cell r="K2420">
            <v>146809</v>
          </cell>
          <cell r="M2420">
            <v>0</v>
          </cell>
          <cell r="N2420">
            <v>135106</v>
          </cell>
          <cell r="O2420">
            <v>146809</v>
          </cell>
        </row>
        <row r="2421">
          <cell r="D2421" t="str">
            <v>보통인부</v>
          </cell>
          <cell r="E2421" t="str">
            <v>((0.75*0.4*0.8)*1.4+(0.75*0.4)*1.4)*1.1</v>
          </cell>
          <cell r="F2421" t="str">
            <v>인</v>
          </cell>
          <cell r="G2421">
            <v>0.83160000000000012</v>
          </cell>
          <cell r="J2421">
            <v>81443</v>
          </cell>
          <cell r="K2421">
            <v>67727</v>
          </cell>
          <cell r="M2421">
            <v>0</v>
          </cell>
          <cell r="N2421">
            <v>81443</v>
          </cell>
          <cell r="O2421">
            <v>67727</v>
          </cell>
        </row>
        <row r="2422">
          <cell r="D2422" t="str">
            <v>공구손료</v>
          </cell>
          <cell r="E2422" t="str">
            <v>노무비의</v>
          </cell>
          <cell r="F2422" t="str">
            <v>%</v>
          </cell>
          <cell r="G2422">
            <v>3</v>
          </cell>
          <cell r="L2422">
            <v>214536</v>
          </cell>
          <cell r="M2422">
            <v>6436</v>
          </cell>
          <cell r="N2422">
            <v>214536</v>
          </cell>
          <cell r="O2422">
            <v>6436</v>
          </cell>
        </row>
        <row r="2423">
          <cell r="C2423" t="str">
            <v>기계경비</v>
          </cell>
          <cell r="D2423" t="str">
            <v>트럭탑재형 크레인(5ton)</v>
          </cell>
          <cell r="E2423" t="str">
            <v>((1.96*0.4)*1.8*1.4)</v>
          </cell>
          <cell r="F2423" t="str">
            <v>hr</v>
          </cell>
          <cell r="G2423">
            <v>1.9756799999999999</v>
          </cell>
          <cell r="H2423">
            <v>9154</v>
          </cell>
          <cell r="I2423">
            <v>18085</v>
          </cell>
          <cell r="J2423">
            <v>20522</v>
          </cell>
          <cell r="K2423">
            <v>40544</v>
          </cell>
          <cell r="L2423">
            <v>10362</v>
          </cell>
          <cell r="M2423">
            <v>20471</v>
          </cell>
          <cell r="N2423">
            <v>40038</v>
          </cell>
          <cell r="O2423">
            <v>79100</v>
          </cell>
          <cell r="P2423" t="str">
            <v>m21호표</v>
          </cell>
        </row>
        <row r="2424">
          <cell r="C2424" t="str">
            <v>도로교통정리</v>
          </cell>
          <cell r="D2424" t="str">
            <v>보통인부</v>
          </cell>
          <cell r="E2424" t="str">
            <v>((0.2*0.4)*1.8)*1.1</v>
          </cell>
          <cell r="F2424" t="str">
            <v>인</v>
          </cell>
          <cell r="G2424">
            <v>0.15840000000000007</v>
          </cell>
          <cell r="I2424">
            <v>0</v>
          </cell>
          <cell r="J2424">
            <v>81443</v>
          </cell>
          <cell r="K2424">
            <v>12900</v>
          </cell>
          <cell r="M2424">
            <v>0</v>
          </cell>
          <cell r="N2424">
            <v>81443</v>
          </cell>
          <cell r="O2424">
            <v>12900</v>
          </cell>
        </row>
        <row r="2425">
          <cell r="A2425">
            <v>204</v>
          </cell>
          <cell r="B2425">
            <v>3</v>
          </cell>
          <cell r="C2425" t="str">
            <v>제204호표</v>
          </cell>
          <cell r="D2425" t="str">
            <v>차량등 부착대 철거(재사용) 및 설치</v>
          </cell>
          <cell r="E2425" t="str">
            <v>11m</v>
          </cell>
          <cell r="F2425" t="str">
            <v>본</v>
          </cell>
          <cell r="G2425">
            <v>1</v>
          </cell>
          <cell r="I2425">
            <v>164205</v>
          </cell>
          <cell r="K2425">
            <v>256396</v>
          </cell>
          <cell r="M2425">
            <v>21058</v>
          </cell>
          <cell r="O2425">
            <v>441659</v>
          </cell>
          <cell r="P2425" t="str">
            <v>전5-46(나)</v>
          </cell>
        </row>
        <row r="2426">
          <cell r="B2426" t="str">
            <v>차량등 부착대 철거(재사용) 및 설치11m</v>
          </cell>
          <cell r="D2426" t="str">
            <v>차량등 부착대 철거(재사용) 및 설치</v>
          </cell>
          <cell r="E2426" t="str">
            <v>11m</v>
          </cell>
          <cell r="F2426" t="str">
            <v>본</v>
          </cell>
          <cell r="G2426">
            <v>1</v>
          </cell>
        </row>
        <row r="2427">
          <cell r="B2427" t="str">
            <v>와이어로프 신설부착대11m</v>
          </cell>
          <cell r="D2427" t="str">
            <v>와이어로프 신설</v>
          </cell>
          <cell r="E2427" t="str">
            <v>부착대11m</v>
          </cell>
          <cell r="F2427" t="str">
            <v>식</v>
          </cell>
          <cell r="G2427">
            <v>1</v>
          </cell>
          <cell r="H2427">
            <v>154800</v>
          </cell>
          <cell r="I2427">
            <v>154800</v>
          </cell>
          <cell r="J2427">
            <v>0</v>
          </cell>
          <cell r="K2427">
            <v>0</v>
          </cell>
          <cell r="L2427">
            <v>0</v>
          </cell>
          <cell r="M2427">
            <v>0</v>
          </cell>
          <cell r="N2427">
            <v>154800</v>
          </cell>
          <cell r="O2427">
            <v>154800</v>
          </cell>
          <cell r="P2427" t="str">
            <v>제86호표</v>
          </cell>
        </row>
        <row r="2428">
          <cell r="B2428" t="str">
            <v>와이어로프 철거부착대11m</v>
          </cell>
          <cell r="D2428" t="str">
            <v>와이어로프 철거</v>
          </cell>
          <cell r="E2428" t="str">
            <v>부착대11m</v>
          </cell>
          <cell r="F2428" t="str">
            <v>식</v>
          </cell>
          <cell r="G2428">
            <v>1</v>
          </cell>
          <cell r="H2428">
            <v>-3512.25</v>
          </cell>
          <cell r="I2428">
            <v>-3513</v>
          </cell>
          <cell r="J2428">
            <v>0</v>
          </cell>
          <cell r="K2428">
            <v>0</v>
          </cell>
          <cell r="L2428">
            <v>0</v>
          </cell>
          <cell r="M2428">
            <v>0</v>
          </cell>
          <cell r="N2428">
            <v>-3513</v>
          </cell>
          <cell r="O2428">
            <v>-3513</v>
          </cell>
          <cell r="P2428" t="str">
            <v>제164호표</v>
          </cell>
        </row>
        <row r="2429">
          <cell r="C2429" t="str">
            <v>노무비</v>
          </cell>
          <cell r="D2429" t="str">
            <v>내선전공</v>
          </cell>
          <cell r="E2429" t="str">
            <v>((0.98*0.4*0.8)*1.4+(0.98*0.4)*1.4)*1.1</v>
          </cell>
          <cell r="F2429" t="str">
            <v>인</v>
          </cell>
          <cell r="G2429">
            <v>1.086624</v>
          </cell>
          <cell r="J2429">
            <v>135106</v>
          </cell>
          <cell r="K2429">
            <v>146809</v>
          </cell>
          <cell r="M2429">
            <v>0</v>
          </cell>
          <cell r="N2429">
            <v>135106</v>
          </cell>
          <cell r="O2429">
            <v>146809</v>
          </cell>
        </row>
        <row r="2430">
          <cell r="D2430" t="str">
            <v>보통인부</v>
          </cell>
          <cell r="E2430" t="str">
            <v>((0.75*0.4*0.8)*1.4+(0.75*0.4)*1.4)*1.1</v>
          </cell>
          <cell r="F2430" t="str">
            <v>인</v>
          </cell>
          <cell r="G2430">
            <v>0.83160000000000012</v>
          </cell>
          <cell r="J2430">
            <v>81443</v>
          </cell>
          <cell r="K2430">
            <v>67727</v>
          </cell>
          <cell r="M2430">
            <v>0</v>
          </cell>
          <cell r="N2430">
            <v>81443</v>
          </cell>
          <cell r="O2430">
            <v>67727</v>
          </cell>
        </row>
        <row r="2431">
          <cell r="D2431" t="str">
            <v>공구손료</v>
          </cell>
          <cell r="E2431" t="str">
            <v>노무비의</v>
          </cell>
          <cell r="F2431" t="str">
            <v>%</v>
          </cell>
          <cell r="G2431">
            <v>3</v>
          </cell>
          <cell r="L2431">
            <v>214536</v>
          </cell>
          <cell r="M2431">
            <v>6436</v>
          </cell>
          <cell r="N2431">
            <v>214536</v>
          </cell>
          <cell r="O2431">
            <v>6436</v>
          </cell>
        </row>
        <row r="2432">
          <cell r="C2432" t="str">
            <v>기계경비</v>
          </cell>
          <cell r="D2432" t="str">
            <v>트럭탑재형 크레인(5ton)</v>
          </cell>
          <cell r="E2432" t="str">
            <v>((1.96*0.4)*1.8)</v>
          </cell>
          <cell r="F2432" t="str">
            <v>hr</v>
          </cell>
          <cell r="G2432">
            <v>1.4112</v>
          </cell>
          <cell r="H2432">
            <v>9154</v>
          </cell>
          <cell r="I2432">
            <v>12918</v>
          </cell>
          <cell r="J2432">
            <v>20522</v>
          </cell>
          <cell r="K2432">
            <v>28960</v>
          </cell>
          <cell r="L2432">
            <v>10362</v>
          </cell>
          <cell r="M2432">
            <v>14622</v>
          </cell>
          <cell r="N2432">
            <v>40038</v>
          </cell>
          <cell r="O2432">
            <v>56500</v>
          </cell>
          <cell r="P2432" t="str">
            <v>m21호표</v>
          </cell>
        </row>
        <row r="2433">
          <cell r="C2433" t="str">
            <v>도로교통정리</v>
          </cell>
          <cell r="D2433" t="str">
            <v>보통인부</v>
          </cell>
          <cell r="E2433" t="str">
            <v>((0.2*0.4)*1.8)*1.1</v>
          </cell>
          <cell r="F2433" t="str">
            <v>인</v>
          </cell>
          <cell r="G2433">
            <v>0.15840000000000007</v>
          </cell>
          <cell r="I2433">
            <v>0</v>
          </cell>
          <cell r="J2433">
            <v>81443</v>
          </cell>
          <cell r="K2433">
            <v>12900</v>
          </cell>
          <cell r="M2433">
            <v>0</v>
          </cell>
          <cell r="N2433">
            <v>81443</v>
          </cell>
          <cell r="O2433">
            <v>12900</v>
          </cell>
        </row>
        <row r="2435">
          <cell r="A2435">
            <v>205</v>
          </cell>
          <cell r="B2435">
            <v>3</v>
          </cell>
          <cell r="C2435" t="str">
            <v>제205호표</v>
          </cell>
          <cell r="D2435" t="str">
            <v>차량등 부착대 교정</v>
          </cell>
          <cell r="E2435" t="str">
            <v>11m 이상</v>
          </cell>
          <cell r="F2435" t="str">
            <v>EA</v>
          </cell>
          <cell r="G2435">
            <v>1</v>
          </cell>
          <cell r="I2435">
            <v>8037</v>
          </cell>
          <cell r="K2435">
            <v>119101</v>
          </cell>
          <cell r="M2435">
            <v>11958</v>
          </cell>
          <cell r="O2435">
            <v>139096</v>
          </cell>
          <cell r="P2435" t="str">
            <v>전5-46(나)</v>
          </cell>
        </row>
        <row r="2436">
          <cell r="C2436" t="str">
            <v>노무비</v>
          </cell>
          <cell r="D2436" t="str">
            <v>내선전공</v>
          </cell>
          <cell r="E2436" t="str">
            <v>0.98*0.4*0.8*1.1*1.4</v>
          </cell>
          <cell r="F2436" t="str">
            <v>인</v>
          </cell>
          <cell r="G2436">
            <v>0.4829440000000001</v>
          </cell>
          <cell r="I2436">
            <v>0</v>
          </cell>
          <cell r="J2436">
            <v>135106</v>
          </cell>
          <cell r="K2436">
            <v>65248</v>
          </cell>
          <cell r="M2436">
            <v>0</v>
          </cell>
          <cell r="N2436">
            <v>135106</v>
          </cell>
          <cell r="O2436">
            <v>65248</v>
          </cell>
        </row>
        <row r="2437">
          <cell r="D2437" t="str">
            <v>보통인부</v>
          </cell>
          <cell r="E2437" t="str">
            <v>0.75*0.4*0.8*1.1*1.4</v>
          </cell>
          <cell r="F2437" t="str">
            <v>인</v>
          </cell>
          <cell r="G2437">
            <v>0.3696000000000001</v>
          </cell>
          <cell r="I2437">
            <v>0</v>
          </cell>
          <cell r="J2437">
            <v>81443</v>
          </cell>
          <cell r="K2437">
            <v>30101</v>
          </cell>
          <cell r="M2437">
            <v>0</v>
          </cell>
          <cell r="N2437">
            <v>81443</v>
          </cell>
          <cell r="O2437">
            <v>30101</v>
          </cell>
        </row>
        <row r="2438">
          <cell r="D2438" t="str">
            <v>공구손료</v>
          </cell>
          <cell r="E2438" t="str">
            <v>노무비의</v>
          </cell>
          <cell r="F2438" t="str">
            <v>%</v>
          </cell>
          <cell r="G2438">
            <v>0.03</v>
          </cell>
          <cell r="H2438">
            <v>0</v>
          </cell>
          <cell r="I2438">
            <v>0</v>
          </cell>
          <cell r="K2438">
            <v>0</v>
          </cell>
          <cell r="L2438">
            <v>95349</v>
          </cell>
          <cell r="M2438">
            <v>2860</v>
          </cell>
          <cell r="N2438">
            <v>95349</v>
          </cell>
          <cell r="O2438">
            <v>2860</v>
          </cell>
        </row>
        <row r="2439">
          <cell r="C2439" t="str">
            <v>기계경비</v>
          </cell>
          <cell r="D2439" t="str">
            <v>트럭탑재형크레인(5ton)</v>
          </cell>
          <cell r="E2439" t="str">
            <v>1.96*0.4*0.8*1.4</v>
          </cell>
          <cell r="F2439" t="str">
            <v>hr</v>
          </cell>
          <cell r="G2439">
            <v>0.87808000000000008</v>
          </cell>
          <cell r="H2439">
            <v>9154</v>
          </cell>
          <cell r="I2439">
            <v>8037</v>
          </cell>
          <cell r="J2439">
            <v>20522</v>
          </cell>
          <cell r="K2439">
            <v>18019</v>
          </cell>
          <cell r="L2439">
            <v>10362</v>
          </cell>
          <cell r="M2439">
            <v>9098</v>
          </cell>
          <cell r="N2439">
            <v>40038</v>
          </cell>
          <cell r="O2439">
            <v>35154</v>
          </cell>
          <cell r="P2439" t="str">
            <v>m21호표</v>
          </cell>
        </row>
        <row r="2440">
          <cell r="C2440" t="str">
            <v>도로교통정리</v>
          </cell>
          <cell r="D2440" t="str">
            <v>보통인부</v>
          </cell>
          <cell r="E2440" t="str">
            <v>((0.2*0.4)*0.8)*1.1</v>
          </cell>
          <cell r="F2440" t="str">
            <v>인</v>
          </cell>
          <cell r="G2440">
            <v>7.0400000000000018E-2</v>
          </cell>
          <cell r="I2440">
            <v>0</v>
          </cell>
          <cell r="J2440">
            <v>81443</v>
          </cell>
          <cell r="K2440">
            <v>5733</v>
          </cell>
          <cell r="M2440">
            <v>0</v>
          </cell>
          <cell r="N2440">
            <v>81443</v>
          </cell>
          <cell r="O2440">
            <v>5733</v>
          </cell>
        </row>
        <row r="2442">
          <cell r="A2442">
            <v>206</v>
          </cell>
          <cell r="B2442">
            <v>3</v>
          </cell>
          <cell r="C2442" t="str">
            <v>제206호표</v>
          </cell>
          <cell r="D2442" t="str">
            <v>차량등 부착대 철거(재사용) 및 설치</v>
          </cell>
          <cell r="E2442" t="str">
            <v>9m</v>
          </cell>
          <cell r="F2442" t="str">
            <v>본</v>
          </cell>
          <cell r="G2442">
            <v>1</v>
          </cell>
          <cell r="I2442">
            <v>153410</v>
          </cell>
          <cell r="K2442">
            <v>218938</v>
          </cell>
          <cell r="M2442">
            <v>19934</v>
          </cell>
          <cell r="O2442">
            <v>392282</v>
          </cell>
          <cell r="P2442" t="str">
            <v>전5-46(나)</v>
          </cell>
        </row>
        <row r="2443">
          <cell r="B2443" t="str">
            <v>차량등 부착대 철거(재사용) 및 설치9m</v>
          </cell>
          <cell r="D2443" t="str">
            <v>차량등 부착대 철거(재사용) 및 설치</v>
          </cell>
          <cell r="E2443" t="str">
            <v>9m</v>
          </cell>
          <cell r="F2443" t="str">
            <v>본</v>
          </cell>
          <cell r="G2443">
            <v>1</v>
          </cell>
        </row>
        <row r="2444">
          <cell r="B2444" t="str">
            <v>와이어로프 신설부착대9m</v>
          </cell>
          <cell r="D2444" t="str">
            <v>와이어로프 신설</v>
          </cell>
          <cell r="E2444" t="str">
            <v>부착대9m</v>
          </cell>
          <cell r="F2444" t="str">
            <v>식</v>
          </cell>
          <cell r="G2444">
            <v>1</v>
          </cell>
          <cell r="H2444">
            <v>143250</v>
          </cell>
          <cell r="I2444">
            <v>143250</v>
          </cell>
          <cell r="J2444">
            <v>0</v>
          </cell>
          <cell r="K2444">
            <v>0</v>
          </cell>
          <cell r="L2444">
            <v>0</v>
          </cell>
          <cell r="M2444">
            <v>0</v>
          </cell>
          <cell r="N2444">
            <v>143250</v>
          </cell>
          <cell r="O2444">
            <v>143250</v>
          </cell>
          <cell r="P2444" t="str">
            <v>제87호표</v>
          </cell>
        </row>
        <row r="2445">
          <cell r="B2445" t="str">
            <v>와이어로프 철거부착대9m</v>
          </cell>
          <cell r="D2445" t="str">
            <v>와이어로프 철거</v>
          </cell>
          <cell r="E2445" t="str">
            <v>부착대9m</v>
          </cell>
          <cell r="F2445" t="str">
            <v>식</v>
          </cell>
          <cell r="G2445">
            <v>1</v>
          </cell>
          <cell r="H2445">
            <v>-2757.6499999999996</v>
          </cell>
          <cell r="I2445">
            <v>-2758</v>
          </cell>
          <cell r="J2445">
            <v>0</v>
          </cell>
          <cell r="K2445">
            <v>0</v>
          </cell>
          <cell r="L2445">
            <v>0</v>
          </cell>
          <cell r="M2445">
            <v>0</v>
          </cell>
          <cell r="N2445">
            <v>-2758</v>
          </cell>
          <cell r="O2445">
            <v>-2758</v>
          </cell>
          <cell r="P2445" t="str">
            <v>제165호표</v>
          </cell>
        </row>
        <row r="2446">
          <cell r="C2446" t="str">
            <v>노무비</v>
          </cell>
          <cell r="D2446" t="str">
            <v>내선전공</v>
          </cell>
          <cell r="E2446" t="str">
            <v>((0.98*0.4*0.8)*1.1+(0.98*0.4)*1.2)*1.1</v>
          </cell>
          <cell r="F2446" t="str">
            <v>인</v>
          </cell>
          <cell r="G2446">
            <v>0.89689600000000014</v>
          </cell>
          <cell r="J2446">
            <v>135106</v>
          </cell>
          <cell r="K2446">
            <v>121176</v>
          </cell>
          <cell r="M2446">
            <v>0</v>
          </cell>
          <cell r="N2446">
            <v>135106</v>
          </cell>
          <cell r="O2446">
            <v>121176</v>
          </cell>
        </row>
        <row r="2447">
          <cell r="D2447" t="str">
            <v>보통인부</v>
          </cell>
          <cell r="E2447" t="str">
            <v>((0.75*0.4*0.8)*1.1+(0.75*0.4)*1.2)*1.1</v>
          </cell>
          <cell r="F2447" t="str">
            <v>인</v>
          </cell>
          <cell r="G2447">
            <v>0.68640000000000012</v>
          </cell>
          <cell r="J2447">
            <v>81443</v>
          </cell>
          <cell r="K2447">
            <v>55902</v>
          </cell>
          <cell r="M2447">
            <v>0</v>
          </cell>
          <cell r="N2447">
            <v>81443</v>
          </cell>
          <cell r="O2447">
            <v>55902</v>
          </cell>
        </row>
        <row r="2448">
          <cell r="D2448" t="str">
            <v>공구손료</v>
          </cell>
          <cell r="E2448" t="str">
            <v>노무비의</v>
          </cell>
          <cell r="F2448" t="str">
            <v>%</v>
          </cell>
          <cell r="G2448">
            <v>3</v>
          </cell>
          <cell r="L2448">
            <v>177078</v>
          </cell>
          <cell r="M2448">
            <v>5312</v>
          </cell>
          <cell r="N2448">
            <v>177078</v>
          </cell>
          <cell r="O2448">
            <v>5312</v>
          </cell>
        </row>
        <row r="2449">
          <cell r="C2449" t="str">
            <v>기계경비</v>
          </cell>
          <cell r="D2449" t="str">
            <v>트럭탑재형 크레인(5ton)</v>
          </cell>
          <cell r="E2449" t="str">
            <v>((1.96*0.4)*1.8)</v>
          </cell>
          <cell r="F2449" t="str">
            <v>hr</v>
          </cell>
          <cell r="G2449">
            <v>1.4112</v>
          </cell>
          <cell r="H2449">
            <v>9154</v>
          </cell>
          <cell r="I2449">
            <v>12918</v>
          </cell>
          <cell r="J2449">
            <v>20522</v>
          </cell>
          <cell r="K2449">
            <v>28960</v>
          </cell>
          <cell r="L2449">
            <v>10362</v>
          </cell>
          <cell r="M2449">
            <v>14622</v>
          </cell>
          <cell r="N2449">
            <v>40038</v>
          </cell>
          <cell r="O2449">
            <v>56500</v>
          </cell>
          <cell r="P2449" t="str">
            <v>m21호표</v>
          </cell>
        </row>
        <row r="2450">
          <cell r="C2450" t="str">
            <v>도로교통정리</v>
          </cell>
          <cell r="D2450" t="str">
            <v>보통인부</v>
          </cell>
          <cell r="E2450" t="str">
            <v>((0.2*0.4)*1.8)*1.1</v>
          </cell>
          <cell r="F2450" t="str">
            <v>인</v>
          </cell>
          <cell r="G2450">
            <v>0.15840000000000007</v>
          </cell>
          <cell r="I2450">
            <v>0</v>
          </cell>
          <cell r="J2450">
            <v>81443</v>
          </cell>
          <cell r="K2450">
            <v>12900</v>
          </cell>
          <cell r="M2450">
            <v>0</v>
          </cell>
          <cell r="N2450">
            <v>81443</v>
          </cell>
          <cell r="O2450">
            <v>12900</v>
          </cell>
        </row>
        <row r="2452">
          <cell r="A2452">
            <v>207</v>
          </cell>
          <cell r="B2452">
            <v>3</v>
          </cell>
          <cell r="C2452" t="str">
            <v>제207호표</v>
          </cell>
          <cell r="D2452" t="str">
            <v>차량등 부착대 교정</v>
          </cell>
          <cell r="E2452" t="str">
            <v>9m 이하</v>
          </cell>
          <cell r="F2452" t="str">
            <v>EA</v>
          </cell>
          <cell r="G2452">
            <v>1</v>
          </cell>
          <cell r="I2452">
            <v>6889</v>
          </cell>
          <cell r="K2452">
            <v>102906</v>
          </cell>
          <cell r="M2452">
            <v>10249</v>
          </cell>
          <cell r="O2452">
            <v>120044</v>
          </cell>
          <cell r="P2452" t="str">
            <v>전5-46(나)</v>
          </cell>
        </row>
        <row r="2453">
          <cell r="C2453" t="str">
            <v>노무비</v>
          </cell>
          <cell r="D2453" t="str">
            <v>내선전공</v>
          </cell>
          <cell r="E2453" t="str">
            <v>0.98*0.4*0.8*1.2*1.1</v>
          </cell>
          <cell r="F2453" t="str">
            <v>인</v>
          </cell>
          <cell r="G2453">
            <v>0.4139520000000001</v>
          </cell>
          <cell r="I2453">
            <v>0</v>
          </cell>
          <cell r="J2453">
            <v>135106</v>
          </cell>
          <cell r="K2453">
            <v>55927</v>
          </cell>
          <cell r="M2453">
            <v>0</v>
          </cell>
          <cell r="N2453">
            <v>135106</v>
          </cell>
          <cell r="O2453">
            <v>55927</v>
          </cell>
        </row>
        <row r="2454">
          <cell r="D2454" t="str">
            <v>보통인부</v>
          </cell>
          <cell r="E2454" t="str">
            <v>0.75*0.4*0.8*1.2*1.1</v>
          </cell>
          <cell r="F2454" t="str">
            <v>인</v>
          </cell>
          <cell r="G2454">
            <v>0.31680000000000008</v>
          </cell>
          <cell r="I2454">
            <v>0</v>
          </cell>
          <cell r="J2454">
            <v>81443</v>
          </cell>
          <cell r="K2454">
            <v>25801</v>
          </cell>
          <cell r="M2454">
            <v>0</v>
          </cell>
          <cell r="N2454">
            <v>81443</v>
          </cell>
          <cell r="O2454">
            <v>25801</v>
          </cell>
        </row>
        <row r="2455">
          <cell r="D2455" t="str">
            <v>공구손료</v>
          </cell>
          <cell r="E2455" t="str">
            <v>노무비의</v>
          </cell>
          <cell r="F2455" t="str">
            <v>%</v>
          </cell>
          <cell r="G2455">
            <v>0.03</v>
          </cell>
          <cell r="H2455">
            <v>0</v>
          </cell>
          <cell r="I2455">
            <v>0</v>
          </cell>
          <cell r="K2455">
            <v>0</v>
          </cell>
          <cell r="L2455">
            <v>81728</v>
          </cell>
          <cell r="M2455">
            <v>2451</v>
          </cell>
          <cell r="N2455">
            <v>81728</v>
          </cell>
          <cell r="O2455">
            <v>2451</v>
          </cell>
        </row>
        <row r="2456">
          <cell r="C2456" t="str">
            <v>기계경비</v>
          </cell>
          <cell r="D2456" t="str">
            <v>트럭탑재형크레인(5ton)</v>
          </cell>
          <cell r="E2456" t="str">
            <v>1.96*0.4*0.8*1.2</v>
          </cell>
          <cell r="F2456" t="str">
            <v>hr</v>
          </cell>
          <cell r="G2456">
            <v>0.75264000000000009</v>
          </cell>
          <cell r="H2456">
            <v>9154</v>
          </cell>
          <cell r="I2456">
            <v>6889</v>
          </cell>
          <cell r="J2456">
            <v>20522</v>
          </cell>
          <cell r="K2456">
            <v>15445</v>
          </cell>
          <cell r="L2456">
            <v>10362</v>
          </cell>
          <cell r="M2456">
            <v>7798</v>
          </cell>
          <cell r="N2456">
            <v>40038</v>
          </cell>
          <cell r="O2456">
            <v>30132</v>
          </cell>
          <cell r="P2456" t="str">
            <v>m21호표</v>
          </cell>
        </row>
        <row r="2457">
          <cell r="C2457" t="str">
            <v>도로교통정리</v>
          </cell>
          <cell r="D2457" t="str">
            <v>보통인부</v>
          </cell>
          <cell r="E2457" t="str">
            <v>((0.2*0.4)*0.8)*1.1</v>
          </cell>
          <cell r="F2457" t="str">
            <v>인</v>
          </cell>
          <cell r="G2457">
            <v>7.0400000000000018E-2</v>
          </cell>
          <cell r="I2457">
            <v>0</v>
          </cell>
          <cell r="J2457">
            <v>81443</v>
          </cell>
          <cell r="K2457">
            <v>5733</v>
          </cell>
          <cell r="M2457">
            <v>0</v>
          </cell>
          <cell r="N2457">
            <v>81443</v>
          </cell>
          <cell r="O2457">
            <v>5733</v>
          </cell>
        </row>
        <row r="2459">
          <cell r="A2459">
            <v>208</v>
          </cell>
          <cell r="B2459">
            <v>3</v>
          </cell>
          <cell r="C2459" t="str">
            <v>제208호표</v>
          </cell>
          <cell r="D2459" t="str">
            <v>차량등 부착대 철거(재사용) 및 설치</v>
          </cell>
          <cell r="E2459" t="str">
            <v>7m</v>
          </cell>
          <cell r="F2459" t="str">
            <v>본</v>
          </cell>
          <cell r="G2459">
            <v>1</v>
          </cell>
          <cell r="I2459">
            <v>105401</v>
          </cell>
          <cell r="K2459">
            <v>195100</v>
          </cell>
          <cell r="M2459">
            <v>19219</v>
          </cell>
          <cell r="O2459">
            <v>319720</v>
          </cell>
          <cell r="P2459" t="str">
            <v>전5-46(나)</v>
          </cell>
        </row>
        <row r="2461">
          <cell r="B2461" t="str">
            <v>차량등 부착대 철거(재사용) 및 설치7m</v>
          </cell>
          <cell r="D2461" t="str">
            <v>차량등 부착대 철거(재사용) 및 설치</v>
          </cell>
          <cell r="E2461" t="str">
            <v>7m</v>
          </cell>
          <cell r="F2461" t="str">
            <v>본</v>
          </cell>
          <cell r="G2461">
            <v>1</v>
          </cell>
        </row>
        <row r="2463">
          <cell r="B2463" t="str">
            <v>와이어로프 신설부착대7m</v>
          </cell>
          <cell r="D2463" t="str">
            <v>와이어로프 신설</v>
          </cell>
          <cell r="E2463" t="str">
            <v>부착대7m</v>
          </cell>
          <cell r="F2463" t="str">
            <v>식</v>
          </cell>
          <cell r="G2463">
            <v>1</v>
          </cell>
          <cell r="H2463">
            <v>94240</v>
          </cell>
          <cell r="I2463">
            <v>94240</v>
          </cell>
          <cell r="J2463">
            <v>0</v>
          </cell>
          <cell r="K2463">
            <v>0</v>
          </cell>
          <cell r="L2463">
            <v>0</v>
          </cell>
          <cell r="M2463">
            <v>0</v>
          </cell>
          <cell r="N2463">
            <v>94240</v>
          </cell>
          <cell r="O2463">
            <v>94240</v>
          </cell>
          <cell r="P2463" t="str">
            <v>제88호표</v>
          </cell>
        </row>
        <row r="2464">
          <cell r="B2464" t="str">
            <v>와이어로프 철거부착대7m</v>
          </cell>
          <cell r="D2464" t="str">
            <v>와이어로프 철거</v>
          </cell>
          <cell r="E2464" t="str">
            <v>부착대7m</v>
          </cell>
          <cell r="F2464" t="str">
            <v>식</v>
          </cell>
          <cell r="G2464">
            <v>1</v>
          </cell>
          <cell r="H2464">
            <v>-1756.3</v>
          </cell>
          <cell r="I2464">
            <v>-1757</v>
          </cell>
          <cell r="J2464">
            <v>0</v>
          </cell>
          <cell r="K2464">
            <v>0</v>
          </cell>
          <cell r="L2464">
            <v>0</v>
          </cell>
          <cell r="M2464">
            <v>0</v>
          </cell>
          <cell r="N2464">
            <v>-1757</v>
          </cell>
          <cell r="O2464">
            <v>-1757</v>
          </cell>
          <cell r="P2464" t="str">
            <v>제166호표</v>
          </cell>
        </row>
        <row r="2466">
          <cell r="C2466" t="str">
            <v>노무비</v>
          </cell>
          <cell r="D2466" t="str">
            <v>내선전공</v>
          </cell>
          <cell r="E2466" t="str">
            <v>((0.98*0.4*0.8)+(0.98*0.4))*1.1</v>
          </cell>
          <cell r="F2466" t="str">
            <v>인</v>
          </cell>
          <cell r="G2466">
            <v>0.77616000000000007</v>
          </cell>
          <cell r="J2466">
            <v>135106</v>
          </cell>
          <cell r="K2466">
            <v>104863</v>
          </cell>
          <cell r="M2466">
            <v>0</v>
          </cell>
          <cell r="N2466">
            <v>135106</v>
          </cell>
          <cell r="O2466">
            <v>104863</v>
          </cell>
        </row>
        <row r="2467">
          <cell r="D2467" t="str">
            <v>보통인부</v>
          </cell>
          <cell r="E2467" t="str">
            <v>((0.75*0.4*0.8)+(0.75*0.4))*1.1</v>
          </cell>
          <cell r="F2467" t="str">
            <v>인</v>
          </cell>
          <cell r="G2467">
            <v>0.59400000000000008</v>
          </cell>
          <cell r="J2467">
            <v>81443</v>
          </cell>
          <cell r="K2467">
            <v>48377</v>
          </cell>
          <cell r="M2467">
            <v>0</v>
          </cell>
          <cell r="N2467">
            <v>81443</v>
          </cell>
          <cell r="O2467">
            <v>48377</v>
          </cell>
        </row>
        <row r="2468">
          <cell r="D2468" t="str">
            <v>공구손료</v>
          </cell>
          <cell r="E2468" t="str">
            <v>노무비의</v>
          </cell>
          <cell r="F2468" t="str">
            <v>%</v>
          </cell>
          <cell r="G2468">
            <v>3</v>
          </cell>
          <cell r="L2468">
            <v>153240</v>
          </cell>
          <cell r="M2468">
            <v>4597</v>
          </cell>
          <cell r="N2468">
            <v>153240</v>
          </cell>
          <cell r="O2468">
            <v>4597</v>
          </cell>
        </row>
        <row r="2469">
          <cell r="C2469" t="str">
            <v>기계경비</v>
          </cell>
          <cell r="D2469" t="str">
            <v>트럭탑재형 크레인(5ton)</v>
          </cell>
          <cell r="E2469" t="str">
            <v>((1.96*0.4)*1.8)</v>
          </cell>
          <cell r="F2469" t="str">
            <v>hr</v>
          </cell>
          <cell r="G2469">
            <v>1.4112</v>
          </cell>
          <cell r="H2469">
            <v>9154</v>
          </cell>
          <cell r="I2469">
            <v>12918</v>
          </cell>
          <cell r="J2469">
            <v>20522</v>
          </cell>
          <cell r="K2469">
            <v>28960</v>
          </cell>
          <cell r="L2469">
            <v>10362</v>
          </cell>
          <cell r="M2469">
            <v>14622</v>
          </cell>
          <cell r="N2469">
            <v>40038</v>
          </cell>
          <cell r="O2469">
            <v>56500</v>
          </cell>
          <cell r="P2469" t="str">
            <v>m21호표</v>
          </cell>
        </row>
        <row r="2470">
          <cell r="C2470" t="str">
            <v>도로교통정리</v>
          </cell>
          <cell r="D2470" t="str">
            <v>보통인부</v>
          </cell>
          <cell r="E2470" t="str">
            <v>((0.2*0.4)*1.8)*1.1</v>
          </cell>
          <cell r="F2470" t="str">
            <v>인</v>
          </cell>
          <cell r="G2470">
            <v>0.15840000000000007</v>
          </cell>
          <cell r="I2470">
            <v>0</v>
          </cell>
          <cell r="J2470">
            <v>81443</v>
          </cell>
          <cell r="K2470">
            <v>12900</v>
          </cell>
          <cell r="M2470">
            <v>0</v>
          </cell>
          <cell r="N2470">
            <v>81443</v>
          </cell>
          <cell r="O2470">
            <v>12900</v>
          </cell>
        </row>
        <row r="2472">
          <cell r="A2472">
            <v>209</v>
          </cell>
          <cell r="B2472">
            <v>3</v>
          </cell>
          <cell r="C2472" t="str">
            <v>제209호표</v>
          </cell>
          <cell r="D2472" t="str">
            <v>차량등 부착대 교정</v>
          </cell>
          <cell r="E2472" t="str">
            <v>7m 이하</v>
          </cell>
          <cell r="F2472" t="str">
            <v>EA</v>
          </cell>
          <cell r="G2472">
            <v>1</v>
          </cell>
          <cell r="I2472">
            <v>5741</v>
          </cell>
          <cell r="K2472">
            <v>86710</v>
          </cell>
          <cell r="M2472">
            <v>8542</v>
          </cell>
          <cell r="O2472">
            <v>100993</v>
          </cell>
          <cell r="P2472" t="str">
            <v>전5-46(나)</v>
          </cell>
        </row>
        <row r="2473">
          <cell r="C2473" t="str">
            <v>노무비</v>
          </cell>
          <cell r="D2473" t="str">
            <v>내선전공</v>
          </cell>
          <cell r="E2473" t="str">
            <v>0.98*0.4*0.8*1.1</v>
          </cell>
          <cell r="F2473" t="str">
            <v>인</v>
          </cell>
          <cell r="G2473">
            <v>0.3449600000000001</v>
          </cell>
          <cell r="I2473">
            <v>0</v>
          </cell>
          <cell r="J2473">
            <v>135106</v>
          </cell>
          <cell r="K2473">
            <v>46606</v>
          </cell>
          <cell r="M2473">
            <v>0</v>
          </cell>
          <cell r="N2473">
            <v>135106</v>
          </cell>
          <cell r="O2473">
            <v>46606</v>
          </cell>
        </row>
        <row r="2474">
          <cell r="D2474" t="str">
            <v>보통인부</v>
          </cell>
          <cell r="E2474" t="str">
            <v>0.75*0.4*0.8*1.1</v>
          </cell>
          <cell r="F2474" t="str">
            <v>인</v>
          </cell>
          <cell r="G2474">
            <v>0.26400000000000007</v>
          </cell>
          <cell r="I2474">
            <v>0</v>
          </cell>
          <cell r="J2474">
            <v>81443</v>
          </cell>
          <cell r="K2474">
            <v>21500</v>
          </cell>
          <cell r="M2474">
            <v>0</v>
          </cell>
          <cell r="N2474">
            <v>81443</v>
          </cell>
          <cell r="O2474">
            <v>21500</v>
          </cell>
        </row>
        <row r="2475">
          <cell r="D2475" t="str">
            <v>공구손료</v>
          </cell>
          <cell r="E2475" t="str">
            <v>노무비의</v>
          </cell>
          <cell r="F2475" t="str">
            <v>%</v>
          </cell>
          <cell r="G2475">
            <v>0.03</v>
          </cell>
          <cell r="H2475">
            <v>0</v>
          </cell>
          <cell r="I2475">
            <v>0</v>
          </cell>
          <cell r="K2475">
            <v>0</v>
          </cell>
          <cell r="L2475">
            <v>68106</v>
          </cell>
          <cell r="M2475">
            <v>2043</v>
          </cell>
          <cell r="N2475">
            <v>68106</v>
          </cell>
          <cell r="O2475">
            <v>2043</v>
          </cell>
        </row>
        <row r="2476">
          <cell r="C2476" t="str">
            <v>기계경비</v>
          </cell>
          <cell r="D2476" t="str">
            <v>트럭탑재형크레인(5ton)</v>
          </cell>
          <cell r="E2476" t="str">
            <v>1.96*0.4*0.8</v>
          </cell>
          <cell r="F2476" t="str">
            <v>hr</v>
          </cell>
          <cell r="G2476">
            <v>0.62720000000000009</v>
          </cell>
          <cell r="H2476">
            <v>9154</v>
          </cell>
          <cell r="I2476">
            <v>5741</v>
          </cell>
          <cell r="J2476">
            <v>20522</v>
          </cell>
          <cell r="K2476">
            <v>12871</v>
          </cell>
          <cell r="L2476">
            <v>10362</v>
          </cell>
          <cell r="M2476">
            <v>6499</v>
          </cell>
          <cell r="N2476">
            <v>40038</v>
          </cell>
          <cell r="O2476">
            <v>25111</v>
          </cell>
          <cell r="P2476" t="str">
            <v>m21호표</v>
          </cell>
        </row>
        <row r="2477">
          <cell r="C2477" t="str">
            <v>도로교통정리</v>
          </cell>
          <cell r="D2477" t="str">
            <v>보통인부</v>
          </cell>
          <cell r="E2477" t="str">
            <v>((0.2*0.4)*0.8)*1.1</v>
          </cell>
          <cell r="F2477" t="str">
            <v>인</v>
          </cell>
          <cell r="G2477">
            <v>7.0400000000000018E-2</v>
          </cell>
          <cell r="I2477">
            <v>0</v>
          </cell>
          <cell r="J2477">
            <v>81443</v>
          </cell>
          <cell r="K2477">
            <v>5733</v>
          </cell>
          <cell r="M2477">
            <v>0</v>
          </cell>
          <cell r="N2477">
            <v>81443</v>
          </cell>
          <cell r="O2477">
            <v>5733</v>
          </cell>
        </row>
        <row r="2479">
          <cell r="A2479">
            <v>210</v>
          </cell>
          <cell r="B2479">
            <v>3</v>
          </cell>
          <cell r="C2479" t="str">
            <v>제210호표</v>
          </cell>
          <cell r="D2479" t="str">
            <v>차량등 부착대 철거(재사용) 및 설치</v>
          </cell>
          <cell r="E2479" t="str">
            <v>5m</v>
          </cell>
          <cell r="F2479" t="str">
            <v>본</v>
          </cell>
          <cell r="G2479">
            <v>1</v>
          </cell>
          <cell r="I2479">
            <v>97962</v>
          </cell>
          <cell r="K2479">
            <v>195100</v>
          </cell>
          <cell r="M2479">
            <v>19219</v>
          </cell>
          <cell r="O2479">
            <v>312281</v>
          </cell>
          <cell r="P2479" t="str">
            <v>전5-46(나)</v>
          </cell>
        </row>
        <row r="2481">
          <cell r="B2481" t="str">
            <v>차량등 부착대 철거(재사용) 및 설치5m</v>
          </cell>
          <cell r="D2481" t="str">
            <v>차량등 부착대 철거(재사용) 및 설치</v>
          </cell>
          <cell r="E2481" t="str">
            <v>5m</v>
          </cell>
          <cell r="F2481" t="str">
            <v>본</v>
          </cell>
          <cell r="G2481">
            <v>1</v>
          </cell>
        </row>
        <row r="2482">
          <cell r="B2482" t="str">
            <v>와이어로프 신설부착대5m</v>
          </cell>
          <cell r="C2482" t="str">
            <v>재료비</v>
          </cell>
          <cell r="D2482" t="str">
            <v>와이어로프 신설</v>
          </cell>
          <cell r="E2482" t="str">
            <v>부착대5m</v>
          </cell>
          <cell r="F2482" t="str">
            <v>식</v>
          </cell>
          <cell r="G2482">
            <v>1</v>
          </cell>
          <cell r="H2482">
            <v>86281</v>
          </cell>
          <cell r="I2482">
            <v>86281</v>
          </cell>
          <cell r="J2482">
            <v>0</v>
          </cell>
          <cell r="K2482">
            <v>0</v>
          </cell>
          <cell r="L2482">
            <v>0</v>
          </cell>
          <cell r="M2482">
            <v>0</v>
          </cell>
          <cell r="N2482">
            <v>86281</v>
          </cell>
          <cell r="O2482">
            <v>86281</v>
          </cell>
          <cell r="P2482" t="str">
            <v>제89호표</v>
          </cell>
        </row>
        <row r="2483">
          <cell r="B2483" t="str">
            <v>와이어로프 철거부착대5m</v>
          </cell>
          <cell r="D2483" t="str">
            <v>와이어로프 철거</v>
          </cell>
          <cell r="E2483" t="str">
            <v>부착대5m</v>
          </cell>
          <cell r="F2483" t="str">
            <v>식</v>
          </cell>
          <cell r="G2483">
            <v>1</v>
          </cell>
          <cell r="H2483">
            <v>-1236.2</v>
          </cell>
          <cell r="I2483">
            <v>-1237</v>
          </cell>
          <cell r="J2483">
            <v>0</v>
          </cell>
          <cell r="K2483">
            <v>0</v>
          </cell>
          <cell r="L2483">
            <v>0</v>
          </cell>
          <cell r="M2483">
            <v>0</v>
          </cell>
          <cell r="N2483">
            <v>-1237</v>
          </cell>
          <cell r="O2483">
            <v>-1237</v>
          </cell>
          <cell r="P2483" t="str">
            <v>제167호표</v>
          </cell>
        </row>
        <row r="2484">
          <cell r="C2484" t="str">
            <v>노무비</v>
          </cell>
          <cell r="D2484" t="str">
            <v>내선전공</v>
          </cell>
          <cell r="E2484" t="str">
            <v>((0.98*0.4*0.8)+(0.98*0.4))*1.1</v>
          </cell>
          <cell r="F2484" t="str">
            <v>인</v>
          </cell>
          <cell r="G2484">
            <v>0.77616000000000007</v>
          </cell>
          <cell r="J2484">
            <v>135106</v>
          </cell>
          <cell r="K2484">
            <v>104863</v>
          </cell>
          <cell r="M2484">
            <v>0</v>
          </cell>
          <cell r="N2484">
            <v>135106</v>
          </cell>
          <cell r="O2484">
            <v>104863</v>
          </cell>
        </row>
        <row r="2485">
          <cell r="D2485" t="str">
            <v>보통인부</v>
          </cell>
          <cell r="E2485" t="str">
            <v>((0.75*0.4*0.8)+(0.75*0.4))*1.1</v>
          </cell>
          <cell r="F2485" t="str">
            <v>인</v>
          </cell>
          <cell r="G2485">
            <v>0.59400000000000008</v>
          </cell>
          <cell r="J2485">
            <v>81443</v>
          </cell>
          <cell r="K2485">
            <v>48377</v>
          </cell>
          <cell r="M2485">
            <v>0</v>
          </cell>
          <cell r="N2485">
            <v>81443</v>
          </cell>
          <cell r="O2485">
            <v>48377</v>
          </cell>
        </row>
        <row r="2486">
          <cell r="D2486" t="str">
            <v>공구손료</v>
          </cell>
          <cell r="E2486" t="str">
            <v>노무비의</v>
          </cell>
          <cell r="F2486" t="str">
            <v>%</v>
          </cell>
          <cell r="G2486">
            <v>3</v>
          </cell>
          <cell r="L2486">
            <v>153240</v>
          </cell>
          <cell r="M2486">
            <v>4597</v>
          </cell>
          <cell r="N2486">
            <v>153240</v>
          </cell>
          <cell r="O2486">
            <v>4597</v>
          </cell>
        </row>
        <row r="2487">
          <cell r="C2487" t="str">
            <v>기계경비</v>
          </cell>
          <cell r="D2487" t="str">
            <v>트럭탑재형 크레인(5ton)</v>
          </cell>
          <cell r="E2487" t="str">
            <v>((1.96*0.4)*1.8)</v>
          </cell>
          <cell r="F2487" t="str">
            <v>hr</v>
          </cell>
          <cell r="G2487">
            <v>1.4112</v>
          </cell>
          <cell r="H2487">
            <v>9154</v>
          </cell>
          <cell r="I2487">
            <v>12918</v>
          </cell>
          <cell r="J2487">
            <v>20522</v>
          </cell>
          <cell r="K2487">
            <v>28960</v>
          </cell>
          <cell r="L2487">
            <v>10362</v>
          </cell>
          <cell r="M2487">
            <v>14622</v>
          </cell>
          <cell r="N2487">
            <v>40038</v>
          </cell>
          <cell r="O2487">
            <v>56500</v>
          </cell>
          <cell r="P2487" t="str">
            <v>m21호표</v>
          </cell>
        </row>
        <row r="2488">
          <cell r="C2488" t="str">
            <v>도로교통정리</v>
          </cell>
          <cell r="D2488" t="str">
            <v>보통인부</v>
          </cell>
          <cell r="E2488" t="str">
            <v>((0.2*0.4)*1.8)*1.1</v>
          </cell>
          <cell r="F2488" t="str">
            <v>인</v>
          </cell>
          <cell r="G2488">
            <v>0.15840000000000007</v>
          </cell>
          <cell r="I2488">
            <v>0</v>
          </cell>
          <cell r="J2488">
            <v>81443</v>
          </cell>
          <cell r="K2488">
            <v>12900</v>
          </cell>
          <cell r="M2488">
            <v>0</v>
          </cell>
          <cell r="N2488">
            <v>81443</v>
          </cell>
          <cell r="O2488">
            <v>12900</v>
          </cell>
        </row>
        <row r="2490">
          <cell r="A2490">
            <v>211</v>
          </cell>
          <cell r="B2490">
            <v>3</v>
          </cell>
          <cell r="C2490" t="str">
            <v>제211호표</v>
          </cell>
          <cell r="D2490" t="str">
            <v>차량등 부착대 철거(재사용) 및 설치</v>
          </cell>
          <cell r="E2490" t="str">
            <v>3m</v>
          </cell>
          <cell r="F2490" t="str">
            <v>본</v>
          </cell>
          <cell r="G2490">
            <v>1</v>
          </cell>
          <cell r="I2490">
            <v>52156</v>
          </cell>
          <cell r="K2490">
            <v>195100</v>
          </cell>
          <cell r="M2490">
            <v>19219</v>
          </cell>
          <cell r="O2490">
            <v>266475</v>
          </cell>
          <cell r="P2490" t="str">
            <v>전5-46(나)</v>
          </cell>
        </row>
        <row r="2492">
          <cell r="B2492" t="str">
            <v>차량등 부착대 철거(재사용) 및 설치3m</v>
          </cell>
          <cell r="D2492" t="str">
            <v>차량등 부착대 철거(재사용) 및 설치</v>
          </cell>
          <cell r="E2492" t="str">
            <v>3m</v>
          </cell>
          <cell r="F2492" t="str">
            <v>본</v>
          </cell>
          <cell r="G2492">
            <v>1</v>
          </cell>
        </row>
        <row r="2494">
          <cell r="B2494" t="str">
            <v>와이어로프 신설부착대3m</v>
          </cell>
          <cell r="C2494" t="str">
            <v>재료비</v>
          </cell>
          <cell r="D2494" t="str">
            <v>와이어로프 신설</v>
          </cell>
          <cell r="E2494" t="str">
            <v>부착대3m</v>
          </cell>
          <cell r="F2494" t="str">
            <v>식</v>
          </cell>
          <cell r="G2494">
            <v>1</v>
          </cell>
          <cell r="H2494">
            <v>39980</v>
          </cell>
          <cell r="I2494">
            <v>39980</v>
          </cell>
          <cell r="J2494">
            <v>0</v>
          </cell>
          <cell r="K2494">
            <v>0</v>
          </cell>
          <cell r="L2494">
            <v>0</v>
          </cell>
          <cell r="M2494">
            <v>0</v>
          </cell>
          <cell r="N2494">
            <v>39980</v>
          </cell>
          <cell r="O2494">
            <v>39980</v>
          </cell>
          <cell r="P2494" t="str">
            <v>제90호표</v>
          </cell>
        </row>
        <row r="2495">
          <cell r="B2495" t="str">
            <v>와이어로프 철거부착대3m</v>
          </cell>
          <cell r="D2495" t="str">
            <v>와이어로프 철거</v>
          </cell>
          <cell r="E2495" t="str">
            <v>부착대3m</v>
          </cell>
          <cell r="F2495" t="str">
            <v>식</v>
          </cell>
          <cell r="G2495">
            <v>1</v>
          </cell>
          <cell r="H2495">
            <v>-741.65000000000009</v>
          </cell>
          <cell r="I2495">
            <v>-742</v>
          </cell>
          <cell r="J2495">
            <v>0</v>
          </cell>
          <cell r="K2495">
            <v>0</v>
          </cell>
          <cell r="L2495">
            <v>0</v>
          </cell>
          <cell r="M2495">
            <v>0</v>
          </cell>
          <cell r="N2495">
            <v>-742</v>
          </cell>
          <cell r="O2495">
            <v>-742</v>
          </cell>
          <cell r="P2495" t="str">
            <v>제168호표</v>
          </cell>
        </row>
        <row r="2496">
          <cell r="C2496" t="str">
            <v>노무비</v>
          </cell>
          <cell r="D2496" t="str">
            <v>내선전공</v>
          </cell>
          <cell r="E2496" t="str">
            <v>((0.98*0.4*0.8)+(0.98*0.4))*1.1</v>
          </cell>
          <cell r="F2496" t="str">
            <v>인</v>
          </cell>
          <cell r="G2496">
            <v>0.77616000000000007</v>
          </cell>
          <cell r="J2496">
            <v>135106</v>
          </cell>
          <cell r="K2496">
            <v>104863</v>
          </cell>
          <cell r="M2496">
            <v>0</v>
          </cell>
          <cell r="N2496">
            <v>135106</v>
          </cell>
          <cell r="O2496">
            <v>104863</v>
          </cell>
        </row>
        <row r="2497">
          <cell r="D2497" t="str">
            <v>보통인부</v>
          </cell>
          <cell r="E2497" t="str">
            <v>((0.75*0.4*0.8)+(0.75*0.4))*1.1</v>
          </cell>
          <cell r="F2497" t="str">
            <v>인</v>
          </cell>
          <cell r="G2497">
            <v>0.59400000000000008</v>
          </cell>
          <cell r="J2497">
            <v>81443</v>
          </cell>
          <cell r="K2497">
            <v>48377</v>
          </cell>
          <cell r="M2497">
            <v>0</v>
          </cell>
          <cell r="N2497">
            <v>81443</v>
          </cell>
          <cell r="O2497">
            <v>48377</v>
          </cell>
        </row>
        <row r="2498">
          <cell r="D2498" t="str">
            <v>공구손료</v>
          </cell>
          <cell r="E2498" t="str">
            <v>노무비의</v>
          </cell>
          <cell r="F2498" t="str">
            <v>%</v>
          </cell>
          <cell r="G2498">
            <v>3</v>
          </cell>
          <cell r="L2498">
            <v>153240</v>
          </cell>
          <cell r="M2498">
            <v>4597</v>
          </cell>
          <cell r="N2498">
            <v>153240</v>
          </cell>
          <cell r="O2498">
            <v>4597</v>
          </cell>
        </row>
        <row r="2499">
          <cell r="C2499" t="str">
            <v>기계경비</v>
          </cell>
          <cell r="D2499" t="str">
            <v>트럭탑재형 크레인(5ton)</v>
          </cell>
          <cell r="E2499" t="str">
            <v>((1.96*0.4)*1.8)</v>
          </cell>
          <cell r="F2499" t="str">
            <v>hr</v>
          </cell>
          <cell r="G2499">
            <v>1.4112</v>
          </cell>
          <cell r="H2499">
            <v>9154</v>
          </cell>
          <cell r="I2499">
            <v>12918</v>
          </cell>
          <cell r="J2499">
            <v>20522</v>
          </cell>
          <cell r="K2499">
            <v>28960</v>
          </cell>
          <cell r="L2499">
            <v>10362</v>
          </cell>
          <cell r="M2499">
            <v>14622</v>
          </cell>
          <cell r="N2499">
            <v>40038</v>
          </cell>
          <cell r="O2499">
            <v>56500</v>
          </cell>
          <cell r="P2499" t="str">
            <v>m21호표</v>
          </cell>
        </row>
        <row r="2500">
          <cell r="C2500" t="str">
            <v>도로교통정리</v>
          </cell>
          <cell r="D2500" t="str">
            <v>보통인부</v>
          </cell>
          <cell r="E2500" t="str">
            <v>((0.2*0.4)*1.8)*1.1</v>
          </cell>
          <cell r="F2500" t="str">
            <v>인</v>
          </cell>
          <cell r="G2500">
            <v>0.15840000000000007</v>
          </cell>
          <cell r="I2500">
            <v>0</v>
          </cell>
          <cell r="J2500">
            <v>81443</v>
          </cell>
          <cell r="K2500">
            <v>12900</v>
          </cell>
          <cell r="M2500">
            <v>0</v>
          </cell>
          <cell r="N2500">
            <v>81443</v>
          </cell>
          <cell r="O2500">
            <v>12900</v>
          </cell>
        </row>
        <row r="2502">
          <cell r="A2502">
            <v>212</v>
          </cell>
          <cell r="B2502">
            <v>3</v>
          </cell>
          <cell r="C2502" t="str">
            <v>제212호표</v>
          </cell>
          <cell r="D2502" t="str">
            <v>차량신호등 재사용 철거 및 설치</v>
          </cell>
          <cell r="E2502" t="str">
            <v>1면 4색,3색,2색,1색 LED</v>
          </cell>
          <cell r="F2502" t="str">
            <v>대</v>
          </cell>
          <cell r="G2502">
            <v>1</v>
          </cell>
          <cell r="I2502">
            <v>13181</v>
          </cell>
          <cell r="K2502">
            <v>473267</v>
          </cell>
          <cell r="M2502">
            <v>28232</v>
          </cell>
          <cell r="O2502">
            <v>514680</v>
          </cell>
          <cell r="P2502" t="str">
            <v>전5-46</v>
          </cell>
        </row>
        <row r="2504">
          <cell r="B2504" t="str">
            <v>차량신호등 재사용 철거 및 설치1면 4색,3색,2색,1색 LED</v>
          </cell>
          <cell r="D2504" t="str">
            <v>차량신호등 재사용 철거 및 설치</v>
          </cell>
          <cell r="E2504" t="str">
            <v>1면 4색,3색,2색,1색 LED</v>
          </cell>
          <cell r="F2504" t="str">
            <v>대</v>
          </cell>
          <cell r="G2504">
            <v>1</v>
          </cell>
        </row>
        <row r="2506">
          <cell r="C2506" t="str">
            <v>노무비</v>
          </cell>
          <cell r="D2506" t="str">
            <v>내선전공</v>
          </cell>
          <cell r="E2506" t="str">
            <v>(0.9*1.8)*1.2*1.1</v>
          </cell>
          <cell r="F2506" t="str">
            <v>인</v>
          </cell>
          <cell r="G2506">
            <v>2.1384000000000003</v>
          </cell>
          <cell r="I2506">
            <v>0</v>
          </cell>
          <cell r="J2506">
            <v>135106</v>
          </cell>
          <cell r="K2506">
            <v>288910</v>
          </cell>
          <cell r="M2506">
            <v>0</v>
          </cell>
          <cell r="N2506">
            <v>135106</v>
          </cell>
          <cell r="O2506">
            <v>288910</v>
          </cell>
        </row>
        <row r="2507">
          <cell r="D2507" t="str">
            <v>보통인부</v>
          </cell>
          <cell r="E2507" t="str">
            <v>(0.8*1.8)*1.2*1.1</v>
          </cell>
          <cell r="F2507" t="str">
            <v>인</v>
          </cell>
          <cell r="G2507">
            <v>1.9008000000000003</v>
          </cell>
          <cell r="J2507">
            <v>81443</v>
          </cell>
          <cell r="K2507">
            <v>154806</v>
          </cell>
          <cell r="N2507">
            <v>81443</v>
          </cell>
          <cell r="O2507">
            <v>154806</v>
          </cell>
        </row>
        <row r="2508">
          <cell r="D2508" t="str">
            <v>공구손료</v>
          </cell>
          <cell r="E2508" t="str">
            <v>노무비의</v>
          </cell>
          <cell r="F2508" t="str">
            <v>%</v>
          </cell>
          <cell r="G2508">
            <v>3</v>
          </cell>
          <cell r="L2508">
            <v>443716</v>
          </cell>
          <cell r="M2508">
            <v>13311</v>
          </cell>
          <cell r="N2508">
            <v>443716</v>
          </cell>
          <cell r="O2508">
            <v>13311</v>
          </cell>
        </row>
        <row r="2509">
          <cell r="C2509" t="str">
            <v>기계경비</v>
          </cell>
          <cell r="D2509" t="str">
            <v>트럭탑재형 크레인(5ton)</v>
          </cell>
          <cell r="E2509" t="str">
            <v>(0.8*1.8)</v>
          </cell>
          <cell r="F2509" t="str">
            <v>hr</v>
          </cell>
          <cell r="G2509">
            <v>1.4400000000000002</v>
          </cell>
          <cell r="H2509">
            <v>9154</v>
          </cell>
          <cell r="I2509">
            <v>13181</v>
          </cell>
          <cell r="J2509">
            <v>20522</v>
          </cell>
          <cell r="K2509">
            <v>29551</v>
          </cell>
          <cell r="L2509">
            <v>10362</v>
          </cell>
          <cell r="M2509">
            <v>14921</v>
          </cell>
          <cell r="N2509">
            <v>40038</v>
          </cell>
          <cell r="O2509">
            <v>57653</v>
          </cell>
          <cell r="P2509" t="str">
            <v>m21호표</v>
          </cell>
        </row>
        <row r="2511">
          <cell r="A2511">
            <v>213</v>
          </cell>
          <cell r="B2511">
            <v>3</v>
          </cell>
          <cell r="C2511" t="str">
            <v>제213호표</v>
          </cell>
          <cell r="D2511" t="str">
            <v>보행신호등 철거(재사용) 및 설치</v>
          </cell>
          <cell r="E2511" t="str">
            <v>1면 2색 LED</v>
          </cell>
          <cell r="F2511" t="str">
            <v>대</v>
          </cell>
          <cell r="G2511">
            <v>1</v>
          </cell>
          <cell r="I2511">
            <v>0</v>
          </cell>
          <cell r="K2511">
            <v>112503</v>
          </cell>
          <cell r="M2511">
            <v>3375</v>
          </cell>
          <cell r="O2511">
            <v>115878</v>
          </cell>
          <cell r="P2511" t="str">
            <v>전5-46</v>
          </cell>
        </row>
        <row r="2512">
          <cell r="B2512" t="str">
            <v>보행신호등 철거(재사용) 및 설치1면 2색 LED</v>
          </cell>
          <cell r="D2512" t="str">
            <v>보행신호등 철거(재사용) 및 설치</v>
          </cell>
          <cell r="E2512" t="str">
            <v>1면 2색 LED</v>
          </cell>
          <cell r="F2512" t="str">
            <v>대</v>
          </cell>
          <cell r="G2512">
            <v>1</v>
          </cell>
        </row>
        <row r="2514">
          <cell r="C2514" t="str">
            <v>노무비</v>
          </cell>
          <cell r="D2514" t="str">
            <v>내선전공</v>
          </cell>
          <cell r="E2514" t="str">
            <v>(0.3*1.8)*1.1</v>
          </cell>
          <cell r="F2514" t="str">
            <v>인</v>
          </cell>
          <cell r="G2514">
            <v>0.59400000000000008</v>
          </cell>
          <cell r="J2514">
            <v>135106</v>
          </cell>
          <cell r="K2514">
            <v>80252</v>
          </cell>
          <cell r="M2514">
            <v>0</v>
          </cell>
          <cell r="N2514">
            <v>135106</v>
          </cell>
          <cell r="O2514">
            <v>80252</v>
          </cell>
        </row>
        <row r="2515">
          <cell r="D2515" t="str">
            <v>보통인부</v>
          </cell>
          <cell r="E2515" t="str">
            <v>(0.2*1.8)*1.1</v>
          </cell>
          <cell r="F2515" t="str">
            <v>인</v>
          </cell>
          <cell r="G2515">
            <v>0.39600000000000007</v>
          </cell>
          <cell r="J2515">
            <v>81443</v>
          </cell>
          <cell r="K2515">
            <v>32251</v>
          </cell>
          <cell r="N2515">
            <v>81443</v>
          </cell>
          <cell r="O2515">
            <v>32251</v>
          </cell>
        </row>
        <row r="2516">
          <cell r="D2516" t="str">
            <v>공구손료</v>
          </cell>
          <cell r="E2516" t="str">
            <v>노무비의</v>
          </cell>
          <cell r="F2516" t="str">
            <v>%</v>
          </cell>
          <cell r="G2516">
            <v>3</v>
          </cell>
          <cell r="L2516">
            <v>112503</v>
          </cell>
          <cell r="M2516">
            <v>3375</v>
          </cell>
          <cell r="N2516">
            <v>112503</v>
          </cell>
          <cell r="O2516">
            <v>3375</v>
          </cell>
        </row>
        <row r="2518">
          <cell r="A2518">
            <v>214</v>
          </cell>
          <cell r="B2518">
            <v>3</v>
          </cell>
          <cell r="C2518" t="str">
            <v>제214호표</v>
          </cell>
          <cell r="D2518" t="str">
            <v>보행자잔여표시기 철거(재사용) 및 설치</v>
          </cell>
          <cell r="E2518" t="str">
            <v>고휘도LED(경찰청규격)</v>
          </cell>
          <cell r="F2518" t="str">
            <v>개</v>
          </cell>
          <cell r="G2518">
            <v>1</v>
          </cell>
          <cell r="I2518">
            <v>0</v>
          </cell>
          <cell r="K2518">
            <v>112503</v>
          </cell>
          <cell r="M2518">
            <v>3375</v>
          </cell>
          <cell r="O2518">
            <v>115878</v>
          </cell>
          <cell r="P2518" t="str">
            <v>전5-46</v>
          </cell>
        </row>
        <row r="2519">
          <cell r="B2519" t="str">
            <v>보행자잔여표시기 철거(재사용) 및 설치고휘도LED(경찰청규격)</v>
          </cell>
          <cell r="D2519" t="str">
            <v>보행자잔여표시기 철거(재사용) 및 설치</v>
          </cell>
          <cell r="E2519" t="str">
            <v>고휘도LED(경찰청규격)</v>
          </cell>
          <cell r="F2519" t="str">
            <v>개</v>
          </cell>
          <cell r="G2519">
            <v>1</v>
          </cell>
        </row>
        <row r="2521">
          <cell r="C2521" t="str">
            <v>노무비</v>
          </cell>
          <cell r="D2521" t="str">
            <v>내선전공</v>
          </cell>
          <cell r="E2521" t="str">
            <v>(0.3*1.8)*1.1</v>
          </cell>
          <cell r="F2521" t="str">
            <v>인</v>
          </cell>
          <cell r="G2521">
            <v>0.59400000000000008</v>
          </cell>
          <cell r="J2521">
            <v>135106</v>
          </cell>
          <cell r="K2521">
            <v>80252</v>
          </cell>
          <cell r="N2521">
            <v>135106</v>
          </cell>
          <cell r="O2521">
            <v>80252</v>
          </cell>
          <cell r="P2521">
            <v>0</v>
          </cell>
        </row>
        <row r="2522">
          <cell r="D2522" t="str">
            <v>보통인부</v>
          </cell>
          <cell r="E2522" t="str">
            <v>(0.2*1.8)*1.1</v>
          </cell>
          <cell r="F2522" t="str">
            <v>인</v>
          </cell>
          <cell r="G2522">
            <v>0.39600000000000007</v>
          </cell>
          <cell r="J2522">
            <v>81443</v>
          </cell>
          <cell r="K2522">
            <v>32251</v>
          </cell>
          <cell r="N2522">
            <v>81443</v>
          </cell>
          <cell r="O2522">
            <v>32251</v>
          </cell>
          <cell r="P2522">
            <v>0</v>
          </cell>
        </row>
        <row r="2523">
          <cell r="D2523" t="str">
            <v>공구손료</v>
          </cell>
          <cell r="E2523" t="str">
            <v>노무비의</v>
          </cell>
          <cell r="F2523" t="str">
            <v>%</v>
          </cell>
          <cell r="G2523">
            <v>3</v>
          </cell>
          <cell r="L2523">
            <v>112503</v>
          </cell>
          <cell r="M2523">
            <v>3375</v>
          </cell>
          <cell r="N2523">
            <v>112503</v>
          </cell>
          <cell r="O2523">
            <v>3375</v>
          </cell>
        </row>
        <row r="2525">
          <cell r="A2525">
            <v>215</v>
          </cell>
          <cell r="B2525">
            <v>3</v>
          </cell>
          <cell r="C2525" t="str">
            <v>제215호표</v>
          </cell>
          <cell r="D2525" t="str">
            <v>경보등제어기 철거(재사용) 및 설치</v>
          </cell>
          <cell r="E2525">
            <v>0</v>
          </cell>
          <cell r="F2525" t="str">
            <v>개</v>
          </cell>
          <cell r="G2525">
            <v>1</v>
          </cell>
          <cell r="I2525">
            <v>0</v>
          </cell>
          <cell r="K2525">
            <v>62572</v>
          </cell>
          <cell r="M2525">
            <v>1877</v>
          </cell>
          <cell r="O2525">
            <v>64449</v>
          </cell>
          <cell r="P2525" t="str">
            <v>전6-2</v>
          </cell>
        </row>
        <row r="2526">
          <cell r="B2526" t="str">
            <v>경보등제어기 철거(재사용) 및 설치</v>
          </cell>
          <cell r="D2526" t="str">
            <v>경보등제어기 철거(재사용) 및 설치</v>
          </cell>
          <cell r="F2526" t="str">
            <v>개</v>
          </cell>
          <cell r="G2526">
            <v>1</v>
          </cell>
        </row>
        <row r="2528">
          <cell r="C2528" t="str">
            <v>노무비</v>
          </cell>
          <cell r="D2528" t="str">
            <v>계장공</v>
          </cell>
          <cell r="E2528" t="str">
            <v>0.3*1.4</v>
          </cell>
          <cell r="F2528" t="str">
            <v>인</v>
          </cell>
          <cell r="G2528">
            <v>0.42</v>
          </cell>
          <cell r="J2528">
            <v>148981</v>
          </cell>
          <cell r="K2528">
            <v>62572</v>
          </cell>
          <cell r="N2528">
            <v>148981</v>
          </cell>
          <cell r="O2528">
            <v>62572</v>
          </cell>
          <cell r="P2528">
            <v>0</v>
          </cell>
        </row>
        <row r="2529">
          <cell r="D2529" t="str">
            <v>공구손료</v>
          </cell>
          <cell r="E2529" t="str">
            <v>노무비의</v>
          </cell>
          <cell r="F2529" t="str">
            <v>%</v>
          </cell>
          <cell r="G2529">
            <v>3</v>
          </cell>
          <cell r="L2529">
            <v>62572</v>
          </cell>
          <cell r="M2529">
            <v>1877</v>
          </cell>
          <cell r="N2529">
            <v>62572</v>
          </cell>
          <cell r="O2529">
            <v>1877</v>
          </cell>
        </row>
        <row r="2531">
          <cell r="A2531">
            <v>216</v>
          </cell>
          <cell r="B2531">
            <v>3</v>
          </cell>
          <cell r="C2531" t="str">
            <v>제216호표</v>
          </cell>
          <cell r="D2531" t="str">
            <v>차단기 철거 및 설치</v>
          </cell>
          <cell r="E2531" t="str">
            <v>EBS 32FB 동등이상</v>
          </cell>
          <cell r="F2531" t="str">
            <v>본</v>
          </cell>
          <cell r="G2531">
            <v>1</v>
          </cell>
          <cell r="I2531">
            <v>35300</v>
          </cell>
          <cell r="K2531">
            <v>36883</v>
          </cell>
          <cell r="M2531">
            <v>1106</v>
          </cell>
          <cell r="O2531">
            <v>73289</v>
          </cell>
          <cell r="P2531" t="str">
            <v>전5-19</v>
          </cell>
        </row>
        <row r="2533">
          <cell r="B2533" t="str">
            <v>차단기 철거 및 설치EBS 32FB 동등이상</v>
          </cell>
          <cell r="C2533" t="str">
            <v>재료비</v>
          </cell>
          <cell r="D2533" t="str">
            <v>차단기 철거 및 설치</v>
          </cell>
          <cell r="E2533" t="str">
            <v>EBS 32FB 동등이상</v>
          </cell>
          <cell r="F2533" t="str">
            <v>개</v>
          </cell>
          <cell r="G2533">
            <v>1</v>
          </cell>
          <cell r="H2533">
            <v>35300</v>
          </cell>
          <cell r="I2533">
            <v>35300</v>
          </cell>
          <cell r="N2533">
            <v>35300</v>
          </cell>
          <cell r="O2533">
            <v>35300</v>
          </cell>
        </row>
        <row r="2535">
          <cell r="C2535" t="str">
            <v>노무비</v>
          </cell>
          <cell r="D2535" t="str">
            <v>내선전공</v>
          </cell>
          <cell r="E2535" t="str">
            <v>(0.26*0.7*1.5)</v>
          </cell>
          <cell r="F2535" t="str">
            <v>인</v>
          </cell>
          <cell r="G2535">
            <v>0.27300000000000002</v>
          </cell>
          <cell r="J2535">
            <v>135106</v>
          </cell>
          <cell r="K2535">
            <v>36883</v>
          </cell>
          <cell r="N2535">
            <v>135106</v>
          </cell>
          <cell r="O2535">
            <v>36883</v>
          </cell>
          <cell r="P2535">
            <v>0</v>
          </cell>
        </row>
        <row r="2536">
          <cell r="D2536" t="str">
            <v>공구손료</v>
          </cell>
          <cell r="E2536" t="str">
            <v>노무비의</v>
          </cell>
          <cell r="F2536" t="str">
            <v>%</v>
          </cell>
          <cell r="G2536">
            <v>3</v>
          </cell>
          <cell r="L2536">
            <v>36883</v>
          </cell>
          <cell r="M2536">
            <v>1106</v>
          </cell>
          <cell r="N2536">
            <v>36883</v>
          </cell>
          <cell r="O2536">
            <v>1106</v>
          </cell>
        </row>
        <row r="2539">
          <cell r="A2539">
            <v>217</v>
          </cell>
          <cell r="B2539">
            <v>3</v>
          </cell>
          <cell r="C2539" t="str">
            <v>제217호표</v>
          </cell>
          <cell r="D2539" t="str">
            <v>교통신호제어반(슬림형)철거(재사용) 및 설치</v>
          </cell>
          <cell r="E2539">
            <v>0</v>
          </cell>
          <cell r="F2539" t="str">
            <v>대</v>
          </cell>
          <cell r="G2539">
            <v>1</v>
          </cell>
          <cell r="I2539">
            <v>0</v>
          </cell>
          <cell r="K2539">
            <v>669900</v>
          </cell>
          <cell r="M2539">
            <v>20097</v>
          </cell>
          <cell r="O2539">
            <v>689997</v>
          </cell>
          <cell r="P2539" t="str">
            <v>전5-46(다)</v>
          </cell>
        </row>
        <row r="2541">
          <cell r="D2541" t="str">
            <v>교통신호제어반(슬림형)철거(재사용) 및 설치</v>
          </cell>
        </row>
        <row r="2543">
          <cell r="B2543" t="str">
            <v>교통신호제어반(슬림형)경찰청 규격품</v>
          </cell>
          <cell r="C2543" t="str">
            <v>재료비</v>
          </cell>
          <cell r="D2543" t="str">
            <v>교통신호제어반(슬림형)</v>
          </cell>
          <cell r="E2543" t="str">
            <v>경찰청 규격품</v>
          </cell>
          <cell r="F2543" t="str">
            <v>대</v>
          </cell>
          <cell r="G2543">
            <v>1</v>
          </cell>
          <cell r="I2543">
            <v>0</v>
          </cell>
          <cell r="M2543">
            <v>0</v>
          </cell>
          <cell r="O2543">
            <v>0</v>
          </cell>
          <cell r="P2543" t="str">
            <v>관급자재</v>
          </cell>
        </row>
        <row r="2545">
          <cell r="C2545" t="str">
            <v>노무비</v>
          </cell>
          <cell r="D2545" t="str">
            <v>내선전공</v>
          </cell>
          <cell r="E2545" t="str">
            <v>(1.6*0.8+1.6)*1.1</v>
          </cell>
          <cell r="F2545" t="str">
            <v>인</v>
          </cell>
          <cell r="G2545">
            <v>3.1680000000000006</v>
          </cell>
          <cell r="J2545">
            <v>135106</v>
          </cell>
          <cell r="K2545">
            <v>428015</v>
          </cell>
          <cell r="M2545">
            <v>0</v>
          </cell>
          <cell r="N2545">
            <v>135106</v>
          </cell>
          <cell r="O2545">
            <v>428015</v>
          </cell>
        </row>
        <row r="2546">
          <cell r="D2546" t="str">
            <v>보통인부</v>
          </cell>
          <cell r="E2546" t="str">
            <v>(1.5*0.8+1.5)*1.1</v>
          </cell>
          <cell r="F2546" t="str">
            <v>인</v>
          </cell>
          <cell r="G2546">
            <v>2.9700000000000006</v>
          </cell>
          <cell r="J2546">
            <v>81443</v>
          </cell>
          <cell r="K2546">
            <v>241885</v>
          </cell>
          <cell r="M2546">
            <v>0</v>
          </cell>
          <cell r="N2546">
            <v>81443</v>
          </cell>
          <cell r="O2546">
            <v>241885</v>
          </cell>
        </row>
        <row r="2547">
          <cell r="D2547" t="str">
            <v>공구손료</v>
          </cell>
          <cell r="E2547" t="str">
            <v>노무비의</v>
          </cell>
          <cell r="F2547" t="str">
            <v>%</v>
          </cell>
          <cell r="G2547">
            <v>3</v>
          </cell>
          <cell r="L2547">
            <v>669900</v>
          </cell>
          <cell r="M2547">
            <v>20097</v>
          </cell>
          <cell r="N2547">
            <v>669900</v>
          </cell>
          <cell r="O2547">
            <v>20097</v>
          </cell>
        </row>
        <row r="2549">
          <cell r="A2549">
            <v>218</v>
          </cell>
          <cell r="B2549">
            <v>3</v>
          </cell>
          <cell r="C2549" t="str">
            <v>제218호표</v>
          </cell>
          <cell r="D2549" t="str">
            <v>LED 옥외 전광판 철거(재사용) 및 설치</v>
          </cell>
          <cell r="E2549">
            <v>0</v>
          </cell>
          <cell r="F2549" t="str">
            <v>개소</v>
          </cell>
          <cell r="G2549">
            <v>1</v>
          </cell>
          <cell r="I2549">
            <v>0</v>
          </cell>
          <cell r="K2549">
            <v>362842</v>
          </cell>
          <cell r="M2549">
            <v>10396</v>
          </cell>
          <cell r="O2549">
            <v>373238</v>
          </cell>
          <cell r="P2549" t="str">
            <v>전5-55</v>
          </cell>
        </row>
        <row r="2551">
          <cell r="D2551" t="str">
            <v>LED 옥외 전광판 철거(재사용) 및 설치</v>
          </cell>
        </row>
        <row r="2553">
          <cell r="B2553" t="str">
            <v>LED 옥외 전광판 철거(재사용) 및 설치</v>
          </cell>
          <cell r="C2553" t="str">
            <v>재료비</v>
          </cell>
          <cell r="D2553" t="str">
            <v>LED 옥외 전광판 철거(재사용) 및 설치</v>
          </cell>
          <cell r="F2553" t="str">
            <v>개소</v>
          </cell>
          <cell r="G2553">
            <v>1</v>
          </cell>
          <cell r="I2553">
            <v>0</v>
          </cell>
          <cell r="N2553">
            <v>0</v>
          </cell>
          <cell r="O2553">
            <v>0</v>
          </cell>
          <cell r="P2553" t="str">
            <v>관급자재</v>
          </cell>
        </row>
        <row r="2555">
          <cell r="C2555" t="str">
            <v>노무비</v>
          </cell>
          <cell r="D2555" t="str">
            <v>내선전공</v>
          </cell>
          <cell r="E2555" t="str">
            <v>1.02*(2.52*0.42)*1.8*1.2*1.1</v>
          </cell>
          <cell r="F2555" t="str">
            <v>인</v>
          </cell>
          <cell r="G2555">
            <v>2.5650535680000006</v>
          </cell>
          <cell r="J2555">
            <v>135106</v>
          </cell>
          <cell r="K2555">
            <v>346554</v>
          </cell>
          <cell r="M2555">
            <v>0</v>
          </cell>
          <cell r="N2555">
            <v>135106</v>
          </cell>
          <cell r="O2555">
            <v>346554</v>
          </cell>
        </row>
        <row r="2556">
          <cell r="D2556" t="str">
            <v>공구손료</v>
          </cell>
          <cell r="E2556" t="str">
            <v>노무비의</v>
          </cell>
          <cell r="F2556" t="str">
            <v>%</v>
          </cell>
          <cell r="G2556">
            <v>3</v>
          </cell>
          <cell r="L2556">
            <v>346554</v>
          </cell>
          <cell r="M2556">
            <v>10396</v>
          </cell>
          <cell r="N2556">
            <v>346554</v>
          </cell>
          <cell r="O2556">
            <v>10396</v>
          </cell>
        </row>
        <row r="2557">
          <cell r="D2557" t="str">
            <v>보통인부</v>
          </cell>
          <cell r="E2557">
            <v>0.2</v>
          </cell>
          <cell r="F2557" t="str">
            <v>인</v>
          </cell>
          <cell r="G2557">
            <v>0.2</v>
          </cell>
          <cell r="J2557">
            <v>81443</v>
          </cell>
          <cell r="K2557">
            <v>16288</v>
          </cell>
          <cell r="N2557">
            <v>81443</v>
          </cell>
          <cell r="O2557">
            <v>16288</v>
          </cell>
          <cell r="P2557" t="str">
            <v>도로정리</v>
          </cell>
        </row>
        <row r="2559">
          <cell r="A2559">
            <v>219</v>
          </cell>
          <cell r="B2559">
            <v>3</v>
          </cell>
          <cell r="C2559" t="str">
            <v>제219호표</v>
          </cell>
          <cell r="D2559" t="str">
            <v>전력량계함 철거(재사용) 및 설치</v>
          </cell>
          <cell r="E2559" t="str">
            <v>230x140x95, 농사용계량기함 포함</v>
          </cell>
          <cell r="F2559" t="str">
            <v>개</v>
          </cell>
          <cell r="G2559">
            <v>1</v>
          </cell>
          <cell r="I2559">
            <v>0</v>
          </cell>
          <cell r="K2559">
            <v>60797</v>
          </cell>
          <cell r="M2559">
            <v>1823</v>
          </cell>
          <cell r="O2559">
            <v>62620</v>
          </cell>
          <cell r="P2559" t="str">
            <v>전5-21</v>
          </cell>
        </row>
        <row r="2560">
          <cell r="D2560" t="str">
            <v>전력량계함 철거(재사용) 및 설치</v>
          </cell>
          <cell r="E2560" t="str">
            <v>230x140x95, 농사용계량기함 포함</v>
          </cell>
        </row>
        <row r="2562">
          <cell r="B2562" t="str">
            <v>합성수지 계량기함</v>
          </cell>
          <cell r="C2562" t="str">
            <v>재료비</v>
          </cell>
          <cell r="D2562" t="str">
            <v>합성수지 계량기함</v>
          </cell>
          <cell r="F2562" t="str">
            <v>개</v>
          </cell>
          <cell r="G2562">
            <v>1</v>
          </cell>
          <cell r="I2562">
            <v>0</v>
          </cell>
          <cell r="N2562">
            <v>0</v>
          </cell>
          <cell r="O2562">
            <v>0</v>
          </cell>
        </row>
        <row r="2564">
          <cell r="C2564" t="str">
            <v>노무비</v>
          </cell>
          <cell r="D2564" t="str">
            <v>내선전공</v>
          </cell>
          <cell r="E2564" t="str">
            <v>0.3*1.5</v>
          </cell>
          <cell r="F2564" t="str">
            <v>인</v>
          </cell>
          <cell r="G2564">
            <v>0.44999999999999996</v>
          </cell>
          <cell r="J2564">
            <v>135106</v>
          </cell>
          <cell r="K2564">
            <v>60797</v>
          </cell>
          <cell r="M2564">
            <v>0</v>
          </cell>
          <cell r="N2564">
            <v>135106</v>
          </cell>
          <cell r="O2564">
            <v>60797</v>
          </cell>
        </row>
        <row r="2565">
          <cell r="D2565" t="str">
            <v>공구손료</v>
          </cell>
          <cell r="E2565" t="str">
            <v>노무비의</v>
          </cell>
          <cell r="F2565" t="str">
            <v>%</v>
          </cell>
          <cell r="G2565">
            <v>3</v>
          </cell>
          <cell r="L2565">
            <v>60797</v>
          </cell>
          <cell r="M2565">
            <v>1823</v>
          </cell>
          <cell r="N2565">
            <v>60797</v>
          </cell>
          <cell r="O2565">
            <v>1823</v>
          </cell>
        </row>
        <row r="2566">
          <cell r="A2566">
            <v>220</v>
          </cell>
          <cell r="B2566">
            <v>3</v>
          </cell>
          <cell r="C2566" t="str">
            <v>제220호표</v>
          </cell>
          <cell r="D2566" t="str">
            <v>안정기 교체</v>
          </cell>
          <cell r="E2566" t="str">
            <v>MH250W</v>
          </cell>
          <cell r="F2566" t="str">
            <v>개</v>
          </cell>
          <cell r="G2566">
            <v>1</v>
          </cell>
          <cell r="I2566">
            <v>21000</v>
          </cell>
          <cell r="K2566">
            <v>22292</v>
          </cell>
          <cell r="M2566">
            <v>668</v>
          </cell>
          <cell r="O2566">
            <v>43960</v>
          </cell>
          <cell r="P2566" t="str">
            <v>전5-26</v>
          </cell>
        </row>
        <row r="2567">
          <cell r="D2567" t="str">
            <v>안정기 교체</v>
          </cell>
          <cell r="E2567" t="str">
            <v>MH250W</v>
          </cell>
        </row>
        <row r="2568">
          <cell r="B2568" t="str">
            <v>안정기 MH250W</v>
          </cell>
          <cell r="C2568" t="str">
            <v>재료비</v>
          </cell>
          <cell r="D2568" t="str">
            <v xml:space="preserve">안정기 </v>
          </cell>
          <cell r="E2568" t="str">
            <v>MH250W</v>
          </cell>
          <cell r="F2568" t="str">
            <v>개</v>
          </cell>
          <cell r="G2568">
            <v>1</v>
          </cell>
          <cell r="H2568">
            <v>21000</v>
          </cell>
          <cell r="I2568">
            <v>21000</v>
          </cell>
          <cell r="K2568">
            <v>0</v>
          </cell>
          <cell r="M2568">
            <v>0</v>
          </cell>
          <cell r="N2568">
            <v>21000</v>
          </cell>
          <cell r="O2568">
            <v>21000</v>
          </cell>
        </row>
        <row r="2570">
          <cell r="C2570" t="str">
            <v>노무비</v>
          </cell>
          <cell r="D2570" t="str">
            <v>내선전공</v>
          </cell>
          <cell r="E2570" t="str">
            <v>0.15*1.1</v>
          </cell>
          <cell r="F2570" t="str">
            <v>인</v>
          </cell>
          <cell r="G2570">
            <v>0.16500000000000001</v>
          </cell>
          <cell r="J2570">
            <v>135106</v>
          </cell>
          <cell r="K2570">
            <v>22292</v>
          </cell>
          <cell r="M2570">
            <v>0</v>
          </cell>
          <cell r="N2570">
            <v>135106</v>
          </cell>
          <cell r="O2570">
            <v>22292</v>
          </cell>
        </row>
        <row r="2571">
          <cell r="D2571" t="str">
            <v>공구손료</v>
          </cell>
          <cell r="E2571" t="str">
            <v>노무비의</v>
          </cell>
          <cell r="F2571" t="str">
            <v>%</v>
          </cell>
          <cell r="G2571">
            <v>3</v>
          </cell>
          <cell r="L2571">
            <v>22292</v>
          </cell>
          <cell r="M2571">
            <v>668</v>
          </cell>
          <cell r="N2571">
            <v>22292</v>
          </cell>
          <cell r="O2571">
            <v>668</v>
          </cell>
        </row>
        <row r="2573">
          <cell r="A2573">
            <v>221</v>
          </cell>
          <cell r="B2573">
            <v>3</v>
          </cell>
          <cell r="C2573" t="str">
            <v>제221호표</v>
          </cell>
          <cell r="D2573" t="str">
            <v>램프 교체</v>
          </cell>
          <cell r="E2573" t="str">
            <v>MH250W</v>
          </cell>
          <cell r="F2573" t="str">
            <v>개</v>
          </cell>
          <cell r="G2573">
            <v>1</v>
          </cell>
          <cell r="I2573">
            <v>19000</v>
          </cell>
          <cell r="K2573">
            <v>8916</v>
          </cell>
          <cell r="M2573">
            <v>267</v>
          </cell>
          <cell r="O2573">
            <v>28183</v>
          </cell>
          <cell r="P2573" t="str">
            <v>전5-26</v>
          </cell>
        </row>
        <row r="2574">
          <cell r="D2574" t="str">
            <v>램프 교체</v>
          </cell>
          <cell r="E2574" t="str">
            <v>MH250W</v>
          </cell>
        </row>
        <row r="2575">
          <cell r="B2575" t="str">
            <v>램프 MH250W</v>
          </cell>
          <cell r="C2575" t="str">
            <v>재료비</v>
          </cell>
          <cell r="D2575" t="str">
            <v xml:space="preserve">램프 </v>
          </cell>
          <cell r="E2575" t="str">
            <v>MH250W</v>
          </cell>
          <cell r="F2575" t="str">
            <v>개</v>
          </cell>
          <cell r="G2575">
            <v>1</v>
          </cell>
          <cell r="H2575">
            <v>19000</v>
          </cell>
          <cell r="I2575">
            <v>19000</v>
          </cell>
          <cell r="K2575">
            <v>0</v>
          </cell>
          <cell r="M2575">
            <v>0</v>
          </cell>
          <cell r="N2575">
            <v>19000</v>
          </cell>
          <cell r="O2575">
            <v>19000</v>
          </cell>
        </row>
        <row r="2577">
          <cell r="C2577" t="str">
            <v>노무비</v>
          </cell>
          <cell r="D2577" t="str">
            <v>내선전공</v>
          </cell>
          <cell r="E2577" t="str">
            <v>0.05*1.2*1.1</v>
          </cell>
          <cell r="F2577" t="str">
            <v>인</v>
          </cell>
          <cell r="G2577">
            <v>6.6000000000000003E-2</v>
          </cell>
          <cell r="J2577">
            <v>135106</v>
          </cell>
          <cell r="K2577">
            <v>8916</v>
          </cell>
          <cell r="M2577">
            <v>0</v>
          </cell>
          <cell r="N2577">
            <v>135106</v>
          </cell>
          <cell r="O2577">
            <v>8916</v>
          </cell>
        </row>
        <row r="2578">
          <cell r="D2578" t="str">
            <v>공구손료</v>
          </cell>
          <cell r="E2578" t="str">
            <v>노무비의</v>
          </cell>
          <cell r="F2578" t="str">
            <v>%</v>
          </cell>
          <cell r="G2578">
            <v>3</v>
          </cell>
          <cell r="L2578">
            <v>8916</v>
          </cell>
          <cell r="M2578">
            <v>267</v>
          </cell>
          <cell r="N2578">
            <v>8916</v>
          </cell>
          <cell r="O2578">
            <v>267</v>
          </cell>
        </row>
        <row r="2580">
          <cell r="A2580">
            <v>222</v>
          </cell>
          <cell r="B2580">
            <v>3</v>
          </cell>
          <cell r="C2580" t="str">
            <v>제222호표</v>
          </cell>
          <cell r="D2580" t="str">
            <v>차광막 철거(재사용) 및 설치</v>
          </cell>
          <cell r="E2580">
            <v>0</v>
          </cell>
          <cell r="F2580" t="str">
            <v>개</v>
          </cell>
          <cell r="G2580">
            <v>1</v>
          </cell>
          <cell r="I2580">
            <v>0</v>
          </cell>
          <cell r="K2580">
            <v>60797</v>
          </cell>
          <cell r="M2580">
            <v>1823</v>
          </cell>
          <cell r="O2580">
            <v>62620</v>
          </cell>
          <cell r="P2580" t="str">
            <v>전5-21</v>
          </cell>
        </row>
        <row r="2581">
          <cell r="D2581" t="str">
            <v>차광막 철거(재사용) 및 설치</v>
          </cell>
        </row>
        <row r="2583">
          <cell r="B2583" t="str">
            <v>합성수지 계량기함</v>
          </cell>
          <cell r="C2583" t="str">
            <v>재료비</v>
          </cell>
          <cell r="D2583" t="str">
            <v>합성수지 계량기함</v>
          </cell>
          <cell r="F2583" t="str">
            <v>개</v>
          </cell>
          <cell r="G2583">
            <v>1</v>
          </cell>
          <cell r="I2583">
            <v>0</v>
          </cell>
          <cell r="N2583">
            <v>0</v>
          </cell>
          <cell r="O2583">
            <v>0</v>
          </cell>
          <cell r="P2583" t="str">
            <v>재사용</v>
          </cell>
        </row>
        <row r="2585">
          <cell r="C2585" t="str">
            <v>노무비</v>
          </cell>
          <cell r="D2585" t="str">
            <v>내선전공</v>
          </cell>
          <cell r="E2585" t="str">
            <v>0.3*1.5</v>
          </cell>
          <cell r="F2585" t="str">
            <v>인</v>
          </cell>
          <cell r="G2585">
            <v>0.44999999999999996</v>
          </cell>
          <cell r="J2585">
            <v>135106</v>
          </cell>
          <cell r="K2585">
            <v>60797</v>
          </cell>
          <cell r="M2585">
            <v>0</v>
          </cell>
          <cell r="N2585">
            <v>135106</v>
          </cell>
          <cell r="O2585">
            <v>60797</v>
          </cell>
        </row>
        <row r="2586">
          <cell r="D2586" t="str">
            <v>공구손료</v>
          </cell>
          <cell r="F2586" t="str">
            <v>%</v>
          </cell>
          <cell r="G2586">
            <v>3</v>
          </cell>
          <cell r="L2586">
            <v>60797</v>
          </cell>
          <cell r="M2586">
            <v>1823</v>
          </cell>
          <cell r="N2586">
            <v>60797</v>
          </cell>
          <cell r="O2586">
            <v>1823</v>
          </cell>
        </row>
        <row r="2587">
          <cell r="A2587">
            <v>223</v>
          </cell>
          <cell r="B2587">
            <v>3</v>
          </cell>
          <cell r="C2587" t="str">
            <v>제223호표</v>
          </cell>
          <cell r="D2587" t="str">
            <v>차량신호등 교정</v>
          </cell>
          <cell r="E2587" t="str">
            <v>1면 4색, 3색, 2색, 1색 LED</v>
          </cell>
          <cell r="F2587" t="str">
            <v>대</v>
          </cell>
          <cell r="G2587">
            <v>1</v>
          </cell>
          <cell r="I2587">
            <v>0</v>
          </cell>
          <cell r="K2587">
            <v>197207</v>
          </cell>
          <cell r="M2587">
            <v>5916</v>
          </cell>
          <cell r="O2587">
            <v>203123</v>
          </cell>
          <cell r="P2587" t="str">
            <v>전5-46</v>
          </cell>
        </row>
        <row r="2588">
          <cell r="B2588" t="str">
            <v>차량신호등 교정1면 4색, 3색, 2색, 1색 LED</v>
          </cell>
          <cell r="D2588" t="str">
            <v>차량신호등 교정</v>
          </cell>
          <cell r="E2588" t="str">
            <v>1면 4색, 3색, 2색, 1색 LED</v>
          </cell>
          <cell r="F2588" t="str">
            <v>대</v>
          </cell>
          <cell r="G2588">
            <v>1</v>
          </cell>
        </row>
        <row r="2589">
          <cell r="B2589" t="str">
            <v>교통신호등1면 4색, 3색, 2색, 1색 LED</v>
          </cell>
          <cell r="C2589" t="str">
            <v>재료비</v>
          </cell>
          <cell r="D2589" t="str">
            <v>교통신호등</v>
          </cell>
          <cell r="E2589" t="str">
            <v>1면 4색, 3색, 2색, 1색 LED</v>
          </cell>
          <cell r="F2589" t="str">
            <v>EA</v>
          </cell>
          <cell r="G2589">
            <v>1</v>
          </cell>
          <cell r="I2589">
            <v>0</v>
          </cell>
          <cell r="J2589">
            <v>0</v>
          </cell>
          <cell r="L2589">
            <v>0</v>
          </cell>
          <cell r="N2589">
            <v>0</v>
          </cell>
          <cell r="O2589">
            <v>0</v>
          </cell>
          <cell r="P2589" t="str">
            <v>재사용</v>
          </cell>
        </row>
        <row r="2590">
          <cell r="B2590" t="str">
            <v>신호등 보호금구용융도금</v>
          </cell>
          <cell r="D2590" t="str">
            <v>신호등 보호금구</v>
          </cell>
          <cell r="E2590" t="str">
            <v>용융도금</v>
          </cell>
          <cell r="F2590" t="str">
            <v>EA</v>
          </cell>
          <cell r="G2590">
            <v>1</v>
          </cell>
          <cell r="I2590">
            <v>0</v>
          </cell>
          <cell r="J2590">
            <v>0</v>
          </cell>
          <cell r="L2590">
            <v>0</v>
          </cell>
          <cell r="N2590">
            <v>0</v>
          </cell>
          <cell r="O2590">
            <v>0</v>
          </cell>
          <cell r="P2590" t="str">
            <v>재사용</v>
          </cell>
        </row>
        <row r="2592">
          <cell r="C2592" t="str">
            <v>노무비</v>
          </cell>
          <cell r="D2592" t="str">
            <v>내선전공</v>
          </cell>
          <cell r="E2592" t="str">
            <v>0.9*0.8*1.1*1.2</v>
          </cell>
          <cell r="F2592" t="str">
            <v>인</v>
          </cell>
          <cell r="G2592">
            <v>0.95040000000000013</v>
          </cell>
          <cell r="I2592">
            <v>0</v>
          </cell>
          <cell r="J2592">
            <v>135106</v>
          </cell>
          <cell r="K2592">
            <v>128404</v>
          </cell>
          <cell r="M2592">
            <v>0</v>
          </cell>
          <cell r="N2592">
            <v>135106</v>
          </cell>
          <cell r="O2592">
            <v>128404</v>
          </cell>
        </row>
        <row r="2593">
          <cell r="D2593" t="str">
            <v>보통인부</v>
          </cell>
          <cell r="E2593" t="str">
            <v>0.8*0.8*1.1*1.2</v>
          </cell>
          <cell r="F2593" t="str">
            <v>인</v>
          </cell>
          <cell r="G2593">
            <v>0.84480000000000022</v>
          </cell>
          <cell r="I2593">
            <v>0</v>
          </cell>
          <cell r="J2593">
            <v>81443</v>
          </cell>
          <cell r="K2593">
            <v>68803</v>
          </cell>
          <cell r="M2593">
            <v>0</v>
          </cell>
          <cell r="N2593">
            <v>81443</v>
          </cell>
          <cell r="O2593">
            <v>68803</v>
          </cell>
        </row>
        <row r="2594">
          <cell r="D2594" t="str">
            <v>공구손료</v>
          </cell>
          <cell r="E2594" t="str">
            <v>노무비의</v>
          </cell>
          <cell r="F2594" t="str">
            <v>%</v>
          </cell>
          <cell r="G2594">
            <v>3</v>
          </cell>
          <cell r="L2594">
            <v>197207</v>
          </cell>
          <cell r="M2594">
            <v>5916</v>
          </cell>
          <cell r="N2594">
            <v>197207</v>
          </cell>
          <cell r="O2594">
            <v>5916</v>
          </cell>
        </row>
        <row r="2596">
          <cell r="A2596">
            <v>224</v>
          </cell>
          <cell r="B2596">
            <v>3</v>
          </cell>
          <cell r="C2596" t="str">
            <v>제224호표</v>
          </cell>
          <cell r="D2596" t="str">
            <v>보행신호등 교정</v>
          </cell>
          <cell r="E2596" t="str">
            <v>1면 2색, 잔여시간 표시기 포함 LED</v>
          </cell>
          <cell r="F2596" t="str">
            <v>EA</v>
          </cell>
          <cell r="G2596">
            <v>1</v>
          </cell>
          <cell r="I2596">
            <v>0</v>
          </cell>
          <cell r="K2596">
            <v>50000</v>
          </cell>
          <cell r="M2596">
            <v>1500</v>
          </cell>
          <cell r="O2596">
            <v>51500</v>
          </cell>
          <cell r="P2596" t="str">
            <v>전5-46</v>
          </cell>
        </row>
        <row r="2597">
          <cell r="D2597" t="str">
            <v>보행신호등 교정</v>
          </cell>
          <cell r="E2597" t="str">
            <v>1면 2색, 잔여시간 표시기 포함 LED</v>
          </cell>
        </row>
        <row r="2599">
          <cell r="B2599" t="str">
            <v>보행신호등1면 2색 LED</v>
          </cell>
          <cell r="C2599" t="str">
            <v>재료비</v>
          </cell>
          <cell r="D2599" t="str">
            <v>보행신호등</v>
          </cell>
          <cell r="E2599" t="str">
            <v>1면 2색 LED</v>
          </cell>
          <cell r="F2599" t="str">
            <v>EA</v>
          </cell>
          <cell r="G2599">
            <v>1</v>
          </cell>
          <cell r="I2599">
            <v>0</v>
          </cell>
          <cell r="J2599">
            <v>0</v>
          </cell>
          <cell r="L2599">
            <v>0</v>
          </cell>
          <cell r="N2599">
            <v>0</v>
          </cell>
          <cell r="O2599">
            <v>0</v>
          </cell>
          <cell r="P2599" t="str">
            <v>재사용</v>
          </cell>
        </row>
        <row r="2600">
          <cell r="B2600" t="str">
            <v>보행등 보호금구용융도금</v>
          </cell>
          <cell r="D2600" t="str">
            <v>보행등 보호금구</v>
          </cell>
          <cell r="E2600" t="str">
            <v>용융도금</v>
          </cell>
          <cell r="F2600" t="str">
            <v>EA</v>
          </cell>
          <cell r="G2600">
            <v>1</v>
          </cell>
          <cell r="I2600">
            <v>0</v>
          </cell>
          <cell r="J2600">
            <v>0</v>
          </cell>
          <cell r="L2600">
            <v>0</v>
          </cell>
          <cell r="N2600">
            <v>0</v>
          </cell>
          <cell r="O2600">
            <v>0</v>
          </cell>
          <cell r="P2600" t="str">
            <v>재사용</v>
          </cell>
        </row>
        <row r="2601">
          <cell r="C2601" t="str">
            <v>노무비</v>
          </cell>
          <cell r="D2601" t="str">
            <v>내선전공</v>
          </cell>
          <cell r="E2601" t="str">
            <v>0.3*0.8*1.1</v>
          </cell>
          <cell r="F2601" t="str">
            <v>인</v>
          </cell>
          <cell r="G2601">
            <v>0.26400000000000001</v>
          </cell>
          <cell r="I2601">
            <v>0</v>
          </cell>
          <cell r="J2601">
            <v>135106</v>
          </cell>
          <cell r="K2601">
            <v>35667</v>
          </cell>
          <cell r="M2601">
            <v>0</v>
          </cell>
          <cell r="N2601">
            <v>135106</v>
          </cell>
          <cell r="O2601">
            <v>35667</v>
          </cell>
        </row>
        <row r="2602">
          <cell r="D2602" t="str">
            <v>보통인부</v>
          </cell>
          <cell r="E2602" t="str">
            <v>0.2*0.8*1.1</v>
          </cell>
          <cell r="F2602" t="str">
            <v>인</v>
          </cell>
          <cell r="G2602">
            <v>0.17600000000000005</v>
          </cell>
          <cell r="I2602">
            <v>0</v>
          </cell>
          <cell r="J2602">
            <v>81443</v>
          </cell>
          <cell r="K2602">
            <v>14333</v>
          </cell>
          <cell r="M2602">
            <v>0</v>
          </cell>
          <cell r="N2602">
            <v>81443</v>
          </cell>
          <cell r="O2602">
            <v>14333</v>
          </cell>
        </row>
        <row r="2603">
          <cell r="D2603" t="str">
            <v>공구손료</v>
          </cell>
          <cell r="E2603" t="str">
            <v>노무비의</v>
          </cell>
          <cell r="F2603" t="str">
            <v>%</v>
          </cell>
          <cell r="G2603">
            <v>3</v>
          </cell>
          <cell r="L2603">
            <v>50000</v>
          </cell>
          <cell r="M2603">
            <v>1500</v>
          </cell>
          <cell r="N2603">
            <v>50000</v>
          </cell>
          <cell r="O2603">
            <v>1500</v>
          </cell>
        </row>
        <row r="2605">
          <cell r="A2605">
            <v>225</v>
          </cell>
          <cell r="B2605">
            <v>3</v>
          </cell>
          <cell r="C2605" t="str">
            <v>제225호표</v>
          </cell>
          <cell r="D2605" t="str">
            <v>경광등 철거(재사용) 및 설치(고소작업)</v>
          </cell>
          <cell r="E2605" t="str">
            <v>장방형 L=1000㎜</v>
          </cell>
          <cell r="F2605" t="str">
            <v>개</v>
          </cell>
          <cell r="G2605">
            <v>1</v>
          </cell>
          <cell r="I2605">
            <v>0</v>
          </cell>
          <cell r="K2605">
            <v>443716</v>
          </cell>
          <cell r="M2605">
            <v>13311</v>
          </cell>
          <cell r="O2605">
            <v>457027</v>
          </cell>
          <cell r="P2605" t="str">
            <v>전5-46</v>
          </cell>
        </row>
        <row r="2606">
          <cell r="D2606" t="str">
            <v>경광등 철거(재사용) 및 설치(고소작업)</v>
          </cell>
          <cell r="E2606" t="str">
            <v>장방형 L=1000㎜</v>
          </cell>
        </row>
        <row r="2608">
          <cell r="C2608" t="str">
            <v>노무비</v>
          </cell>
          <cell r="D2608" t="str">
            <v>내선전공</v>
          </cell>
          <cell r="E2608" t="str">
            <v>0.9*1.8*1.1*1.2</v>
          </cell>
          <cell r="F2608" t="str">
            <v>인</v>
          </cell>
          <cell r="G2608">
            <v>2.1384000000000003</v>
          </cell>
          <cell r="I2608">
            <v>0</v>
          </cell>
          <cell r="J2608">
            <v>135106</v>
          </cell>
          <cell r="K2608">
            <v>288910</v>
          </cell>
          <cell r="M2608">
            <v>0</v>
          </cell>
          <cell r="N2608">
            <v>135106</v>
          </cell>
          <cell r="O2608">
            <v>288910</v>
          </cell>
          <cell r="P2608" t="str">
            <v>차량등품적용</v>
          </cell>
        </row>
        <row r="2609">
          <cell r="D2609" t="str">
            <v>보통인부</v>
          </cell>
          <cell r="E2609" t="str">
            <v>0.8*1.8*1.1*1.2</v>
          </cell>
          <cell r="F2609" t="str">
            <v>인</v>
          </cell>
          <cell r="G2609">
            <v>1.9008000000000003</v>
          </cell>
          <cell r="I2609">
            <v>0</v>
          </cell>
          <cell r="J2609">
            <v>81443</v>
          </cell>
          <cell r="K2609">
            <v>154806</v>
          </cell>
          <cell r="M2609">
            <v>0</v>
          </cell>
          <cell r="N2609">
            <v>81443</v>
          </cell>
          <cell r="O2609">
            <v>154806</v>
          </cell>
          <cell r="P2609" t="str">
            <v>차량등품적용</v>
          </cell>
        </row>
        <row r="2610">
          <cell r="D2610" t="str">
            <v>공구손료</v>
          </cell>
          <cell r="E2610" t="str">
            <v>노무비의</v>
          </cell>
          <cell r="F2610" t="str">
            <v>%</v>
          </cell>
          <cell r="G2610">
            <v>3</v>
          </cell>
          <cell r="L2610">
            <v>443716</v>
          </cell>
          <cell r="M2610">
            <v>13311</v>
          </cell>
          <cell r="N2610">
            <v>443716</v>
          </cell>
          <cell r="O2610">
            <v>13311</v>
          </cell>
        </row>
        <row r="2612">
          <cell r="A2612" t="str">
            <v>225-1</v>
          </cell>
          <cell r="B2612">
            <v>3</v>
          </cell>
          <cell r="C2612" t="str">
            <v>제225-1호표</v>
          </cell>
          <cell r="D2612" t="str">
            <v>경광등 철거(재사용) 및 설치(지상작업)</v>
          </cell>
          <cell r="E2612" t="str">
            <v>장방형 L=1000㎜</v>
          </cell>
          <cell r="F2612" t="str">
            <v>개</v>
          </cell>
          <cell r="G2612">
            <v>1</v>
          </cell>
          <cell r="I2612">
            <v>0</v>
          </cell>
          <cell r="K2612">
            <v>112503</v>
          </cell>
          <cell r="M2612">
            <v>3375</v>
          </cell>
          <cell r="O2612">
            <v>115878</v>
          </cell>
          <cell r="P2612" t="str">
            <v>전5-46</v>
          </cell>
        </row>
        <row r="2613">
          <cell r="D2613" t="str">
            <v>경광등 철거(재사용) 및 설치(지상작업)</v>
          </cell>
          <cell r="E2613" t="str">
            <v>장방형 L=1000㎜</v>
          </cell>
        </row>
        <row r="2615">
          <cell r="C2615" t="str">
            <v>노무비</v>
          </cell>
          <cell r="D2615" t="str">
            <v>내선전공</v>
          </cell>
          <cell r="E2615" t="str">
            <v>0.3*1.8*1.1</v>
          </cell>
          <cell r="F2615" t="str">
            <v>인</v>
          </cell>
          <cell r="G2615">
            <v>0.59400000000000008</v>
          </cell>
          <cell r="I2615">
            <v>0</v>
          </cell>
          <cell r="J2615">
            <v>135106</v>
          </cell>
          <cell r="K2615">
            <v>80252</v>
          </cell>
          <cell r="M2615">
            <v>0</v>
          </cell>
          <cell r="N2615">
            <v>135106</v>
          </cell>
          <cell r="O2615">
            <v>80252</v>
          </cell>
          <cell r="P2615" t="str">
            <v>보행등품적용</v>
          </cell>
        </row>
        <row r="2616">
          <cell r="D2616" t="str">
            <v>보통인부</v>
          </cell>
          <cell r="E2616" t="str">
            <v>0.2*1.8*1.1</v>
          </cell>
          <cell r="F2616" t="str">
            <v>인</v>
          </cell>
          <cell r="G2616">
            <v>0.39600000000000007</v>
          </cell>
          <cell r="I2616">
            <v>0</v>
          </cell>
          <cell r="J2616">
            <v>81443</v>
          </cell>
          <cell r="K2616">
            <v>32251</v>
          </cell>
          <cell r="M2616">
            <v>0</v>
          </cell>
          <cell r="N2616">
            <v>81443</v>
          </cell>
          <cell r="O2616">
            <v>32251</v>
          </cell>
          <cell r="P2616" t="str">
            <v>보행등품적용</v>
          </cell>
        </row>
        <row r="2617">
          <cell r="D2617" t="str">
            <v>공구손료</v>
          </cell>
          <cell r="E2617" t="str">
            <v>노무비의</v>
          </cell>
          <cell r="F2617" t="str">
            <v>%</v>
          </cell>
          <cell r="G2617">
            <v>3</v>
          </cell>
          <cell r="L2617">
            <v>112503</v>
          </cell>
          <cell r="M2617">
            <v>3375</v>
          </cell>
          <cell r="N2617">
            <v>112503</v>
          </cell>
          <cell r="O2617">
            <v>3375</v>
          </cell>
        </row>
        <row r="2619">
          <cell r="A2619">
            <v>226</v>
          </cell>
          <cell r="B2619">
            <v>3</v>
          </cell>
          <cell r="C2619" t="str">
            <v>제226호표</v>
          </cell>
          <cell r="D2619" t="str">
            <v>T형 부착대 철거(재사용) 및 설치</v>
          </cell>
          <cell r="E2619" t="str">
            <v>3m 이하(노임)</v>
          </cell>
          <cell r="F2619" t="str">
            <v>개</v>
          </cell>
          <cell r="G2619">
            <v>1</v>
          </cell>
          <cell r="I2619">
            <v>12918</v>
          </cell>
          <cell r="K2619">
            <v>195100</v>
          </cell>
          <cell r="M2619">
            <v>19219</v>
          </cell>
          <cell r="O2619">
            <v>227237</v>
          </cell>
          <cell r="P2619" t="str">
            <v>전5-46(나)</v>
          </cell>
        </row>
        <row r="2620">
          <cell r="D2620" t="str">
            <v>T형 부착대 철거(재사용) 및 설치</v>
          </cell>
          <cell r="E2620" t="str">
            <v>3m 이하(노임)</v>
          </cell>
        </row>
        <row r="2622">
          <cell r="C2622" t="str">
            <v>노무비</v>
          </cell>
          <cell r="D2622" t="str">
            <v>내선전공</v>
          </cell>
          <cell r="E2622" t="str">
            <v>0.98*0.4*1.1*1.8</v>
          </cell>
          <cell r="F2622" t="str">
            <v>인</v>
          </cell>
          <cell r="G2622">
            <v>0.77616000000000007</v>
          </cell>
          <cell r="I2622">
            <v>0</v>
          </cell>
          <cell r="J2622">
            <v>135106</v>
          </cell>
          <cell r="K2622">
            <v>104863</v>
          </cell>
          <cell r="M2622">
            <v>0</v>
          </cell>
          <cell r="N2622">
            <v>135106</v>
          </cell>
          <cell r="O2622">
            <v>104863</v>
          </cell>
        </row>
        <row r="2623">
          <cell r="D2623" t="str">
            <v>보통인부</v>
          </cell>
          <cell r="E2623" t="str">
            <v>0.75*0.4*1.1*1.8</v>
          </cell>
          <cell r="F2623" t="str">
            <v>인</v>
          </cell>
          <cell r="G2623">
            <v>0.59400000000000019</v>
          </cell>
          <cell r="I2623">
            <v>0</v>
          </cell>
          <cell r="J2623">
            <v>81443</v>
          </cell>
          <cell r="K2623">
            <v>48377</v>
          </cell>
          <cell r="M2623">
            <v>0</v>
          </cell>
          <cell r="N2623">
            <v>81443</v>
          </cell>
          <cell r="O2623">
            <v>48377</v>
          </cell>
        </row>
        <row r="2624">
          <cell r="D2624" t="str">
            <v>공구손료</v>
          </cell>
          <cell r="E2624" t="str">
            <v>노무비의</v>
          </cell>
          <cell r="F2624" t="str">
            <v>%</v>
          </cell>
          <cell r="G2624">
            <v>3</v>
          </cell>
          <cell r="L2624">
            <v>153240</v>
          </cell>
          <cell r="M2624">
            <v>4597</v>
          </cell>
          <cell r="N2624">
            <v>153240</v>
          </cell>
          <cell r="O2624">
            <v>4597</v>
          </cell>
        </row>
        <row r="2625">
          <cell r="C2625" t="str">
            <v>기계경비</v>
          </cell>
          <cell r="D2625" t="str">
            <v>트럭탑재형크레인(5ton)</v>
          </cell>
          <cell r="E2625" t="str">
            <v>1.96*0.4*1.8</v>
          </cell>
          <cell r="F2625" t="str">
            <v>hr</v>
          </cell>
          <cell r="G2625">
            <v>1.4112</v>
          </cell>
          <cell r="H2625">
            <v>9154</v>
          </cell>
          <cell r="I2625">
            <v>12918</v>
          </cell>
          <cell r="J2625">
            <v>20522</v>
          </cell>
          <cell r="K2625">
            <v>28960</v>
          </cell>
          <cell r="L2625">
            <v>10362</v>
          </cell>
          <cell r="M2625">
            <v>14622</v>
          </cell>
          <cell r="N2625">
            <v>40038</v>
          </cell>
          <cell r="O2625">
            <v>56500</v>
          </cell>
          <cell r="P2625" t="str">
            <v>m21호표</v>
          </cell>
        </row>
        <row r="2626">
          <cell r="C2626" t="str">
            <v>도로교통정리</v>
          </cell>
          <cell r="D2626" t="str">
            <v>보통인부</v>
          </cell>
          <cell r="E2626" t="str">
            <v>0.2*0.4*1.1*1.8</v>
          </cell>
          <cell r="F2626" t="str">
            <v>인</v>
          </cell>
          <cell r="G2626">
            <v>0.15840000000000004</v>
          </cell>
          <cell r="I2626">
            <v>0</v>
          </cell>
          <cell r="J2626">
            <v>81443</v>
          </cell>
          <cell r="K2626">
            <v>12900</v>
          </cell>
          <cell r="M2626">
            <v>0</v>
          </cell>
          <cell r="N2626">
            <v>81443</v>
          </cell>
          <cell r="O2626">
            <v>12900</v>
          </cell>
        </row>
        <row r="2628">
          <cell r="A2628">
            <v>227</v>
          </cell>
          <cell r="C2628" t="str">
            <v>제227호표</v>
          </cell>
          <cell r="D2628" t="str">
            <v>누전차단기 교체</v>
          </cell>
          <cell r="E2628" t="str">
            <v>20A</v>
          </cell>
          <cell r="F2628" t="str">
            <v>개</v>
          </cell>
          <cell r="G2628">
            <v>1</v>
          </cell>
          <cell r="I2628">
            <v>14600</v>
          </cell>
          <cell r="K2628">
            <v>26953</v>
          </cell>
          <cell r="M2628">
            <v>808</v>
          </cell>
          <cell r="O2628">
            <v>42361</v>
          </cell>
          <cell r="P2628" t="str">
            <v>전5-19</v>
          </cell>
        </row>
        <row r="2629">
          <cell r="D2629" t="str">
            <v>누전차단기</v>
          </cell>
          <cell r="E2629" t="str">
            <v>20A</v>
          </cell>
          <cell r="G2629">
            <v>1</v>
          </cell>
          <cell r="H2629">
            <v>14600</v>
          </cell>
          <cell r="I2629">
            <v>14600</v>
          </cell>
          <cell r="N2629">
            <v>14600</v>
          </cell>
          <cell r="O2629">
            <v>14600</v>
          </cell>
        </row>
        <row r="2630">
          <cell r="O2630">
            <v>0</v>
          </cell>
        </row>
        <row r="2631">
          <cell r="C2631" t="str">
            <v>노무비</v>
          </cell>
          <cell r="D2631" t="str">
            <v>내선전공</v>
          </cell>
          <cell r="E2631" t="str">
            <v>0.19*0.7*1.5</v>
          </cell>
          <cell r="F2631" t="str">
            <v>인</v>
          </cell>
          <cell r="G2631">
            <v>0.19949999999999996</v>
          </cell>
          <cell r="I2631">
            <v>0</v>
          </cell>
          <cell r="J2631">
            <v>135106</v>
          </cell>
          <cell r="K2631">
            <v>26953</v>
          </cell>
          <cell r="M2631">
            <v>0</v>
          </cell>
          <cell r="N2631">
            <v>135106</v>
          </cell>
          <cell r="O2631">
            <v>26953</v>
          </cell>
        </row>
        <row r="2632">
          <cell r="D2632" t="str">
            <v>공구손료</v>
          </cell>
          <cell r="E2632" t="str">
            <v>노무비의</v>
          </cell>
          <cell r="F2632" t="str">
            <v>%</v>
          </cell>
          <cell r="G2632">
            <v>3</v>
          </cell>
          <cell r="L2632">
            <v>26953</v>
          </cell>
          <cell r="M2632">
            <v>808</v>
          </cell>
          <cell r="N2632">
            <v>26953</v>
          </cell>
          <cell r="O2632">
            <v>808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율"/>
      <sheetName val="노임단가"/>
      <sheetName val="예산서"/>
      <sheetName val="내역서 총괄표"/>
      <sheetName val="건축공사내역총괄"/>
      <sheetName val="LC공사내역총괄"/>
      <sheetName val="현장시스템내역총괄"/>
      <sheetName val="일위목록"/>
      <sheetName val="일위대가표"/>
      <sheetName val="단가산출"/>
      <sheetName val="일위대가"/>
      <sheetName val="#2_일위대가목록"/>
      <sheetName val="N賃率-職"/>
      <sheetName val="철거산출근거"/>
      <sheetName val="1,2공구원가계산서"/>
      <sheetName val="2공구산출내역"/>
      <sheetName val="1공구산출내역서"/>
      <sheetName val="백암비스타내역"/>
      <sheetName val="일위(지장이설)"/>
      <sheetName val="일위"/>
      <sheetName val=" HIT-&gt;HMC 견적(3900)"/>
      <sheetName val="여과지동"/>
      <sheetName val="기초자료"/>
      <sheetName val="일위산출근거"/>
      <sheetName val="자재단가비교표"/>
      <sheetName val="수량집계(일반통신)"/>
      <sheetName val="간선계산"/>
      <sheetName val="일대"/>
      <sheetName val="조건표"/>
      <sheetName val="J直材4"/>
      <sheetName val="9GNG운반"/>
      <sheetName val="일위대가(TRS)"/>
      <sheetName val="자재단가"/>
      <sheetName val="WORK"/>
      <sheetName val="일위대가1"/>
      <sheetName val="일위대가10"/>
      <sheetName val="일위대가11"/>
      <sheetName val="일위대가12"/>
      <sheetName val="일위대가13"/>
      <sheetName val="일위대가14"/>
      <sheetName val="일위대가15"/>
      <sheetName val="일위대가16"/>
      <sheetName val="일위대가17"/>
      <sheetName val="일위대가2"/>
      <sheetName val="일위대가3"/>
      <sheetName val="일위대가4"/>
      <sheetName val="일위대가5"/>
      <sheetName val="일위대가6"/>
      <sheetName val="일위대가7"/>
      <sheetName val="일위대가8"/>
      <sheetName val="일위대가9"/>
      <sheetName val="일위대가18-1"/>
      <sheetName val="일위대가19-1"/>
      <sheetName val="일위대가20-1"/>
      <sheetName val="일위대가21-1"/>
      <sheetName val="일위대가22-1"/>
      <sheetName val="일위대가23-1"/>
      <sheetName val="일위대가24-1"/>
      <sheetName val="일위대가25-1"/>
      <sheetName val="일위대가26-1"/>
      <sheetName val="일위대가27-1"/>
      <sheetName val="일위대가28-1"/>
      <sheetName val="일위대가29-1"/>
      <sheetName val="일위대가30-1"/>
      <sheetName val="일위대가31-1"/>
      <sheetName val="일위대가32-1"/>
      <sheetName val="일위대가33-1"/>
      <sheetName val="일위대가34-1"/>
      <sheetName val="일위대가35-1"/>
      <sheetName val="일위대가36-1"/>
      <sheetName val="일위대가37-1"/>
      <sheetName val="일위대가38-1"/>
      <sheetName val="일위대가39-1"/>
      <sheetName val="일위대가40-1"/>
      <sheetName val="일위대가41-1"/>
      <sheetName val="일위대가42-1"/>
      <sheetName val="일위대가43-1"/>
      <sheetName val="일위대가44-1"/>
      <sheetName val="일위대가45-1"/>
      <sheetName val="일위대가46-1"/>
      <sheetName val="일위대가47-1"/>
      <sheetName val="일위대가48-1"/>
      <sheetName val="일위대가49-1"/>
      <sheetName val="일위대가50-1"/>
      <sheetName val="일위대가51-1"/>
      <sheetName val="일위대가52-1"/>
      <sheetName val="일위대가53-1"/>
      <sheetName val="일위대가54-1"/>
      <sheetName val="일위대가55-1"/>
      <sheetName val="일위대가56-1 "/>
      <sheetName val="일위대가57-1"/>
      <sheetName val="일위대가58-1"/>
      <sheetName val="일위대가59-1"/>
      <sheetName val="일위대가60-1"/>
      <sheetName val="일위대가61-1"/>
      <sheetName val="일위대가62-1"/>
      <sheetName val="일위대가63-1"/>
      <sheetName val="일위대가64-1"/>
      <sheetName val="일위대가65-1"/>
      <sheetName val="일위대가66-1"/>
      <sheetName val="일위대가67-1"/>
      <sheetName val="일위대가68-1"/>
      <sheetName val="일위대가69-1"/>
      <sheetName val="일위대가70-1"/>
      <sheetName val="일위대가71-1 "/>
      <sheetName val="일위대가72-1"/>
      <sheetName val="일위대가73-1"/>
      <sheetName val="일위대가74-1 "/>
      <sheetName val="일위대가75-1"/>
      <sheetName val="일위대가76-1 "/>
      <sheetName val="일위대가77-1 "/>
      <sheetName val="일위대가78-1 "/>
      <sheetName val="일위대가79-1"/>
      <sheetName val="일위대가80-1"/>
      <sheetName val="일위대가81-1"/>
      <sheetName val="일위대가82-1"/>
      <sheetName val="일위대가92-1"/>
      <sheetName val="단가표"/>
      <sheetName val="조건표 (2)"/>
      <sheetName val="유입량"/>
      <sheetName val="노무비 근거"/>
      <sheetName val="설계명세서"/>
      <sheetName val="실내건축일위대가"/>
      <sheetName val="원가계산서"/>
      <sheetName val="산출내역서"/>
      <sheetName val="효율표"/>
      <sheetName val="일위대가_복합"/>
      <sheetName val="Baby일위대가"/>
      <sheetName val="공정집계_국별"/>
      <sheetName val="시수"/>
      <sheetName val="전기내역서(총계)"/>
      <sheetName val="5.일위대가"/>
      <sheetName val="CODE"/>
      <sheetName val="전체"/>
      <sheetName val="자재단가리스트"/>
      <sheetName val="ELEC"/>
      <sheetName val="1월22일기준인원"/>
      <sheetName val="일위총괄"/>
      <sheetName val="내역서_총괄표"/>
      <sheetName val="_HIT-&gt;HMC_견적(3900)"/>
      <sheetName val="이월가격"/>
    </sheetNames>
    <sheetDataSet>
      <sheetData sheetId="0" refreshError="1">
        <row r="2">
          <cell r="B2">
            <v>0.15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">
          <cell r="A7" t="str">
            <v>일1</v>
          </cell>
          <cell r="B7" t="str">
            <v>제1호표</v>
          </cell>
          <cell r="C7" t="str">
            <v>터파기</v>
          </cell>
          <cell r="D7" t="str">
            <v>(B/H 0.7)</v>
          </cell>
          <cell r="E7" t="str">
            <v>㎥</v>
          </cell>
          <cell r="F7">
            <v>358</v>
          </cell>
          <cell r="G7">
            <v>129</v>
          </cell>
          <cell r="H7">
            <v>804</v>
          </cell>
          <cell r="I7">
            <v>1291</v>
          </cell>
          <cell r="J7" t="str">
            <v>공통대가</v>
          </cell>
        </row>
        <row r="8">
          <cell r="A8" t="str">
            <v>일2</v>
          </cell>
          <cell r="B8" t="str">
            <v>제2호표</v>
          </cell>
          <cell r="C8" t="str">
            <v>콘크리트타설</v>
          </cell>
          <cell r="D8" t="str">
            <v>40-180-8</v>
          </cell>
          <cell r="E8" t="str">
            <v>㎥</v>
          </cell>
          <cell r="F8">
            <v>18202</v>
          </cell>
          <cell r="G8">
            <v>40810</v>
          </cell>
          <cell r="H8">
            <v>0</v>
          </cell>
          <cell r="I8">
            <v>59012</v>
          </cell>
          <cell r="J8" t="str">
            <v>공통대가</v>
          </cell>
        </row>
        <row r="9">
          <cell r="A9" t="str">
            <v>일3</v>
          </cell>
          <cell r="B9" t="str">
            <v>제3호표</v>
          </cell>
          <cell r="C9" t="str">
            <v>콘크리트타설</v>
          </cell>
          <cell r="D9" t="str">
            <v>25-210-8</v>
          </cell>
          <cell r="E9" t="str">
            <v>㎥</v>
          </cell>
          <cell r="F9">
            <v>20551</v>
          </cell>
          <cell r="G9">
            <v>202</v>
          </cell>
          <cell r="H9">
            <v>34</v>
          </cell>
          <cell r="I9">
            <v>20787</v>
          </cell>
          <cell r="J9" t="str">
            <v>공통대가</v>
          </cell>
        </row>
        <row r="10">
          <cell r="A10" t="str">
            <v>일6</v>
          </cell>
          <cell r="B10" t="str">
            <v>제4호표</v>
          </cell>
          <cell r="C10" t="str">
            <v>잔토처리</v>
          </cell>
          <cell r="D10" t="str">
            <v xml:space="preserve"> </v>
          </cell>
          <cell r="E10" t="str">
            <v>㎥</v>
          </cell>
          <cell r="F10">
            <v>2142</v>
          </cell>
          <cell r="G10">
            <v>2653</v>
          </cell>
          <cell r="H10">
            <v>2438</v>
          </cell>
          <cell r="I10">
            <v>7233</v>
          </cell>
          <cell r="J10" t="str">
            <v>공통대가</v>
          </cell>
        </row>
        <row r="11">
          <cell r="A11" t="str">
            <v>일4</v>
          </cell>
          <cell r="B11" t="str">
            <v>제5호표</v>
          </cell>
          <cell r="C11" t="str">
            <v>잡석부설</v>
          </cell>
          <cell r="D11" t="str">
            <v xml:space="preserve"> </v>
          </cell>
          <cell r="E11" t="str">
            <v>㎥</v>
          </cell>
          <cell r="F11">
            <v>20616</v>
          </cell>
          <cell r="G11">
            <v>0</v>
          </cell>
          <cell r="H11">
            <v>0</v>
          </cell>
          <cell r="I11">
            <v>20616</v>
          </cell>
          <cell r="J11" t="str">
            <v>공통대가</v>
          </cell>
        </row>
        <row r="12">
          <cell r="A12" t="str">
            <v>일7</v>
          </cell>
          <cell r="B12" t="str">
            <v>제6호표</v>
          </cell>
          <cell r="C12" t="str">
            <v>되메우기및다짐</v>
          </cell>
          <cell r="D12" t="str">
            <v xml:space="preserve"> </v>
          </cell>
          <cell r="E12" t="str">
            <v>㎥</v>
          </cell>
          <cell r="F12">
            <v>1325</v>
          </cell>
          <cell r="G12">
            <v>224</v>
          </cell>
          <cell r="H12">
            <v>246</v>
          </cell>
          <cell r="I12">
            <v>1795</v>
          </cell>
          <cell r="J12" t="str">
            <v>공통대가</v>
          </cell>
        </row>
        <row r="13">
          <cell r="A13" t="str">
            <v>일5</v>
          </cell>
          <cell r="B13" t="str">
            <v>제7호표</v>
          </cell>
          <cell r="C13" t="str">
            <v>합판거푸집</v>
          </cell>
          <cell r="D13" t="str">
            <v>4회</v>
          </cell>
          <cell r="E13" t="str">
            <v>㎡</v>
          </cell>
          <cell r="F13">
            <v>10046</v>
          </cell>
          <cell r="G13">
            <v>3941</v>
          </cell>
          <cell r="H13">
            <v>0</v>
          </cell>
          <cell r="I13">
            <v>13987</v>
          </cell>
          <cell r="J13" t="str">
            <v>공통대가</v>
          </cell>
        </row>
        <row r="14">
          <cell r="A14" t="str">
            <v>일8</v>
          </cell>
          <cell r="B14" t="str">
            <v>제8호표</v>
          </cell>
          <cell r="C14" t="str">
            <v>모체침투성방수</v>
          </cell>
          <cell r="D14" t="str">
            <v xml:space="preserve"> </v>
          </cell>
          <cell r="E14" t="str">
            <v>㎡</v>
          </cell>
          <cell r="F14">
            <v>13995</v>
          </cell>
          <cell r="G14">
            <v>4999</v>
          </cell>
          <cell r="H14">
            <v>0</v>
          </cell>
          <cell r="I14">
            <v>18994</v>
          </cell>
          <cell r="J14" t="str">
            <v>공통대가</v>
          </cell>
        </row>
        <row r="15">
          <cell r="A15" t="str">
            <v>일19</v>
          </cell>
          <cell r="B15" t="str">
            <v>제9호표</v>
          </cell>
          <cell r="C15" t="str">
            <v>철근가공조립</v>
          </cell>
          <cell r="D15" t="str">
            <v>간단</v>
          </cell>
          <cell r="E15" t="str">
            <v>TON</v>
          </cell>
          <cell r="F15">
            <v>239436</v>
          </cell>
          <cell r="G15">
            <v>2935</v>
          </cell>
          <cell r="H15">
            <v>0</v>
          </cell>
          <cell r="I15">
            <v>242371</v>
          </cell>
          <cell r="J15" t="str">
            <v>공통대가</v>
          </cell>
        </row>
        <row r="16">
          <cell r="A16" t="str">
            <v>일50</v>
          </cell>
          <cell r="B16" t="str">
            <v>제10호표</v>
          </cell>
          <cell r="C16" t="str">
            <v>전선관부설</v>
          </cell>
          <cell r="D16" t="str">
            <v>하중받는곳</v>
          </cell>
          <cell r="E16" t="str">
            <v>M</v>
          </cell>
          <cell r="F16">
            <v>1799</v>
          </cell>
          <cell r="G16">
            <v>452</v>
          </cell>
          <cell r="H16">
            <v>1079</v>
          </cell>
          <cell r="I16">
            <v>3330</v>
          </cell>
        </row>
        <row r="17">
          <cell r="A17" t="str">
            <v>일20</v>
          </cell>
          <cell r="B17" t="str">
            <v>제11호표</v>
          </cell>
          <cell r="C17" t="str">
            <v>통신핸드홀</v>
          </cell>
          <cell r="D17" t="str">
            <v>900×900×900</v>
          </cell>
          <cell r="E17" t="str">
            <v>개소</v>
          </cell>
          <cell r="F17">
            <v>856681</v>
          </cell>
          <cell r="G17">
            <v>422162</v>
          </cell>
          <cell r="H17">
            <v>9164</v>
          </cell>
          <cell r="I17">
            <v>1288007</v>
          </cell>
        </row>
        <row r="18">
          <cell r="A18" t="str">
            <v>일22</v>
          </cell>
          <cell r="B18" t="str">
            <v>제12호표</v>
          </cell>
          <cell r="C18" t="str">
            <v>맨홀</v>
          </cell>
          <cell r="D18" t="str">
            <v>2000×2000×2000</v>
          </cell>
          <cell r="E18" t="str">
            <v>개소</v>
          </cell>
          <cell r="F18">
            <v>1077111</v>
          </cell>
          <cell r="G18">
            <v>1052814</v>
          </cell>
          <cell r="H18">
            <v>68521</v>
          </cell>
          <cell r="I18">
            <v>2198446</v>
          </cell>
        </row>
        <row r="19">
          <cell r="A19" t="str">
            <v>일35</v>
          </cell>
          <cell r="B19" t="str">
            <v>제13호표</v>
          </cell>
          <cell r="C19" t="str">
            <v>피뢰침기초</v>
          </cell>
          <cell r="D19" t="str">
            <v xml:space="preserve"> </v>
          </cell>
          <cell r="E19" t="str">
            <v>개소</v>
          </cell>
          <cell r="F19">
            <v>12776</v>
          </cell>
          <cell r="G19">
            <v>10062</v>
          </cell>
          <cell r="H19">
            <v>0</v>
          </cell>
          <cell r="I19">
            <v>22838</v>
          </cell>
        </row>
        <row r="20">
          <cell r="A20" t="str">
            <v>일21</v>
          </cell>
          <cell r="B20" t="str">
            <v>제14호표</v>
          </cell>
          <cell r="C20" t="str">
            <v>안테나기초</v>
          </cell>
          <cell r="D20" t="str">
            <v xml:space="preserve"> </v>
          </cell>
          <cell r="E20" t="str">
            <v>개소</v>
          </cell>
          <cell r="F20">
            <v>4928</v>
          </cell>
          <cell r="G20">
            <v>3616</v>
          </cell>
          <cell r="H20">
            <v>0</v>
          </cell>
          <cell r="I20">
            <v>8544</v>
          </cell>
        </row>
        <row r="21">
          <cell r="A21" t="str">
            <v>일55</v>
          </cell>
          <cell r="B21" t="str">
            <v>제15호표</v>
          </cell>
          <cell r="C21" t="str">
            <v>TV 안테나</v>
          </cell>
          <cell r="D21" t="str">
            <v>(TV기기 수용함 포함)</v>
          </cell>
          <cell r="E21" t="str">
            <v>개소</v>
          </cell>
          <cell r="F21">
            <v>94495</v>
          </cell>
          <cell r="G21">
            <v>2882261</v>
          </cell>
          <cell r="H21">
            <v>2834</v>
          </cell>
          <cell r="I21">
            <v>2979590</v>
          </cell>
        </row>
        <row r="22">
          <cell r="A22" t="str">
            <v>일62</v>
          </cell>
          <cell r="B22" t="str">
            <v>제16호표</v>
          </cell>
          <cell r="C22" t="str">
            <v>잡철물</v>
          </cell>
          <cell r="D22" t="str">
            <v>잡철물(제작설치)</v>
          </cell>
          <cell r="E22" t="str">
            <v>TON</v>
          </cell>
          <cell r="F22">
            <v>403110</v>
          </cell>
          <cell r="G22">
            <v>7955</v>
          </cell>
          <cell r="H22">
            <v>13279</v>
          </cell>
          <cell r="I22">
            <v>424344</v>
          </cell>
          <cell r="J22" t="str">
            <v>공통대가</v>
          </cell>
        </row>
      </sheetData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산출"/>
      <sheetName val="요율"/>
      <sheetName val="수량산출서 (2)"/>
      <sheetName val="내역(원안-대안)"/>
      <sheetName val="집계표"/>
      <sheetName val="단가 및 재료비"/>
      <sheetName val="건설성적"/>
      <sheetName val="#REF"/>
      <sheetName val="퍼스트"/>
      <sheetName val="일위목록"/>
      <sheetName val="전기일위대가"/>
      <sheetName val="견적서"/>
      <sheetName val="건축"/>
      <sheetName val="자재일람"/>
      <sheetName val="MOTOR"/>
      <sheetName val="건축내역"/>
      <sheetName val="자재단가비교표"/>
      <sheetName val="2.1  노무비 평균단가산출"/>
      <sheetName val="재료집계표"/>
      <sheetName val="입력"/>
      <sheetName val="교통대책내역"/>
      <sheetName val="잡비"/>
      <sheetName val="제경비"/>
      <sheetName val="기본단가표"/>
      <sheetName val="자재단가"/>
      <sheetName val="공사원가계산서"/>
      <sheetName val="단가조사-1"/>
      <sheetName val="단가조사-2"/>
      <sheetName val="단가대비표"/>
      <sheetName val="노임"/>
      <sheetName val="Baby일위대가"/>
      <sheetName val="간접비계산"/>
      <sheetName val="일위대가표"/>
      <sheetName val="일위대가"/>
      <sheetName val="자동제어"/>
      <sheetName val="단가비교"/>
      <sheetName val="자재단가표"/>
      <sheetName val="재료비"/>
      <sheetName val="내역서1"/>
      <sheetName val="기계경비(시간당)"/>
      <sheetName val="현장설명"/>
      <sheetName val="약품공급2"/>
      <sheetName val="노임단가"/>
      <sheetName val="수량산출서"/>
      <sheetName val="수량집계표"/>
      <sheetName val="램머"/>
      <sheetName val="98지급계획"/>
      <sheetName val="품셈TABLE"/>
      <sheetName val="base"/>
      <sheetName val="수량집계"/>
      <sheetName val="유입량"/>
      <sheetName val="재료집계표3"/>
      <sheetName val="일위대가목록"/>
      <sheetName val="일위산출"/>
      <sheetName val="자재테이블"/>
      <sheetName val="단가조사서"/>
      <sheetName val="산출내역서"/>
      <sheetName val="unit 4"/>
      <sheetName val="자재co"/>
      <sheetName val="배수장토목공사비"/>
      <sheetName val="재료값"/>
      <sheetName val="내역서"/>
      <sheetName val="자료"/>
      <sheetName val="표지"/>
      <sheetName val="실행(1)"/>
      <sheetName val="자재"/>
      <sheetName val="원가계산서구조조정"/>
      <sheetName val="조건"/>
      <sheetName val="I一般比"/>
      <sheetName val="N賃率-職"/>
      <sheetName val="조건표 (2)"/>
      <sheetName val="장비수량산출"/>
      <sheetName val="CB"/>
      <sheetName val="15100"/>
      <sheetName val="#2_일위대가목록"/>
      <sheetName val="경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기내역서(총계)"/>
      <sheetName val="수변전설비(소계)"/>
      <sheetName val="공장동공사(소계)"/>
      <sheetName val="동력(소)"/>
      <sheetName val="트레이(소)"/>
      <sheetName val="접지(소)"/>
      <sheetName val="전등전열(소)"/>
      <sheetName val="통신(소)"/>
      <sheetName val="방재(소)"/>
      <sheetName val="단가목록"/>
      <sheetName val="단가비교표"/>
      <sheetName val="일위대가목록"/>
      <sheetName val="일위대가표"/>
      <sheetName val="총괄표"/>
      <sheetName val="입력"/>
      <sheetName val="일위목록"/>
      <sheetName val="요율"/>
      <sheetName val="유입량"/>
      <sheetName val="자재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대공종"/>
      <sheetName val="중공종"/>
      <sheetName val="소공종"/>
      <sheetName val="전력및동력배관"/>
      <sheetName val="전력및동력배선"/>
      <sheetName val="전력및동력기기"/>
      <sheetName val="전등공사배관"/>
      <sheetName val="전등공사배선"/>
      <sheetName val="전등공사기기"/>
      <sheetName val="전열배관"/>
      <sheetName val="전열배선"/>
      <sheetName val="전열기기"/>
      <sheetName val="피뢰배관"/>
      <sheetName val="피뢰배선"/>
      <sheetName val="피뢰기기"/>
      <sheetName val="방송설비배관"/>
      <sheetName val="방송설비배선"/>
      <sheetName val="방송설비기기"/>
      <sheetName val="방재배관"/>
      <sheetName val="방재배선"/>
      <sheetName val="방재기기"/>
      <sheetName val="일반관리비"/>
      <sheetName val="전기내역서(총계)"/>
      <sheetName val="내역서"/>
      <sheetName val="총괄표"/>
      <sheetName val="입력"/>
      <sheetName val="일위목록"/>
      <sheetName val="요율"/>
      <sheetName val="유입량"/>
      <sheetName val="자재단가"/>
      <sheetName val="인건-측정"/>
      <sheetName val="내역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접지수량"/>
      <sheetName val="경상직원"/>
      <sheetName val="자재단가"/>
      <sheetName val="전기2005"/>
      <sheetName val="통신2005"/>
      <sheetName val="조명율표"/>
      <sheetName val="전기내역서(총계)"/>
      <sheetName val="총괄표"/>
      <sheetName val="입력"/>
      <sheetName val="일위목록"/>
      <sheetName val="요율"/>
      <sheetName val="유입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가격비교-형석"/>
      <sheetName val="을지"/>
      <sheetName val="손익분석"/>
      <sheetName val="통합배선인건"/>
      <sheetName val="견적갑지"/>
      <sheetName val="물량산출"/>
      <sheetName val="비교자료"/>
      <sheetName val="동력부하"/>
      <sheetName val="L-기술계산(1Φ220-110V)"/>
      <sheetName val="전등부하"/>
      <sheetName val="0.6-1KV FCV"/>
      <sheetName val="전동기규격"/>
      <sheetName val="표지"/>
      <sheetName val="수변전용량검토"/>
      <sheetName val="단락전류계산서"/>
      <sheetName val="(UT동)SUB"/>
      <sheetName val="(본관동)SUB"/>
      <sheetName val="(2공장동)SUB"/>
      <sheetName val="(사출동)SUB"/>
      <sheetName val="(UT동)UTIL"/>
      <sheetName val="(본관동)AHU"/>
      <sheetName val="(2공장동)AHU"/>
      <sheetName val="(사출동)AHU"/>
      <sheetName val="(사출동)장치"/>
      <sheetName val="내역서1"/>
      <sheetName val="N賃率-職"/>
      <sheetName val="200"/>
      <sheetName val="건축내역"/>
      <sheetName val="실행내역"/>
      <sheetName val="빌딩 안내"/>
      <sheetName val="직노"/>
      <sheetName val="요율"/>
      <sheetName val="내역서"/>
      <sheetName val="조명율표"/>
      <sheetName val="A 견적"/>
      <sheetName val="고등학교"/>
      <sheetName val="전기일위목록"/>
      <sheetName val="설계금내역서"/>
      <sheetName val="노무비 근거"/>
      <sheetName val="한일양산"/>
      <sheetName val="48전력선로일위"/>
      <sheetName val="실행"/>
      <sheetName val="수량산출서"/>
      <sheetName val="총괄표"/>
      <sheetName val="갑지"/>
      <sheetName val="집계표"/>
      <sheetName val="CTEMCOST"/>
      <sheetName val="기본일위"/>
      <sheetName val="내역"/>
      <sheetName val="#REF"/>
      <sheetName val="공사비총괄표"/>
      <sheetName val="신우"/>
      <sheetName val="설계서"/>
      <sheetName val=" 소방공사 산출근거"/>
      <sheetName val="영창26"/>
      <sheetName val="교통대책내역"/>
      <sheetName val="대공종"/>
      <sheetName val="98지급계획"/>
      <sheetName val="자재단가"/>
      <sheetName val="봉방동근생"/>
      <sheetName val="제잡비"/>
      <sheetName val="Sheet1"/>
      <sheetName val="SG"/>
      <sheetName val="단가표"/>
      <sheetName val="CAT_5"/>
      <sheetName val="가설공사"/>
      <sheetName val="표지 (2)"/>
      <sheetName val="접지수량"/>
      <sheetName val="당초"/>
      <sheetName val="DATA"/>
      <sheetName val="BasePriceList"/>
      <sheetName val="노임단가표"/>
      <sheetName val="견적서"/>
      <sheetName val="본부소개"/>
      <sheetName val="견적"/>
      <sheetName val="101동"/>
      <sheetName val="기계경비"/>
      <sheetName val="총괄"/>
      <sheetName val="상가TV배선"/>
      <sheetName val="1유리"/>
      <sheetName val="일위대가집계표"/>
      <sheetName val="재료"/>
      <sheetName val="AIR SHOWER(3인용)"/>
      <sheetName val="MAIN_TABLE"/>
      <sheetName val="J-EQ"/>
      <sheetName val="기계경비(시간당)"/>
      <sheetName val="식생블럭단위수량"/>
      <sheetName val="일위대가표"/>
      <sheetName val="토공사"/>
      <sheetName val="인수공규격"/>
      <sheetName val="철거산출근거"/>
      <sheetName val="예산M11A"/>
      <sheetName val="3BL공동구 수량"/>
      <sheetName val="6호기"/>
      <sheetName val="BID"/>
      <sheetName val="95년12월말"/>
      <sheetName val="노무단가산정"/>
      <sheetName val="총(신설)"/>
      <sheetName val="단가산출"/>
      <sheetName val="예산대비"/>
      <sheetName val="프로젝트"/>
      <sheetName val="적용토목"/>
      <sheetName val="건축공사"/>
      <sheetName val="산출금액내역"/>
      <sheetName val="asd"/>
      <sheetName val="DB"/>
      <sheetName val="원가계산서 "/>
      <sheetName val="내역표지"/>
      <sheetName val="일위"/>
      <sheetName val="물가조사"/>
      <sheetName val="Sheet2"/>
      <sheetName val="Sheet3"/>
      <sheetName val="I一般比"/>
      <sheetName val="지입자재집계표"/>
      <sheetName val="공내역"/>
      <sheetName val="차수공개요"/>
      <sheetName val="전기내역서(총계)"/>
      <sheetName val="입력"/>
      <sheetName val="일위목록"/>
      <sheetName val="수량산출"/>
      <sheetName val="골재산출"/>
      <sheetName val="원가"/>
      <sheetName val="입상내역"/>
      <sheetName val="102역사"/>
      <sheetName val="NYS"/>
      <sheetName val="제출내역"/>
      <sheetName val="을"/>
      <sheetName val="N賃率_職"/>
      <sheetName val="입찰안"/>
      <sheetName val="일위총괄"/>
      <sheetName val="중기사용료산출근거"/>
      <sheetName val="수량분배표"/>
      <sheetName val="단위량"/>
      <sheetName val="재료집계표2"/>
      <sheetName val="토적집계표"/>
      <sheetName val="코드표"/>
      <sheetName val="단중표"/>
      <sheetName val="조도계산서 (도서)"/>
      <sheetName val="교각별철근수량집계표"/>
      <sheetName val="Customer Databas"/>
      <sheetName val="물량입력"/>
      <sheetName val="설비2차"/>
      <sheetName val="97년 추정"/>
      <sheetName val="지하"/>
      <sheetName val="일위대가"/>
      <sheetName val="일위대가-내역 "/>
      <sheetName val="단가"/>
      <sheetName val="5공철탑검토표"/>
      <sheetName val="4공철탑검토"/>
      <sheetName val="대창(장성)"/>
      <sheetName val="적현로"/>
      <sheetName val="바닥판"/>
      <sheetName val="입력DATA"/>
      <sheetName val="주beam"/>
      <sheetName val="데이타"/>
      <sheetName val="990430_당초"/>
      <sheetName val="b_balju_cho"/>
      <sheetName val="제직재"/>
      <sheetName val="교수설계"/>
      <sheetName val="J直材4"/>
      <sheetName val="운반공사"/>
      <sheetName val="기초자료"/>
      <sheetName val="내역서 "/>
      <sheetName val="날개벽수량표"/>
      <sheetName val="220 (2)"/>
      <sheetName val="담장산출"/>
      <sheetName val="소일위대가코드표"/>
      <sheetName val="inputdata"/>
      <sheetName val="B"/>
      <sheetName val="일위대가목차"/>
      <sheetName val="인건비"/>
      <sheetName val="급,배기팬"/>
      <sheetName val="조명시설"/>
      <sheetName val="원가총괄"/>
      <sheetName val="카메라"/>
      <sheetName val="내역(가지)"/>
      <sheetName val="일위대가(가설)"/>
      <sheetName val="0_6-1KV_FCV"/>
      <sheetName val="A_견적"/>
      <sheetName val="빌딩_안내"/>
      <sheetName val="_소방공사_산출근거"/>
      <sheetName val="노무비_근거"/>
      <sheetName val="표지_(2)"/>
      <sheetName val="AIR_SHOWER(3인용)"/>
      <sheetName val="3BL공동구_수량"/>
      <sheetName val="Customer_Databas"/>
      <sheetName val="97년_추정"/>
      <sheetName val="원가계산서_"/>
      <sheetName val="기존단가 (2)"/>
      <sheetName val="갑지1"/>
      <sheetName val="노임단가"/>
      <sheetName val="약품공급2"/>
      <sheetName val="교각1"/>
      <sheetName val="재개발"/>
      <sheetName val="대치판정"/>
      <sheetName val="공사착공계"/>
      <sheetName val="공량산출서"/>
      <sheetName val="부하자료"/>
      <sheetName val="기성내역"/>
      <sheetName val="PIPE"/>
      <sheetName val="일위_파일"/>
      <sheetName val="노임"/>
      <sheetName val="명세서"/>
      <sheetName val="연부97-1"/>
      <sheetName val="국도접속 차도부수량"/>
      <sheetName val="L1"/>
      <sheetName val="1.취수장"/>
      <sheetName val="잡철물"/>
      <sheetName val="토공 total"/>
      <sheetName val="위치조서"/>
      <sheetName val="조건표"/>
      <sheetName val="중기"/>
      <sheetName val="분전반"/>
      <sheetName val="19990101-엑셀1"/>
      <sheetName val="갑  지"/>
      <sheetName val="본체"/>
      <sheetName val="설직재-1"/>
      <sheetName val="개요"/>
      <sheetName val="직원자료입력"/>
      <sheetName val="설계명세"/>
      <sheetName val="내역전기"/>
      <sheetName val="일위1"/>
      <sheetName val="계약용량(서포)"/>
      <sheetName val="Macro(MCC)"/>
      <sheetName val="PIPING"/>
      <sheetName val="#3_일위대가목록"/>
      <sheetName val="연습"/>
      <sheetName val="실행(1)"/>
      <sheetName val="2공구산출내역"/>
      <sheetName val="간접비계산"/>
      <sheetName val="물가시세"/>
      <sheetName val="준검 내역서"/>
      <sheetName val="자재테이블"/>
      <sheetName val="guard(mac)"/>
      <sheetName val=" HIT-&gt;HMC 견적(3900)"/>
      <sheetName val="lee"/>
      <sheetName val="집계표소트"/>
      <sheetName val="LD"/>
      <sheetName val="전기산출기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-WORK"/>
      <sheetName val="Sheet1 (2)"/>
      <sheetName val="전기내역서(총계)"/>
      <sheetName val="손익분석"/>
      <sheetName val="98수문일위"/>
      <sheetName val="참조자료"/>
      <sheetName val="대공종"/>
      <sheetName val="접지수량"/>
      <sheetName val="총괄표"/>
      <sheetName val="입력"/>
      <sheetName val="Y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량산출서"/>
      <sheetName val="내역서(배관보수) (3)"/>
      <sheetName val="일위대가표"/>
      <sheetName val="내역서표지 (2)"/>
      <sheetName val="원가계산서"/>
      <sheetName val="설계서 표지"/>
      <sheetName val="견적서표지 (2)"/>
      <sheetName val="실행내역 (2)"/>
      <sheetName val="실행내역"/>
      <sheetName val="손익분석"/>
      <sheetName val="노임"/>
      <sheetName val="성남공고(설계서)"/>
      <sheetName val="합천내역"/>
      <sheetName val="2-2.총괄공사비내역집계표"/>
      <sheetName val="2-4.총괄관급재비내역집계표"/>
      <sheetName val="(C)원내역"/>
      <sheetName val="갑지"/>
      <sheetName val="토공사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0">
          <cell r="D10" t="str">
            <v>관리실 난방분리</v>
          </cell>
        </row>
        <row r="67">
          <cell r="D67" t="str">
            <v>신축교실난방분리</v>
          </cell>
        </row>
      </sheetData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총괄내역"/>
      <sheetName val="세부내역"/>
      <sheetName val="일위집계"/>
      <sheetName val="일위대가"/>
      <sheetName val="단가산출"/>
      <sheetName val="노임단가"/>
      <sheetName val="집계표(밀)"/>
      <sheetName val="세부산출(밀)"/>
      <sheetName val="Sheet2"/>
      <sheetName val="Sheet1"/>
      <sheetName val=""/>
      <sheetName val="1.3 현장계측설비"/>
      <sheetName val="시중노임단가"/>
      <sheetName val="48단가"/>
      <sheetName val="손익분석"/>
      <sheetName val="산#3-2"/>
      <sheetName val="산#3-1"/>
      <sheetName val="#REF"/>
      <sheetName val="산#3-2-2"/>
      <sheetName val="실행예산서"/>
      <sheetName val="한강운반비"/>
      <sheetName val="대공종"/>
      <sheetName val="접지수량"/>
      <sheetName val="전기내역서(총계)"/>
      <sheetName val="총괄표"/>
      <sheetName val="노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8수문일위"/>
      <sheetName val="시중노임단가"/>
      <sheetName val="자재단가"/>
      <sheetName val="단가산출"/>
      <sheetName val="손익분석"/>
      <sheetName val="대공종"/>
      <sheetName val="접지수량"/>
      <sheetName val="전기내역서(총계)"/>
      <sheetName val="여과지동"/>
      <sheetName val="기초자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8수문일위"/>
    </sheetNames>
    <sheetDataSet>
      <sheetData sheetId="0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계경비"/>
      <sheetName val="98수문일위"/>
      <sheetName val="N賃率-職"/>
      <sheetName val="신우"/>
      <sheetName val="시중노임단가"/>
      <sheetName val="손익분석"/>
      <sheetName val="대공종"/>
      <sheetName val="#REF"/>
      <sheetName val="전체"/>
      <sheetName val="골재산출"/>
      <sheetName val="수량산출"/>
      <sheetName val="ABUT수량-A1"/>
      <sheetName val="단면가정"/>
      <sheetName val="주차구획선수량"/>
      <sheetName val="준검 내역서"/>
      <sheetName val="대치판정"/>
      <sheetName val="단위수량"/>
      <sheetName val="1.설계조건"/>
      <sheetName val="기초자료"/>
      <sheetName val="토사(PE)"/>
      <sheetName val="표지"/>
      <sheetName val="불인산반응조산근"/>
      <sheetName val="맨홀"/>
      <sheetName val="총괄표"/>
      <sheetName val="산출내역서"/>
      <sheetName val="건축기성"/>
      <sheetName val="가로등내역서"/>
      <sheetName val="TYPE-A"/>
      <sheetName val="토공정보"/>
      <sheetName val="집계표"/>
      <sheetName val="내역서변경성원"/>
      <sheetName val="연습"/>
      <sheetName val="단가산출서(기계)"/>
      <sheetName val="Sheet5"/>
      <sheetName val="인건-측정"/>
      <sheetName val="sw1"/>
      <sheetName val="9GNG운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사서류준비"/>
      <sheetName val="기본입력"/>
      <sheetName val="설계서"/>
      <sheetName val="내역서"/>
      <sheetName val="내역서표지"/>
      <sheetName val="원가계산서"/>
      <sheetName val="원가계산서 (2)"/>
      <sheetName val="공사예정공정표"/>
      <sheetName val="공사원가계산서"/>
      <sheetName val="표준계약서"/>
      <sheetName val="사용인감신고서"/>
      <sheetName val="착공신고서"/>
      <sheetName val="준공신고서"/>
      <sheetName val="사진대지"/>
      <sheetName val="참조자료"/>
      <sheetName val="98수문일위"/>
      <sheetName val="가격"/>
      <sheetName val="인건-측정"/>
      <sheetName val="sw1"/>
      <sheetName val="NOMUBI"/>
      <sheetName val="BID"/>
      <sheetName val="품셈TABLE"/>
      <sheetName val="노임단가"/>
      <sheetName val="실행내역 (2)"/>
      <sheetName val="성남공고-화장실공사"/>
      <sheetName val="노임"/>
      <sheetName val="품목"/>
      <sheetName val="일위대가"/>
      <sheetName val="전기단가조사서"/>
      <sheetName val="guard(mac)"/>
      <sheetName val="접속도로1"/>
      <sheetName val="실행내역"/>
      <sheetName val="개별직종노임단가(2003.9)"/>
      <sheetName val="지구단위계획"/>
      <sheetName val="터파기및재료"/>
      <sheetName val="철거산출근거"/>
      <sheetName val="9GNG운반"/>
      <sheetName val="하조서"/>
      <sheetName val="손익분석"/>
      <sheetName val="공사개요"/>
      <sheetName val=" 토목 처리장도급내역서 "/>
      <sheetName val="총공사내역서"/>
      <sheetName val="일위대가 (PM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3">
          <cell r="A3" t="str">
            <v>가스</v>
          </cell>
        </row>
        <row r="4">
          <cell r="A4" t="str">
            <v>건물내설비</v>
          </cell>
        </row>
        <row r="5">
          <cell r="A5" t="str">
            <v>건축물조립</v>
          </cell>
        </row>
        <row r="6">
          <cell r="A6" t="str">
            <v>공기조화</v>
          </cell>
        </row>
        <row r="7">
          <cell r="A7" t="str">
            <v>공동구</v>
          </cell>
        </row>
        <row r="8">
          <cell r="A8" t="str">
            <v>관개수로</v>
          </cell>
        </row>
        <row r="9">
          <cell r="A9" t="str">
            <v>급배수</v>
          </cell>
        </row>
        <row r="10">
          <cell r="A10" t="str">
            <v>기타 토목공사</v>
          </cell>
        </row>
        <row r="11">
          <cell r="A11" t="str">
            <v>냉난방</v>
          </cell>
        </row>
        <row r="12">
          <cell r="A12" t="str">
            <v>도로</v>
          </cell>
        </row>
        <row r="13">
          <cell r="A13" t="str">
            <v>도장</v>
          </cell>
        </row>
        <row r="14">
          <cell r="A14" t="str">
            <v>매립</v>
          </cell>
        </row>
        <row r="15">
          <cell r="A15" t="str">
            <v>미장</v>
          </cell>
        </row>
        <row r="16">
          <cell r="A16" t="str">
            <v>방수</v>
          </cell>
        </row>
        <row r="17">
          <cell r="A17" t="str">
            <v>배연설비</v>
          </cell>
        </row>
        <row r="18">
          <cell r="A18" t="str">
            <v>보링</v>
          </cell>
        </row>
        <row r="19">
          <cell r="A19" t="str">
            <v>보일러설치</v>
          </cell>
        </row>
        <row r="20">
          <cell r="A20" t="str">
            <v>부지정리</v>
          </cell>
        </row>
        <row r="21">
          <cell r="A21" t="str">
            <v>상수도</v>
          </cell>
        </row>
        <row r="22">
          <cell r="A22" t="str">
            <v>상수도(1)</v>
          </cell>
        </row>
        <row r="23">
          <cell r="A23" t="str">
            <v>상하수도</v>
          </cell>
        </row>
        <row r="24">
          <cell r="A24" t="str">
            <v>석공</v>
          </cell>
        </row>
        <row r="25">
          <cell r="A25" t="str">
            <v>승강기</v>
          </cell>
        </row>
        <row r="26">
          <cell r="A26" t="str">
            <v>실내의장</v>
          </cell>
        </row>
        <row r="27">
          <cell r="A27" t="str">
            <v>온실설치</v>
          </cell>
        </row>
        <row r="28">
          <cell r="A28" t="str">
            <v>인양기기설비</v>
          </cell>
        </row>
        <row r="29">
          <cell r="A29" t="str">
            <v>자동제어</v>
          </cell>
        </row>
        <row r="30">
          <cell r="A30" t="str">
            <v>조경</v>
          </cell>
        </row>
        <row r="31">
          <cell r="A31" t="str">
            <v>조적</v>
          </cell>
        </row>
        <row r="32">
          <cell r="A32" t="str">
            <v>지붕</v>
          </cell>
        </row>
        <row r="33">
          <cell r="A33" t="str">
            <v>지하수개발</v>
          </cell>
        </row>
        <row r="34">
          <cell r="A34" t="str">
            <v>지하저수조</v>
          </cell>
        </row>
        <row r="35">
          <cell r="A35" t="str">
            <v xml:space="preserve">창호 </v>
          </cell>
        </row>
        <row r="36">
          <cell r="A36" t="str">
            <v>철근콘크리트</v>
          </cell>
        </row>
        <row r="37">
          <cell r="A37" t="str">
            <v>철도(1)</v>
          </cell>
        </row>
        <row r="38">
          <cell r="A38" t="str">
            <v>철도(2)</v>
          </cell>
        </row>
        <row r="39">
          <cell r="A39" t="str">
            <v>철물</v>
          </cell>
        </row>
        <row r="40">
          <cell r="A40" t="str">
            <v>타일</v>
          </cell>
        </row>
        <row r="41">
          <cell r="A41" t="str">
            <v>토공</v>
          </cell>
        </row>
        <row r="42">
          <cell r="A42" t="str">
            <v>판금</v>
          </cell>
        </row>
        <row r="43">
          <cell r="A43" t="str">
            <v>포장</v>
          </cell>
        </row>
        <row r="44">
          <cell r="A44" t="str">
            <v>하수도(1)</v>
          </cell>
        </row>
        <row r="45">
          <cell r="A45" t="str">
            <v>하수도</v>
          </cell>
        </row>
        <row r="46">
          <cell r="A46" t="str">
            <v>환기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신우"/>
      <sheetName val="laroux"/>
      <sheetName val="갑지"/>
      <sheetName val="강 당"/>
      <sheetName val="신우갑지"/>
      <sheetName val="천우갑지"/>
      <sheetName val="천우"/>
      <sheetName val="__"/>
      <sheetName val="원가 (2)"/>
      <sheetName val="중기사용료"/>
      <sheetName val="I一般比"/>
      <sheetName val="N賃率-職"/>
      <sheetName val="일위대가"/>
      <sheetName val="설직재-1"/>
      <sheetName val="원본(갑지)"/>
      <sheetName val="을"/>
      <sheetName val="#REF"/>
      <sheetName val="1790"/>
      <sheetName val="XL4Poppy"/>
      <sheetName val="부하계산서"/>
      <sheetName val="98수문일위"/>
    </sheetNames>
    <definedNames>
      <definedName name="Macro12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신우"/>
      <sheetName val="laroux"/>
      <sheetName val="갑지"/>
      <sheetName val="강 당"/>
      <sheetName val="신우갑지"/>
      <sheetName val="천우갑지"/>
      <sheetName val="천우"/>
      <sheetName val="__"/>
      <sheetName val="원가 (2)"/>
      <sheetName val="중기사용료"/>
      <sheetName val="I一般比"/>
      <sheetName val="N賃率-職"/>
      <sheetName val="일위대가"/>
      <sheetName val="설직재-1"/>
      <sheetName val="원본(갑지)"/>
      <sheetName val="을"/>
      <sheetName val="#REF"/>
      <sheetName val="1790"/>
      <sheetName val="XL4Poppy"/>
      <sheetName val="부하계산서"/>
      <sheetName val="98수문일위"/>
    </sheetNames>
    <definedNames>
      <definedName name="Macro12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3-1"/>
      <sheetName val="Sheet4"/>
      <sheetName val="물가자료비교"/>
      <sheetName val="3사단가비교"/>
      <sheetName val="대동"/>
      <sheetName val="성림"/>
      <sheetName val="금강"/>
      <sheetName val="1.수인터널"/>
      <sheetName val="단가산출"/>
      <sheetName val="#REF"/>
      <sheetName val="xxxxxx"/>
      <sheetName val="（２）"/>
      <sheetName val="（３） "/>
      <sheetName val="97년-98년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주간업무보고"/>
      <sheetName val="주간업무보고4월첫째"/>
      <sheetName val="부재중업무보고"/>
      <sheetName val="주간업무보고4월네째"/>
      <sheetName val="3"/>
      <sheetName val="aola"/>
      <sheetName val="aola_2"/>
      <sheetName val="aola_3"/>
      <sheetName val="aola_4"/>
      <sheetName val="aola_5"/>
      <sheetName val="aola_6"/>
      <sheetName val="aola_7"/>
      <sheetName val="aola_8"/>
      <sheetName val="aola_9"/>
      <sheetName val="aola_10"/>
      <sheetName val="aola_11"/>
      <sheetName val="aola_12"/>
      <sheetName val="aola_13"/>
      <sheetName val="aola_14"/>
      <sheetName val="aola_15"/>
      <sheetName val="aola_16"/>
      <sheetName val="aola_17"/>
      <sheetName val="aola_18"/>
      <sheetName val="aola_19"/>
      <sheetName val="aola_20"/>
      <sheetName val="aola_21"/>
      <sheetName val="aola_22"/>
      <sheetName val="표지"/>
      <sheetName val="목차"/>
      <sheetName val="목차 (2)"/>
      <sheetName val="목차(1)"/>
      <sheetName val="1-1"/>
      <sheetName val="1-2"/>
      <sheetName val="1-3"/>
      <sheetName val="1-4"/>
      <sheetName val="1-5"/>
      <sheetName val="1-6"/>
      <sheetName val="1-7"/>
      <sheetName val="1-8"/>
      <sheetName val="1-9"/>
      <sheetName val="1-10"/>
      <sheetName val="1-11"/>
      <sheetName val="지침"/>
      <sheetName val="일정"/>
      <sheetName val="단위"/>
      <sheetName val="갱비산출근거"/>
      <sheetName val="양식목차"/>
      <sheetName val="1-1.손익(부문별)"/>
      <sheetName val="1-2.손익(월별)"/>
      <sheetName val="2-1.판관비(부문)"/>
      <sheetName val="2-2.판관비(월별)"/>
      <sheetName val="3-1.수익비용(부문별)"/>
      <sheetName val="3-2.수익비용(월별)"/>
      <sheetName val="4-1.투자(부문)"/>
      <sheetName val="4-2.투자(월별)"/>
      <sheetName val="5-1.인원(부문)"/>
      <sheetName val="5-2.인원(월별)"/>
      <sheetName val="6.산출근거"/>
      <sheetName val="7.현금흐름"/>
      <sheetName val="마케팅1"/>
      <sheetName val="마케팅1 (2)"/>
      <sheetName val="마케팅1 (3)"/>
      <sheetName val="마케팅1 (4)"/>
      <sheetName val="구판관비"/>
      <sheetName val="01 1담당매출계획27.8$"/>
      <sheetName val="01매출계획식자재"/>
      <sheetName val="01매출계획 선용품"/>
      <sheetName val="증감내역"/>
      <sheetName val="99~01년승선현황"/>
      <sheetName val="1월"/>
      <sheetName val="2월"/>
      <sheetName val="3월"/>
      <sheetName val="4월"/>
      <sheetName val="5월"/>
      <sheetName val="6월"/>
      <sheetName val="상반기"/>
      <sheetName val="7월"/>
      <sheetName val="9월"/>
      <sheetName val="8월"/>
      <sheetName val="10월"/>
      <sheetName val="11월"/>
      <sheetName val="12월"/>
      <sheetName val="하반기"/>
      <sheetName val="총계"/>
      <sheetName val="울산총계"/>
      <sheetName val="울산1월"/>
      <sheetName val="울산2월"/>
      <sheetName val="울산3월"/>
      <sheetName val="울산4월"/>
      <sheetName val="울산5월"/>
      <sheetName val="울산6월"/>
      <sheetName val="울산7월"/>
      <sheetName val="울산8월"/>
      <sheetName val="울산9월"/>
      <sheetName val="울산10월"/>
      <sheetName val="울산11월"/>
      <sheetName val="울산12월"/>
      <sheetName val="성남총계"/>
      <sheetName val="성남1월"/>
      <sheetName val="성남2월"/>
      <sheetName val="성남3월"/>
      <sheetName val="성남4월"/>
      <sheetName val="성남5월"/>
      <sheetName val="성남6월"/>
      <sheetName val="성남7월"/>
      <sheetName val="성남8월"/>
      <sheetName val="성남9월"/>
      <sheetName val="성남10월"/>
      <sheetName val="성남11월"/>
      <sheetName val="성남12월"/>
      <sheetName val="요약장"/>
      <sheetName val="부도어음수표"/>
      <sheetName val="악성채권"/>
      <sheetName val="작업전원본"/>
      <sheetName val="작업악성채권직원판매제외(거래선별종합)"/>
      <sheetName val="작업악성채권직원판매제외(거래선별) "/>
      <sheetName val="작업악성채권직원판매제외 (담당별종합)"/>
      <sheetName val="작업악성채권직원판매제외 (담당별)"/>
      <sheetName val="별첨1"/>
      <sheetName val="별첨2"/>
      <sheetName val="별첨3"/>
      <sheetName val="별첨4"/>
      <sheetName val="백1"/>
      <sheetName val="백2"/>
      <sheetName val="백3"/>
      <sheetName val="월별매출01"/>
      <sheetName val="식품"/>
      <sheetName val="포함"/>
      <sheetName val="울산점"/>
      <sheetName val="일반관리비"/>
      <sheetName val="카메라"/>
      <sheetName val="판촉비예산 "/>
      <sheetName val="전산투자예산"/>
      <sheetName val="인테리어.시설"/>
      <sheetName val="파 3층 특설 장치장식비"/>
      <sheetName val="갑"/>
      <sheetName val="1"/>
      <sheetName val="2"/>
      <sheetName val="4"/>
      <sheetName val="5"/>
      <sheetName val="6"/>
      <sheetName val="7"/>
      <sheetName val="채권총괄표(H&amp;S집계)"/>
      <sheetName val="표지(03년11월)"/>
      <sheetName val="총괄 (03년11월)h&amp;s"/>
      <sheetName val="총괄 (03년11월)여행"/>
      <sheetName val="세부내용 (03년11월)여행"/>
      <sheetName val="개인 세부내용 (03년11월)여행"/>
      <sheetName val="서울일반상품"/>
      <sheetName val="서울상품권"/>
      <sheetName val="동구일반상품 "/>
      <sheetName val="동구미수금"/>
      <sheetName val="금강산"/>
      <sheetName val="임대"/>
      <sheetName val="본사"/>
      <sheetName val="ꀀ"/>
      <sheetName val="영업2파트"/>
      <sheetName val="영업활동현황"/>
      <sheetName val="성과보고표지"/>
      <sheetName val="성과보고양식"/>
      <sheetName val="간접"/>
      <sheetName val="시운전연료"/>
      <sheetName val="업무"/>
      <sheetName val="유동표"/>
      <sheetName val="ITEM"/>
      <sheetName val="인건비"/>
      <sheetName val="일위대가"/>
      <sheetName val="집계표"/>
      <sheetName val="단가비교표"/>
      <sheetName val="Module1"/>
      <sheetName val="Module2"/>
      <sheetName val="MM"/>
      <sheetName val="파일정리"/>
      <sheetName val="1.견적서목록"/>
      <sheetName val="견적표지(종)"/>
      <sheetName val="견적표지 (횡)"/>
      <sheetName val="견적서"/>
      <sheetName val="부하계산서 (영문)"/>
      <sheetName val="FAX1"/>
      <sheetName val="주소록"/>
      <sheetName val="PEND-ITEM"/>
      <sheetName val="PEND-99"/>
      <sheetName val="0000"/>
      <sheetName val="설계자료"/>
      <sheetName val="견적표지"/>
      <sheetName val="PEND-ITEM (2)"/>
      <sheetName val="_x000f__x0000_"/>
      <sheetName val="수리결과"/>
      <sheetName val="（３）_"/>
      <sheetName val="목차_(2)"/>
      <sheetName val="1-1_손익(부문별)"/>
      <sheetName val="1-2_손익(월별)"/>
      <sheetName val="2-1_판관비(부문)"/>
      <sheetName val="2-2_판관비(월별)"/>
      <sheetName val="3-1_수익비용(부문별)"/>
      <sheetName val="3-2_수익비용(월별)"/>
      <sheetName val="4-1_투자(부문)"/>
      <sheetName val="4-2_투자(월별)"/>
      <sheetName val="5-1_인원(부문)"/>
      <sheetName val="5-2_인원(월별)"/>
      <sheetName val="6_산출근거"/>
      <sheetName val="7_현금흐름"/>
      <sheetName val="마케팅1_(2)"/>
      <sheetName val="마케팅1_(3)"/>
      <sheetName val="마케팅1_(4)"/>
      <sheetName val="01_1담당매출계획27_8$"/>
      <sheetName val="01매출계획_선용품"/>
      <sheetName val="작업악성채권직원판매제외(거래선별)_"/>
      <sheetName val="작업악성채권직원판매제외_(담당별종합)"/>
      <sheetName val="작업악성채권직원판매제외_(담당별)"/>
      <sheetName val="판촉비예산_"/>
      <sheetName val="인테리어_시설"/>
      <sheetName val="파_3층_특설_장치장식비"/>
      <sheetName val="총괄_(03년11월)h&amp;s"/>
      <sheetName val="총괄_(03년11월)여행"/>
      <sheetName val="세부내용_(03년11월)여행"/>
      <sheetName val="개인_세부내용_(03년11월)여행"/>
      <sheetName val="동구일반상품_"/>
      <sheetName val="J直材4"/>
      <sheetName val="내역서"/>
      <sheetName val="노임조서"/>
      <sheetName val="일위대가(가설)"/>
      <sheetName val="I一般比"/>
      <sheetName val="ABUT수량-A1"/>
      <sheetName val="N賃率-職"/>
      <sheetName val="98수문일위"/>
      <sheetName val="시중노임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 refreshError="1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표지"/>
      <sheetName val="수량산출"/>
      <sheetName val="수량산출서"/>
      <sheetName val="배치도"/>
      <sheetName val="Sheet1"/>
      <sheetName val="신우"/>
      <sheetName val="1.수인터널"/>
      <sheetName val="수량산출서0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표지"/>
      <sheetName val="수량산출"/>
      <sheetName val="수량산출서"/>
      <sheetName val="배치도"/>
      <sheetName val="Sheet1"/>
      <sheetName val="신우"/>
      <sheetName val="1.수인터널"/>
      <sheetName val="수량산출서0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개군)토적표"/>
      <sheetName val="(현암)신설관로토적표"/>
      <sheetName val="기계경비"/>
      <sheetName val="신우"/>
      <sheetName val="1.수인터널"/>
      <sheetName val="토적표(수정전)"/>
      <sheetName val="98수문일위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예산서"/>
      <sheetName val="표지"/>
      <sheetName val="원가계산서"/>
      <sheetName val="설계내역서"/>
      <sheetName val="일위대가"/>
      <sheetName val="자재단가"/>
      <sheetName val="노임단가표"/>
      <sheetName val="산출집계표"/>
      <sheetName val="물량내역서"/>
      <sheetName val="주민인터넷망 네트워크 구성도(변경전)"/>
      <sheetName val="주민인터넷망 네트워크 구성도(변경후)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C4">
            <v>169804</v>
          </cell>
        </row>
      </sheetData>
      <sheetData sheetId="7">
        <row r="4">
          <cell r="B4" t="str">
            <v>광케이블</v>
          </cell>
        </row>
      </sheetData>
      <sheetData sheetId="8">
        <row r="4">
          <cell r="K4" t="str">
            <v>통신랙</v>
          </cell>
        </row>
        <row r="5">
          <cell r="O5" t="str">
            <v>RJ-45</v>
          </cell>
        </row>
        <row r="6">
          <cell r="O6" t="str">
            <v>개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M24"/>
  <sheetViews>
    <sheetView view="pageBreakPreview" zoomScaleSheetLayoutView="100" workbookViewId="0">
      <selection activeCell="E11" sqref="E11"/>
    </sheetView>
  </sheetViews>
  <sheetFormatPr defaultColWidth="8.88671875" defaultRowHeight="17.100000000000001" customHeight="1"/>
  <cols>
    <col min="1" max="1" width="6.77734375" style="4" customWidth="1"/>
    <col min="2" max="11" width="10" style="4" customWidth="1"/>
    <col min="12" max="12" width="6.77734375" style="4" customWidth="1"/>
    <col min="13" max="13" width="10.6640625" style="4" customWidth="1"/>
    <col min="14" max="16384" width="8.88671875" style="4"/>
  </cols>
  <sheetData>
    <row r="1" spans="1:13" ht="30.75" customHeight="1" thickTop="1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4"/>
    </row>
    <row r="2" spans="1:13" s="5" customFormat="1" ht="30" customHeight="1" thickBot="1">
      <c r="A2" s="15"/>
      <c r="B2" s="242" t="s">
        <v>1</v>
      </c>
      <c r="C2" s="243"/>
      <c r="D2" s="242" t="s">
        <v>2</v>
      </c>
      <c r="E2" s="243"/>
      <c r="F2" s="242" t="s">
        <v>3</v>
      </c>
      <c r="G2" s="243"/>
      <c r="H2" s="242" t="s">
        <v>4</v>
      </c>
      <c r="I2" s="243"/>
      <c r="J2" s="242" t="s">
        <v>5</v>
      </c>
      <c r="K2" s="243"/>
      <c r="L2" s="16"/>
    </row>
    <row r="3" spans="1:13" s="5" customFormat="1" ht="69" customHeight="1" thickBot="1">
      <c r="A3" s="15"/>
      <c r="B3" s="247"/>
      <c r="C3" s="248"/>
      <c r="D3" s="247"/>
      <c r="E3" s="248"/>
      <c r="F3" s="247"/>
      <c r="G3" s="248"/>
      <c r="H3" s="247"/>
      <c r="I3" s="248"/>
      <c r="J3" s="247">
        <v>2012.05</v>
      </c>
      <c r="K3" s="248"/>
      <c r="L3" s="17"/>
    </row>
    <row r="4" spans="1:13" s="6" customFormat="1" ht="13.5">
      <c r="A4" s="18"/>
      <c r="B4" s="19"/>
      <c r="C4" s="19"/>
      <c r="D4" s="19"/>
      <c r="E4" s="19"/>
      <c r="F4" s="19"/>
      <c r="G4" s="19"/>
      <c r="H4" s="19"/>
      <c r="I4" s="19"/>
      <c r="J4" s="19"/>
      <c r="K4" s="19"/>
      <c r="L4" s="20"/>
    </row>
    <row r="5" spans="1:13" s="6" customFormat="1" ht="28.5" customHeight="1">
      <c r="A5" s="244" t="s">
        <v>15</v>
      </c>
      <c r="B5" s="245"/>
      <c r="C5" s="245"/>
      <c r="D5" s="245"/>
      <c r="E5" s="245"/>
      <c r="F5" s="245"/>
      <c r="G5" s="245"/>
      <c r="H5" s="245"/>
      <c r="I5" s="245"/>
      <c r="J5" s="245"/>
      <c r="K5" s="245"/>
      <c r="L5" s="246"/>
    </row>
    <row r="6" spans="1:13" s="6" customFormat="1" ht="16.5" customHeight="1">
      <c r="A6" s="18"/>
      <c r="B6" s="19"/>
      <c r="C6" s="19"/>
      <c r="D6" s="19"/>
      <c r="E6" s="19"/>
      <c r="F6" s="19"/>
      <c r="G6" s="19"/>
      <c r="H6" s="19"/>
      <c r="I6" s="19"/>
      <c r="J6" s="19"/>
      <c r="K6" s="19"/>
      <c r="L6" s="20"/>
    </row>
    <row r="7" spans="1:13" s="7" customFormat="1" ht="24.95" customHeight="1">
      <c r="A7" s="21"/>
      <c r="B7" s="22"/>
      <c r="C7" s="22"/>
      <c r="D7" s="23" t="s">
        <v>17</v>
      </c>
      <c r="E7" s="22" t="e">
        <f>+#REF!</f>
        <v>#REF!</v>
      </c>
      <c r="F7" s="22"/>
      <c r="G7" s="22"/>
      <c r="H7" s="22"/>
      <c r="I7" s="22"/>
      <c r="J7" s="24"/>
      <c r="K7" s="22"/>
      <c r="L7" s="25"/>
    </row>
    <row r="8" spans="1:13" s="7" customFormat="1" ht="24.95" customHeight="1">
      <c r="A8" s="21"/>
      <c r="B8" s="22"/>
      <c r="C8" s="22"/>
      <c r="D8" s="23" t="s">
        <v>12</v>
      </c>
      <c r="E8" s="22" t="e">
        <f>+#REF!</f>
        <v>#REF!</v>
      </c>
      <c r="F8" s="22"/>
      <c r="G8" s="22"/>
      <c r="H8" s="22"/>
      <c r="I8" s="22"/>
      <c r="J8" s="24"/>
      <c r="K8" s="22"/>
      <c r="L8" s="25"/>
    </row>
    <row r="9" spans="1:13" s="7" customFormat="1" ht="24.95" customHeight="1">
      <c r="A9" s="21"/>
      <c r="B9" s="22"/>
      <c r="C9" s="22"/>
      <c r="D9" s="23" t="s">
        <v>6</v>
      </c>
      <c r="E9" s="22" t="s">
        <v>33</v>
      </c>
      <c r="F9" s="22"/>
      <c r="G9" s="22"/>
      <c r="H9" s="22"/>
      <c r="I9" s="22"/>
      <c r="J9" s="24"/>
      <c r="K9" s="22"/>
      <c r="L9" s="25"/>
    </row>
    <row r="10" spans="1:13" s="7" customFormat="1" ht="20.25" customHeight="1">
      <c r="A10" s="21"/>
      <c r="B10" s="22"/>
      <c r="C10" s="22"/>
      <c r="D10" s="22"/>
      <c r="E10" s="22" t="s">
        <v>34</v>
      </c>
      <c r="F10" s="22"/>
      <c r="G10" s="22"/>
      <c r="H10" s="22"/>
      <c r="I10" s="22"/>
      <c r="J10" s="24"/>
      <c r="K10" s="22"/>
      <c r="L10" s="25"/>
    </row>
    <row r="11" spans="1:13" s="7" customFormat="1" ht="20.25" customHeight="1">
      <c r="A11" s="21"/>
      <c r="B11" s="22"/>
      <c r="C11" s="22"/>
      <c r="D11" s="22"/>
      <c r="E11" s="22"/>
      <c r="F11" s="22"/>
      <c r="G11" s="22"/>
      <c r="H11" s="22"/>
      <c r="I11" s="22"/>
      <c r="J11" s="24"/>
      <c r="K11" s="22"/>
      <c r="L11" s="25"/>
    </row>
    <row r="12" spans="1:13" s="7" customFormat="1" ht="16.5" customHeight="1">
      <c r="A12" s="21"/>
      <c r="B12" s="22"/>
      <c r="C12" s="22"/>
      <c r="D12" s="22"/>
      <c r="E12" s="22"/>
      <c r="F12" s="22"/>
      <c r="G12" s="22"/>
      <c r="H12" s="22"/>
      <c r="I12" s="22"/>
      <c r="J12" s="24"/>
      <c r="K12" s="22"/>
      <c r="L12" s="25"/>
    </row>
    <row r="13" spans="1:13" s="7" customFormat="1" ht="16.5" customHeight="1">
      <c r="A13" s="21"/>
      <c r="B13" s="22"/>
      <c r="C13" s="22"/>
      <c r="D13" s="22"/>
      <c r="E13" s="22"/>
      <c r="F13" s="22"/>
      <c r="G13" s="22"/>
      <c r="H13" s="22"/>
      <c r="I13" s="22"/>
      <c r="J13" s="24"/>
      <c r="K13" s="22"/>
      <c r="L13" s="25"/>
    </row>
    <row r="14" spans="1:13" s="7" customFormat="1" ht="16.5" customHeight="1">
      <c r="A14" s="21"/>
      <c r="B14" s="22"/>
      <c r="C14" s="22"/>
      <c r="D14" s="22"/>
      <c r="E14" s="22"/>
      <c r="F14" s="22"/>
      <c r="G14" s="22"/>
      <c r="H14" s="22"/>
      <c r="I14" s="22"/>
      <c r="J14" s="24"/>
      <c r="K14" s="22"/>
      <c r="L14" s="25"/>
    </row>
    <row r="15" spans="1:13" s="7" customFormat="1" ht="16.5" customHeight="1">
      <c r="A15" s="21"/>
      <c r="B15" s="22"/>
      <c r="C15" s="22"/>
      <c r="D15" s="22"/>
      <c r="E15" s="22"/>
      <c r="F15" s="22"/>
      <c r="G15" s="22"/>
      <c r="H15" s="22"/>
      <c r="I15" s="22"/>
      <c r="J15" s="24"/>
      <c r="K15" s="22"/>
      <c r="L15" s="25"/>
    </row>
    <row r="16" spans="1:13" s="7" customFormat="1" ht="16.5" customHeight="1">
      <c r="A16" s="21"/>
      <c r="B16" s="22"/>
      <c r="C16" s="22"/>
      <c r="D16" s="23" t="s">
        <v>11</v>
      </c>
      <c r="E16" s="26" t="s">
        <v>0</v>
      </c>
      <c r="F16" s="23"/>
      <c r="G16" s="22"/>
      <c r="H16" s="22"/>
      <c r="I16" s="28" t="e">
        <f>NUMBERSTRING(J16,1)&amp;"원整 ("</f>
        <v>#REF!</v>
      </c>
      <c r="J16" s="241" t="e">
        <f>SUM(J18:K20)</f>
        <v>#REF!</v>
      </c>
      <c r="K16" s="241"/>
      <c r="L16" s="25" t="s">
        <v>7</v>
      </c>
      <c r="M16" s="31"/>
    </row>
    <row r="17" spans="1:13" s="7" customFormat="1" ht="7.5" customHeight="1">
      <c r="A17" s="21"/>
      <c r="B17" s="22"/>
      <c r="C17" s="22"/>
      <c r="D17" s="23"/>
      <c r="E17" s="26"/>
      <c r="F17" s="23"/>
      <c r="G17" s="22"/>
      <c r="H17" s="22"/>
      <c r="I17" s="28"/>
      <c r="J17" s="29"/>
      <c r="K17" s="29"/>
      <c r="L17" s="25"/>
    </row>
    <row r="18" spans="1:13" s="7" customFormat="1" ht="18.95" customHeight="1">
      <c r="A18" s="21"/>
      <c r="B18" s="22"/>
      <c r="C18" s="22"/>
      <c r="D18" s="23" t="s">
        <v>13</v>
      </c>
      <c r="E18" s="26" t="s">
        <v>0</v>
      </c>
      <c r="F18" s="23"/>
      <c r="G18" s="22"/>
      <c r="H18" s="22"/>
      <c r="I18" s="28" t="str">
        <f>NUMBERSTRING(J18,1)&amp;"원整 ("</f>
        <v>이천일백오십만원整 (</v>
      </c>
      <c r="J18" s="241">
        <f>+원가계산서!D24</f>
        <v>21500000</v>
      </c>
      <c r="K18" s="241"/>
      <c r="L18" s="25" t="s">
        <v>7</v>
      </c>
      <c r="M18" s="31"/>
    </row>
    <row r="19" spans="1:13" s="7" customFormat="1" ht="7.5" customHeight="1">
      <c r="A19" s="21"/>
      <c r="B19" s="22"/>
      <c r="C19" s="22"/>
      <c r="D19" s="22"/>
      <c r="E19" s="22"/>
      <c r="F19" s="22"/>
      <c r="G19" s="22"/>
      <c r="H19" s="22"/>
      <c r="I19" s="22"/>
      <c r="J19" s="22"/>
      <c r="K19" s="23"/>
      <c r="L19" s="25"/>
    </row>
    <row r="20" spans="1:13" s="7" customFormat="1" ht="18.75" customHeight="1">
      <c r="A20" s="21"/>
      <c r="B20" s="22"/>
      <c r="C20" s="22"/>
      <c r="D20" s="23" t="s">
        <v>14</v>
      </c>
      <c r="E20" s="26" t="s">
        <v>0</v>
      </c>
      <c r="F20" s="27"/>
      <c r="G20" s="22"/>
      <c r="H20" s="22"/>
      <c r="I20" s="28" t="e">
        <f>NUMBERSTRING(J20,1)&amp;"원整 ("</f>
        <v>#REF!</v>
      </c>
      <c r="J20" s="241" t="e">
        <f>+#REF!</f>
        <v>#REF!</v>
      </c>
      <c r="K20" s="241"/>
      <c r="L20" s="25" t="s">
        <v>7</v>
      </c>
      <c r="M20" s="30"/>
    </row>
    <row r="21" spans="1:13" s="7" customFormat="1" ht="7.5" customHeight="1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5"/>
    </row>
    <row r="22" spans="1:13" s="7" customFormat="1" ht="18.75" customHeight="1">
      <c r="A22" s="21"/>
      <c r="B22" s="22"/>
      <c r="C22" s="22"/>
      <c r="D22" s="23"/>
      <c r="E22" s="26"/>
      <c r="F22" s="27"/>
      <c r="G22" s="22"/>
      <c r="H22" s="22"/>
      <c r="I22" s="28"/>
      <c r="J22" s="241"/>
      <c r="K22" s="241"/>
      <c r="L22" s="25"/>
    </row>
    <row r="23" spans="1:13" s="11" customFormat="1" ht="18.95" customHeight="1" thickBot="1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10"/>
    </row>
    <row r="24" spans="1:13" ht="17.100000000000001" customHeight="1" thickTop="1"/>
  </sheetData>
  <customSheetViews>
    <customSheetView guid="{4A1A5B58-3094-42A2-B413-5F42508512CC}" showPageBreaks="1" printArea="1" view="pageBreakPreview" showRuler="0">
      <selection activeCell="A21" sqref="A21:IV21"/>
      <pageMargins left="0.79" right="0.71" top="0.73" bottom="0.65" header="0.5" footer="0.5"/>
      <pageSetup paperSize="9" scale="99" orientation="landscape" horizontalDpi="4294967292" verticalDpi="300" r:id="rId1"/>
      <headerFooter alignWithMargins="0"/>
    </customSheetView>
  </customSheetViews>
  <mergeCells count="15">
    <mergeCell ref="J22:K22"/>
    <mergeCell ref="F2:G2"/>
    <mergeCell ref="A5:L5"/>
    <mergeCell ref="J18:K18"/>
    <mergeCell ref="J20:K20"/>
    <mergeCell ref="H2:I2"/>
    <mergeCell ref="J2:K2"/>
    <mergeCell ref="B2:C2"/>
    <mergeCell ref="D2:E2"/>
    <mergeCell ref="J3:K3"/>
    <mergeCell ref="J16:K16"/>
    <mergeCell ref="F3:G3"/>
    <mergeCell ref="B3:C3"/>
    <mergeCell ref="D3:E3"/>
    <mergeCell ref="H3:I3"/>
  </mergeCells>
  <phoneticPr fontId="5" type="noConversion"/>
  <pageMargins left="0.79" right="0.71" top="0.73" bottom="0.65" header="0.5" footer="0.5"/>
  <pageSetup paperSize="9" scale="99" orientation="landscape" horizontalDpi="4294967292" verticalDpi="30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I15"/>
  <sheetViews>
    <sheetView showGridLines="0" tabSelected="1" view="pageBreakPreview" zoomScaleSheetLayoutView="100" workbookViewId="0">
      <selection sqref="A1:AF1"/>
    </sheetView>
  </sheetViews>
  <sheetFormatPr defaultColWidth="8.88671875" defaultRowHeight="16.5"/>
  <cols>
    <col min="1" max="29" width="3.21875" style="55" customWidth="1"/>
    <col min="30" max="30" width="13.21875" style="55" customWidth="1"/>
    <col min="31" max="32" width="3.21875" style="55" customWidth="1"/>
    <col min="33" max="33" width="11.88671875" style="55" bestFit="1" customWidth="1"/>
    <col min="34" max="34" width="12.77734375" style="55" bestFit="1" customWidth="1"/>
    <col min="35" max="35" width="11.88671875" style="55" bestFit="1" customWidth="1"/>
    <col min="36" max="16384" width="8.88671875" style="55"/>
  </cols>
  <sheetData>
    <row r="1" spans="1:35" ht="36" customHeight="1">
      <c r="A1" s="249"/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249"/>
      <c r="S1" s="249"/>
      <c r="T1" s="249"/>
      <c r="U1" s="249"/>
      <c r="V1" s="249"/>
      <c r="W1" s="249"/>
      <c r="X1" s="249"/>
      <c r="Y1" s="249"/>
      <c r="Z1" s="249"/>
      <c r="AA1" s="249"/>
      <c r="AB1" s="249"/>
      <c r="AC1" s="249"/>
      <c r="AD1" s="249"/>
      <c r="AE1" s="249"/>
      <c r="AF1" s="249"/>
    </row>
    <row r="2" spans="1:35" ht="38.1" customHeight="1">
      <c r="A2" s="250" t="s">
        <v>195</v>
      </c>
      <c r="B2" s="250"/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  <c r="AA2" s="250"/>
      <c r="AB2" s="250"/>
      <c r="AC2" s="250"/>
      <c r="AD2" s="250"/>
      <c r="AE2" s="250"/>
      <c r="AF2" s="250"/>
    </row>
    <row r="3" spans="1:35" ht="38.1" customHeight="1">
      <c r="A3" s="250" t="s">
        <v>52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0"/>
      <c r="U3" s="250"/>
      <c r="V3" s="250"/>
      <c r="W3" s="250"/>
      <c r="X3" s="250"/>
      <c r="Y3" s="250"/>
      <c r="Z3" s="250"/>
      <c r="AA3" s="250"/>
      <c r="AB3" s="250"/>
      <c r="AC3" s="250"/>
      <c r="AD3" s="250"/>
      <c r="AE3" s="250"/>
      <c r="AF3" s="250"/>
    </row>
    <row r="4" spans="1:35" ht="36" customHeight="1" thickBot="1">
      <c r="A4" s="249"/>
      <c r="B4" s="249"/>
      <c r="C4" s="249"/>
      <c r="D4" s="249"/>
      <c r="E4" s="249"/>
      <c r="F4" s="249"/>
      <c r="G4" s="249"/>
      <c r="H4" s="249"/>
      <c r="I4" s="249"/>
      <c r="J4" s="249"/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  <c r="V4" s="249"/>
      <c r="W4" s="249"/>
      <c r="X4" s="249"/>
      <c r="Y4" s="249"/>
      <c r="Z4" s="249"/>
      <c r="AA4" s="249"/>
      <c r="AB4" s="249"/>
      <c r="AC4" s="249"/>
      <c r="AD4" s="249"/>
      <c r="AE4" s="249"/>
      <c r="AF4" s="249"/>
    </row>
    <row r="5" spans="1:35" ht="45" customHeight="1" thickBot="1">
      <c r="A5" s="56"/>
      <c r="B5" s="56"/>
      <c r="C5" s="251" t="s">
        <v>60</v>
      </c>
      <c r="D5" s="252"/>
      <c r="E5" s="252"/>
      <c r="F5" s="252"/>
      <c r="G5" s="252"/>
      <c r="H5" s="252"/>
      <c r="I5" s="252"/>
      <c r="J5" s="252"/>
      <c r="K5" s="252"/>
      <c r="L5" s="252" t="s">
        <v>81</v>
      </c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2"/>
      <c r="X5" s="252"/>
      <c r="Y5" s="252"/>
      <c r="Z5" s="252"/>
      <c r="AA5" s="252"/>
      <c r="AB5" s="252"/>
      <c r="AC5" s="252"/>
      <c r="AD5" s="134" t="s">
        <v>61</v>
      </c>
      <c r="AE5" s="56"/>
      <c r="AF5" s="56"/>
    </row>
    <row r="6" spans="1:35" ht="48.75" customHeight="1" thickTop="1">
      <c r="A6" s="56"/>
      <c r="B6" s="56"/>
      <c r="C6" s="254" t="s">
        <v>62</v>
      </c>
      <c r="D6" s="255"/>
      <c r="E6" s="255"/>
      <c r="F6" s="255"/>
      <c r="G6" s="255"/>
      <c r="H6" s="255"/>
      <c r="I6" s="255"/>
      <c r="J6" s="255"/>
      <c r="K6" s="255"/>
      <c r="L6" s="135"/>
      <c r="M6" s="136" t="s">
        <v>63</v>
      </c>
      <c r="N6" s="137" t="str">
        <f>NUMBERSTRING(X6,1)&amp;"원 整 "</f>
        <v xml:space="preserve">이천일백오십만원 整 </v>
      </c>
      <c r="O6" s="136"/>
      <c r="P6" s="136"/>
      <c r="Q6" s="136"/>
      <c r="R6" s="136"/>
      <c r="S6" s="136"/>
      <c r="T6" s="136"/>
      <c r="U6" s="136"/>
      <c r="V6" s="136"/>
      <c r="W6" s="136" t="s">
        <v>64</v>
      </c>
      <c r="X6" s="256">
        <f>원가계산서!D24</f>
        <v>21500000</v>
      </c>
      <c r="Y6" s="256"/>
      <c r="Z6" s="256"/>
      <c r="AA6" s="256"/>
      <c r="AB6" s="256"/>
      <c r="AC6" s="138" t="s">
        <v>65</v>
      </c>
      <c r="AD6" s="139"/>
      <c r="AE6" s="56"/>
      <c r="AF6" s="56"/>
    </row>
    <row r="7" spans="1:35" ht="48.75" customHeight="1">
      <c r="A7" s="56"/>
      <c r="B7" s="56"/>
      <c r="C7" s="257" t="s">
        <v>66</v>
      </c>
      <c r="D7" s="258"/>
      <c r="E7" s="258"/>
      <c r="F7" s="258"/>
      <c r="G7" s="258"/>
      <c r="H7" s="258"/>
      <c r="I7" s="258"/>
      <c r="J7" s="258"/>
      <c r="K7" s="259"/>
      <c r="L7" s="140"/>
      <c r="M7" s="141" t="s">
        <v>63</v>
      </c>
      <c r="N7" s="142" t="str">
        <f>NUMBERSTRING(X7,1)&amp;"원 整 "</f>
        <v xml:space="preserve">일천구백오십사만오천사백오십오원 整 </v>
      </c>
      <c r="O7" s="141"/>
      <c r="P7" s="141"/>
      <c r="Q7" s="141"/>
      <c r="R7" s="141"/>
      <c r="S7" s="141"/>
      <c r="T7" s="141"/>
      <c r="U7" s="141"/>
      <c r="V7" s="141"/>
      <c r="W7" s="141" t="s">
        <v>64</v>
      </c>
      <c r="X7" s="260">
        <f>원가계산서!D22</f>
        <v>19545455</v>
      </c>
      <c r="Y7" s="260"/>
      <c r="Z7" s="260"/>
      <c r="AA7" s="260"/>
      <c r="AB7" s="260"/>
      <c r="AC7" s="143" t="s">
        <v>65</v>
      </c>
      <c r="AD7" s="144"/>
      <c r="AE7" s="56"/>
      <c r="AF7" s="56"/>
    </row>
    <row r="8" spans="1:35" ht="48.75" customHeight="1" thickBot="1">
      <c r="A8" s="56"/>
      <c r="B8" s="56"/>
      <c r="C8" s="261" t="s">
        <v>67</v>
      </c>
      <c r="D8" s="262"/>
      <c r="E8" s="262"/>
      <c r="F8" s="262"/>
      <c r="G8" s="262"/>
      <c r="H8" s="262"/>
      <c r="I8" s="262"/>
      <c r="J8" s="262"/>
      <c r="K8" s="263"/>
      <c r="L8" s="145"/>
      <c r="M8" s="146" t="s">
        <v>63</v>
      </c>
      <c r="N8" s="147" t="str">
        <f>NUMBERSTRING(X8,1)&amp;"원 整 "</f>
        <v xml:space="preserve">일백구십오만사천오백사십오원 整 </v>
      </c>
      <c r="O8" s="146"/>
      <c r="P8" s="146"/>
      <c r="Q8" s="146"/>
      <c r="R8" s="146"/>
      <c r="S8" s="146"/>
      <c r="T8" s="146"/>
      <c r="U8" s="146"/>
      <c r="V8" s="146"/>
      <c r="W8" s="146" t="s">
        <v>64</v>
      </c>
      <c r="X8" s="264">
        <f>원가계산서!D23</f>
        <v>1954545</v>
      </c>
      <c r="Y8" s="264"/>
      <c r="Z8" s="264"/>
      <c r="AA8" s="264"/>
      <c r="AB8" s="264"/>
      <c r="AC8" s="148" t="s">
        <v>65</v>
      </c>
      <c r="AD8" s="149"/>
      <c r="AE8" s="56"/>
      <c r="AF8" s="56"/>
    </row>
    <row r="9" spans="1:35" ht="30" customHeight="1">
      <c r="A9" s="56"/>
      <c r="B9" s="56"/>
      <c r="C9" s="57"/>
      <c r="D9" s="57"/>
      <c r="E9" s="57"/>
      <c r="F9" s="57"/>
      <c r="G9" s="57"/>
      <c r="H9" s="57"/>
      <c r="I9" s="57"/>
      <c r="J9" s="57"/>
      <c r="K9" s="57"/>
      <c r="L9" s="58"/>
      <c r="M9" s="58"/>
      <c r="N9" s="59"/>
      <c r="O9" s="58"/>
      <c r="P9" s="58"/>
      <c r="Q9" s="58"/>
      <c r="R9" s="58"/>
      <c r="S9" s="58"/>
      <c r="T9" s="58"/>
      <c r="U9" s="58"/>
      <c r="V9" s="58"/>
      <c r="W9" s="58"/>
      <c r="X9" s="60"/>
      <c r="Y9" s="60"/>
      <c r="Z9" s="60"/>
      <c r="AA9" s="60"/>
      <c r="AB9" s="60"/>
      <c r="AC9" s="58"/>
      <c r="AD9" s="57"/>
      <c r="AE9" s="56"/>
      <c r="AF9" s="56"/>
    </row>
    <row r="10" spans="1:35" ht="30" customHeight="1">
      <c r="A10" s="56"/>
      <c r="B10" s="56"/>
      <c r="C10" s="61" t="str">
        <f>물량내역서!A2</f>
        <v>▣ 위치: 대회의실, 소회의실, 부속실, 선거상황실</v>
      </c>
      <c r="D10" s="61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62"/>
    </row>
    <row r="11" spans="1:35" ht="24" customHeight="1">
      <c r="A11" s="56"/>
      <c r="B11" s="56"/>
      <c r="C11" s="56"/>
      <c r="D11" s="253"/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3"/>
      <c r="AB11" s="253"/>
      <c r="AC11" s="253"/>
      <c r="AD11" s="253"/>
      <c r="AE11" s="56"/>
      <c r="AF11" s="56"/>
      <c r="AG11" s="62"/>
      <c r="AI11" s="62"/>
    </row>
    <row r="12" spans="1:35" ht="24" customHeight="1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I12" s="63"/>
    </row>
    <row r="13" spans="1:35" ht="36" customHeight="1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</row>
    <row r="14" spans="1:35" ht="27.95" customHeight="1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64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</row>
    <row r="15" spans="1:35" ht="30.95" customHeight="1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</row>
  </sheetData>
  <mergeCells count="13">
    <mergeCell ref="D11:AD11"/>
    <mergeCell ref="C6:K6"/>
    <mergeCell ref="X6:AB6"/>
    <mergeCell ref="C7:K7"/>
    <mergeCell ref="X7:AB7"/>
    <mergeCell ref="C8:K8"/>
    <mergeCell ref="X8:AB8"/>
    <mergeCell ref="A1:AF1"/>
    <mergeCell ref="A2:AF2"/>
    <mergeCell ref="A3:AF3"/>
    <mergeCell ref="A4:AF4"/>
    <mergeCell ref="C5:K5"/>
    <mergeCell ref="L5:AC5"/>
  </mergeCells>
  <phoneticPr fontId="5" type="noConversion"/>
  <printOptions horizontalCentered="1"/>
  <pageMargins left="0.59055118110236227" right="0.59055118110236227" top="0.59055118110236227" bottom="0.59055118110236227" header="0.59055118110236227" footer="0.59055118110236227"/>
  <pageSetup paperSize="9" scale="9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fitToPage="1"/>
  </sheetPr>
  <dimension ref="A1:F26"/>
  <sheetViews>
    <sheetView showGridLines="0" view="pageBreakPreview" workbookViewId="0">
      <selection activeCell="D24" sqref="D24"/>
    </sheetView>
  </sheetViews>
  <sheetFormatPr defaultColWidth="8.88671875" defaultRowHeight="15.75" customHeight="1"/>
  <cols>
    <col min="1" max="1" width="6.21875" style="32" customWidth="1"/>
    <col min="2" max="2" width="7.21875" style="32" customWidth="1"/>
    <col min="3" max="3" width="27.109375" style="32" customWidth="1"/>
    <col min="4" max="4" width="32.88671875" style="32" customWidth="1"/>
    <col min="5" max="5" width="9" style="32" hidden="1" customWidth="1"/>
    <col min="6" max="6" width="41" style="32" customWidth="1"/>
    <col min="7" max="16384" width="8.88671875" style="32"/>
  </cols>
  <sheetData>
    <row r="1" spans="1:6" ht="37.5">
      <c r="A1" s="267" t="s">
        <v>38</v>
      </c>
      <c r="B1" s="267"/>
      <c r="C1" s="267"/>
      <c r="D1" s="267"/>
      <c r="E1" s="267"/>
      <c r="F1" s="267"/>
    </row>
    <row r="2" spans="1:6" s="125" customFormat="1" ht="24.95" customHeight="1" thickBot="1">
      <c r="A2" s="126"/>
      <c r="B2" s="126"/>
      <c r="C2" s="126"/>
      <c r="D2" s="126"/>
      <c r="E2" s="126"/>
      <c r="F2" s="126"/>
    </row>
    <row r="3" spans="1:6" s="125" customFormat="1" ht="24.95" customHeight="1">
      <c r="A3" s="268" t="s">
        <v>31</v>
      </c>
      <c r="B3" s="269"/>
      <c r="C3" s="155" t="s">
        <v>32</v>
      </c>
      <c r="D3" s="155" t="s">
        <v>36</v>
      </c>
      <c r="E3" s="155" t="s">
        <v>35</v>
      </c>
      <c r="F3" s="127" t="s">
        <v>10</v>
      </c>
    </row>
    <row r="4" spans="1:6" s="125" customFormat="1" ht="24.95" customHeight="1">
      <c r="A4" s="270" t="s">
        <v>30</v>
      </c>
      <c r="B4" s="271" t="s">
        <v>19</v>
      </c>
      <c r="C4" s="129" t="s">
        <v>20</v>
      </c>
      <c r="D4" s="129">
        <f>설계내역서!G5</f>
        <v>8110836</v>
      </c>
      <c r="E4" s="129" t="e">
        <f>#REF!-D4</f>
        <v>#REF!</v>
      </c>
      <c r="F4" s="130"/>
    </row>
    <row r="5" spans="1:6" s="125" customFormat="1" ht="24.95" customHeight="1">
      <c r="A5" s="270"/>
      <c r="B5" s="271"/>
      <c r="C5" s="128" t="s">
        <v>21</v>
      </c>
      <c r="D5" s="128">
        <f>SUM(D4:D4)</f>
        <v>8110836</v>
      </c>
      <c r="E5" s="129" t="e">
        <f>#REF!-D5</f>
        <v>#REF!</v>
      </c>
      <c r="F5" s="130"/>
    </row>
    <row r="6" spans="1:6" s="125" customFormat="1" ht="24.95" customHeight="1">
      <c r="A6" s="270"/>
      <c r="B6" s="271" t="s">
        <v>29</v>
      </c>
      <c r="C6" s="129" t="s">
        <v>22</v>
      </c>
      <c r="D6" s="129">
        <f>설계내역서!I5</f>
        <v>6355903</v>
      </c>
      <c r="E6" s="129" t="e">
        <f>#REF!-D6</f>
        <v>#REF!</v>
      </c>
      <c r="F6" s="130"/>
    </row>
    <row r="7" spans="1:6" s="125" customFormat="1" ht="24.95" customHeight="1">
      <c r="A7" s="270"/>
      <c r="B7" s="271"/>
      <c r="C7" s="129" t="s">
        <v>23</v>
      </c>
      <c r="D7" s="129">
        <f>ROUNDDOWN(D6*15%,0)</f>
        <v>953385</v>
      </c>
      <c r="E7" s="129"/>
      <c r="F7" s="130" t="s">
        <v>152</v>
      </c>
    </row>
    <row r="8" spans="1:6" s="125" customFormat="1" ht="24.95" customHeight="1">
      <c r="A8" s="270"/>
      <c r="B8" s="271"/>
      <c r="C8" s="128" t="s">
        <v>21</v>
      </c>
      <c r="D8" s="128">
        <f>SUM(D6:D7)</f>
        <v>7309288</v>
      </c>
      <c r="E8" s="129" t="e">
        <f>#REF!-D8</f>
        <v>#REF!</v>
      </c>
      <c r="F8" s="130"/>
    </row>
    <row r="9" spans="1:6" s="125" customFormat="1" ht="24.95" customHeight="1">
      <c r="A9" s="270"/>
      <c r="B9" s="276" t="s">
        <v>57</v>
      </c>
      <c r="C9" s="129" t="s">
        <v>54</v>
      </c>
      <c r="D9" s="129">
        <f>ROUNDDOWN((D5+D8)*4.6%,0)</f>
        <v>709325</v>
      </c>
      <c r="E9" s="129"/>
      <c r="F9" s="130" t="s">
        <v>82</v>
      </c>
    </row>
    <row r="10" spans="1:6" s="125" customFormat="1" ht="24.95" customHeight="1">
      <c r="A10" s="270"/>
      <c r="B10" s="277"/>
      <c r="C10" s="129" t="s">
        <v>78</v>
      </c>
      <c r="D10" s="129"/>
      <c r="E10" s="129"/>
      <c r="F10" s="130"/>
    </row>
    <row r="11" spans="1:6" s="125" customFormat="1" ht="24.95" customHeight="1">
      <c r="A11" s="270"/>
      <c r="B11" s="277"/>
      <c r="C11" s="129" t="s">
        <v>24</v>
      </c>
      <c r="D11" s="129">
        <f>ROUNDDOWN(D8*3.56%,0)</f>
        <v>260210</v>
      </c>
      <c r="E11" s="129" t="e">
        <f>#REF!-D11</f>
        <v>#REF!</v>
      </c>
      <c r="F11" s="130" t="s">
        <v>83</v>
      </c>
    </row>
    <row r="12" spans="1:6" s="125" customFormat="1" ht="24.95" customHeight="1">
      <c r="A12" s="270"/>
      <c r="B12" s="277"/>
      <c r="C12" s="129" t="s">
        <v>79</v>
      </c>
      <c r="D12" s="129"/>
      <c r="E12" s="129"/>
      <c r="F12" s="130"/>
    </row>
    <row r="13" spans="1:6" s="125" customFormat="1" ht="24.95" customHeight="1">
      <c r="A13" s="270"/>
      <c r="B13" s="277"/>
      <c r="C13" s="129" t="s">
        <v>80</v>
      </c>
      <c r="D13" s="129"/>
      <c r="E13" s="129"/>
      <c r="F13" s="130"/>
    </row>
    <row r="14" spans="1:6" s="125" customFormat="1" ht="24.95" customHeight="1">
      <c r="A14" s="270"/>
      <c r="B14" s="277"/>
      <c r="C14" s="129" t="s">
        <v>55</v>
      </c>
      <c r="D14" s="129">
        <f>ROUNDDOWN((D5+D6)*2.07%,0)</f>
        <v>299461</v>
      </c>
      <c r="E14" s="129"/>
      <c r="F14" s="130" t="s">
        <v>197</v>
      </c>
    </row>
    <row r="15" spans="1:6" s="125" customFormat="1" ht="24.95" customHeight="1">
      <c r="A15" s="270"/>
      <c r="B15" s="277"/>
      <c r="C15" s="129" t="s">
        <v>25</v>
      </c>
      <c r="D15" s="129">
        <f>ROUNDDOWN(D8*1.01%,0)</f>
        <v>73823</v>
      </c>
      <c r="E15" s="129" t="e">
        <f>#REF!-D15</f>
        <v>#REF!</v>
      </c>
      <c r="F15" s="130" t="s">
        <v>84</v>
      </c>
    </row>
    <row r="16" spans="1:6" s="125" customFormat="1" ht="24.95" customHeight="1">
      <c r="A16" s="270"/>
      <c r="B16" s="277"/>
      <c r="C16" s="129" t="s">
        <v>198</v>
      </c>
      <c r="D16" s="129">
        <f>ROUNDDOWN(D8*0.006%,0)</f>
        <v>438</v>
      </c>
      <c r="E16" s="129"/>
      <c r="F16" s="130" t="s">
        <v>200</v>
      </c>
    </row>
    <row r="17" spans="1:6" s="125" customFormat="1" ht="24.95" customHeight="1">
      <c r="A17" s="270"/>
      <c r="B17" s="277"/>
      <c r="C17" s="129" t="s">
        <v>199</v>
      </c>
      <c r="D17" s="129">
        <f>ROUNDDOWN(D8*0.09%,0)</f>
        <v>6578</v>
      </c>
      <c r="E17" s="129"/>
      <c r="F17" s="130" t="s">
        <v>201</v>
      </c>
    </row>
    <row r="18" spans="1:6" s="125" customFormat="1" ht="24.95" customHeight="1">
      <c r="A18" s="270"/>
      <c r="B18" s="278"/>
      <c r="C18" s="128" t="s">
        <v>18</v>
      </c>
      <c r="D18" s="128">
        <f>SUM(D9:D17)</f>
        <v>1349835</v>
      </c>
      <c r="E18" s="129" t="e">
        <f>#REF!-D18</f>
        <v>#REF!</v>
      </c>
      <c r="F18" s="130"/>
    </row>
    <row r="19" spans="1:6" s="125" customFormat="1" ht="24.95" customHeight="1">
      <c r="A19" s="270"/>
      <c r="B19" s="272" t="s">
        <v>26</v>
      </c>
      <c r="C19" s="272"/>
      <c r="D19" s="128">
        <f>ROUNDDOWN(SUM(D18,D8,D5),0)</f>
        <v>16769959</v>
      </c>
      <c r="E19" s="129" t="e">
        <f>#REF!-D19</f>
        <v>#REF!</v>
      </c>
      <c r="F19" s="130"/>
    </row>
    <row r="20" spans="1:6" s="125" customFormat="1" ht="24.95" customHeight="1">
      <c r="A20" s="273" t="s">
        <v>27</v>
      </c>
      <c r="B20" s="274"/>
      <c r="C20" s="274"/>
      <c r="D20" s="129">
        <f>ROUNDDOWN(D19*8%,0)</f>
        <v>1341596</v>
      </c>
      <c r="E20" s="129" t="e">
        <f>#REF!-D20</f>
        <v>#REF!</v>
      </c>
      <c r="F20" s="130" t="s">
        <v>86</v>
      </c>
    </row>
    <row r="21" spans="1:6" s="125" customFormat="1" ht="24.95" customHeight="1">
      <c r="A21" s="273" t="s">
        <v>76</v>
      </c>
      <c r="B21" s="274"/>
      <c r="C21" s="274"/>
      <c r="D21" s="129">
        <f>ROUNDDOWN((D8+D18+D20)*14.33797%,0)</f>
        <v>1433900</v>
      </c>
      <c r="E21" s="129" t="e">
        <f>#REF!-D21</f>
        <v>#REF!</v>
      </c>
      <c r="F21" s="130" t="s">
        <v>56</v>
      </c>
    </row>
    <row r="22" spans="1:6" s="125" customFormat="1" ht="24.95" customHeight="1">
      <c r="A22" s="275" t="s">
        <v>77</v>
      </c>
      <c r="B22" s="272"/>
      <c r="C22" s="272"/>
      <c r="D22" s="128">
        <f>SUM(D19:D21)</f>
        <v>19545455</v>
      </c>
      <c r="E22" s="129" t="e">
        <f>#REF!-D22</f>
        <v>#REF!</v>
      </c>
      <c r="F22" s="130"/>
    </row>
    <row r="23" spans="1:6" s="125" customFormat="1" ht="24.95" customHeight="1">
      <c r="A23" s="275" t="s">
        <v>28</v>
      </c>
      <c r="B23" s="272"/>
      <c r="C23" s="272"/>
      <c r="D23" s="128">
        <f>ROUNDDOWN(D22*10%,0)</f>
        <v>1954545</v>
      </c>
      <c r="E23" s="129" t="e">
        <f>#REF!-D23</f>
        <v>#REF!</v>
      </c>
      <c r="F23" s="130"/>
    </row>
    <row r="24" spans="1:6" s="125" customFormat="1" ht="24.95" customHeight="1" thickBot="1">
      <c r="A24" s="265" t="s">
        <v>37</v>
      </c>
      <c r="B24" s="266"/>
      <c r="C24" s="266"/>
      <c r="D24" s="131">
        <f>ROUNDDOWN(SUM(D22:D23),0)</f>
        <v>21500000</v>
      </c>
      <c r="E24" s="132" t="e">
        <f>#REF!-D24</f>
        <v>#REF!</v>
      </c>
      <c r="F24" s="133"/>
    </row>
    <row r="26" spans="1:6" ht="15.75" customHeight="1">
      <c r="D26" s="232"/>
    </row>
  </sheetData>
  <mergeCells count="12">
    <mergeCell ref="A24:C24"/>
    <mergeCell ref="A1:F1"/>
    <mergeCell ref="A3:B3"/>
    <mergeCell ref="A4:A19"/>
    <mergeCell ref="B4:B5"/>
    <mergeCell ref="B6:B8"/>
    <mergeCell ref="B19:C19"/>
    <mergeCell ref="A20:C20"/>
    <mergeCell ref="A21:C21"/>
    <mergeCell ref="A22:C22"/>
    <mergeCell ref="A23:C23"/>
    <mergeCell ref="B9:B18"/>
  </mergeCells>
  <phoneticPr fontId="5" type="noConversion"/>
  <printOptions horizontalCentered="1"/>
  <pageMargins left="0.59055118110236227" right="0.59055118110236227" top="0.59055118110236227" bottom="0.59055118110236227" header="0.59055118110236227" footer="0.59055118110236227"/>
  <pageSetup paperSize="9" scale="83" orientation="landscape" horizontalDpi="4294967293" verticalDpi="4294967293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M22"/>
  <sheetViews>
    <sheetView view="pageBreakPreview" zoomScale="85" zoomScaleSheetLayoutView="85" workbookViewId="0">
      <pane ySplit="4" topLeftCell="A5" activePane="bottomLeft" state="frozen"/>
      <selection activeCell="F10" sqref="F10"/>
      <selection pane="bottomLeft" activeCell="E12" sqref="E12"/>
    </sheetView>
  </sheetViews>
  <sheetFormatPr defaultColWidth="8.88671875" defaultRowHeight="21.95" customHeight="1"/>
  <cols>
    <col min="1" max="1" width="5.21875" style="2" customWidth="1"/>
    <col min="2" max="2" width="19.5546875" style="2" customWidth="1"/>
    <col min="3" max="3" width="34.77734375" style="2" bestFit="1" customWidth="1"/>
    <col min="4" max="4" width="11.44140625" style="2" customWidth="1"/>
    <col min="5" max="5" width="11.44140625" style="34" customWidth="1"/>
    <col min="6" max="6" width="15.44140625" style="2" customWidth="1"/>
    <col min="7" max="7" width="17.44140625" style="2" bestFit="1" customWidth="1"/>
    <col min="8" max="8" width="15.44140625" style="2" customWidth="1"/>
    <col min="9" max="9" width="17.44140625" style="2" bestFit="1" customWidth="1"/>
    <col min="10" max="11" width="15.44140625" style="2" customWidth="1"/>
    <col min="12" max="12" width="17.44140625" style="2" bestFit="1" customWidth="1"/>
    <col min="13" max="13" width="15.44140625" style="2" customWidth="1"/>
    <col min="14" max="14" width="16.109375" style="2" customWidth="1"/>
    <col min="15" max="16384" width="8.88671875" style="2"/>
  </cols>
  <sheetData>
    <row r="1" spans="1:13" ht="37.5">
      <c r="A1" s="281" t="s">
        <v>182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</row>
    <row r="2" spans="1:13" ht="24.95" customHeight="1" thickBot="1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3" s="111" customFormat="1" ht="24.95" customHeight="1">
      <c r="A3" s="282" t="s">
        <v>49</v>
      </c>
      <c r="B3" s="286" t="s">
        <v>46</v>
      </c>
      <c r="C3" s="284" t="s">
        <v>75</v>
      </c>
      <c r="D3" s="286" t="s">
        <v>8</v>
      </c>
      <c r="E3" s="286" t="s">
        <v>9</v>
      </c>
      <c r="F3" s="286" t="s">
        <v>19</v>
      </c>
      <c r="G3" s="286"/>
      <c r="H3" s="286" t="s">
        <v>29</v>
      </c>
      <c r="I3" s="286"/>
      <c r="J3" s="288" t="s">
        <v>72</v>
      </c>
      <c r="K3" s="284"/>
      <c r="L3" s="289" t="s">
        <v>26</v>
      </c>
      <c r="M3" s="279" t="s">
        <v>48</v>
      </c>
    </row>
    <row r="4" spans="1:13" s="111" customFormat="1" ht="24.95" customHeight="1">
      <c r="A4" s="283"/>
      <c r="B4" s="287"/>
      <c r="C4" s="285"/>
      <c r="D4" s="287"/>
      <c r="E4" s="287"/>
      <c r="F4" s="234" t="s">
        <v>71</v>
      </c>
      <c r="G4" s="234" t="s">
        <v>74</v>
      </c>
      <c r="H4" s="234" t="s">
        <v>71</v>
      </c>
      <c r="I4" s="234" t="s">
        <v>74</v>
      </c>
      <c r="J4" s="150" t="s">
        <v>73</v>
      </c>
      <c r="K4" s="150" t="s">
        <v>74</v>
      </c>
      <c r="L4" s="290"/>
      <c r="M4" s="280"/>
    </row>
    <row r="5" spans="1:13" s="111" customFormat="1" ht="24.95" customHeight="1" thickBot="1">
      <c r="A5" s="235"/>
      <c r="B5" s="236" t="s">
        <v>26</v>
      </c>
      <c r="C5" s="159"/>
      <c r="D5" s="160"/>
      <c r="E5" s="161"/>
      <c r="F5" s="162"/>
      <c r="G5" s="163">
        <f>SUM(G6:G22)</f>
        <v>8110836</v>
      </c>
      <c r="H5" s="163"/>
      <c r="I5" s="163">
        <f>SUM(I6:I22)</f>
        <v>6355903</v>
      </c>
      <c r="J5" s="163"/>
      <c r="K5" s="163">
        <f>SUM(K6:K22)</f>
        <v>0</v>
      </c>
      <c r="L5" s="163">
        <f>SUM(L6:L22)</f>
        <v>14466739</v>
      </c>
      <c r="M5" s="164"/>
    </row>
    <row r="6" spans="1:13" s="112" customFormat="1" ht="24.95" customHeight="1" thickTop="1">
      <c r="A6" s="175">
        <v>1</v>
      </c>
      <c r="B6" s="231" t="str">
        <f>산출집계표!B4</f>
        <v>L2 스위치</v>
      </c>
      <c r="C6" s="176" t="str">
        <f>산출집계표!C4</f>
        <v>24Port PoE, 
4Port SFP</v>
      </c>
      <c r="D6" s="177" t="str">
        <f>산출집계표!D4</f>
        <v>대</v>
      </c>
      <c r="E6" s="178">
        <f>산출집계표!E4</f>
        <v>2</v>
      </c>
      <c r="F6" s="179">
        <f>자재단가표!H5</f>
        <v>2000000</v>
      </c>
      <c r="G6" s="95">
        <f t="shared" ref="G6:G21" si="0">ROUNDDOWN(F6*E6,0)</f>
        <v>4000000</v>
      </c>
      <c r="H6" s="95"/>
      <c r="I6" s="95"/>
      <c r="J6" s="95"/>
      <c r="K6" s="95"/>
      <c r="L6" s="95">
        <f>G6+I6+K6</f>
        <v>4000000</v>
      </c>
      <c r="M6" s="124"/>
    </row>
    <row r="7" spans="1:13" s="112" customFormat="1" ht="24.95" customHeight="1">
      <c r="A7" s="175">
        <v>2</v>
      </c>
      <c r="B7" s="231" t="str">
        <f>산출집계표!B5</f>
        <v>L2 스위치</v>
      </c>
      <c r="C7" s="176" t="str">
        <f>산출집계표!C5</f>
        <v>8Port Giga, 
2Port SFP</v>
      </c>
      <c r="D7" s="177" t="str">
        <f>산출집계표!D5</f>
        <v>대</v>
      </c>
      <c r="E7" s="178">
        <f>산출집계표!E5</f>
        <v>4</v>
      </c>
      <c r="F7" s="179">
        <f>자재단가표!H6</f>
        <v>395000</v>
      </c>
      <c r="G7" s="95">
        <f t="shared" si="0"/>
        <v>1580000</v>
      </c>
      <c r="H7" s="95"/>
      <c r="I7" s="95"/>
      <c r="J7" s="95"/>
      <c r="K7" s="95"/>
      <c r="L7" s="95">
        <f>G7+I7+K7</f>
        <v>1580000</v>
      </c>
      <c r="M7" s="124"/>
    </row>
    <row r="8" spans="1:13" s="112" customFormat="1" ht="24.95" customHeight="1">
      <c r="A8" s="175">
        <v>3</v>
      </c>
      <c r="B8" s="231" t="str">
        <f>산출집계표!B6</f>
        <v>광모듈</v>
      </c>
      <c r="C8" s="176" t="str">
        <f>산출집계표!C6</f>
        <v>1G, BiDi</v>
      </c>
      <c r="D8" s="177" t="str">
        <f>산출집계표!D6</f>
        <v>개</v>
      </c>
      <c r="E8" s="178">
        <f>산출집계표!E6</f>
        <v>18</v>
      </c>
      <c r="F8" s="179">
        <f>자재단가표!H7</f>
        <v>50000</v>
      </c>
      <c r="G8" s="95">
        <f t="shared" si="0"/>
        <v>900000</v>
      </c>
      <c r="H8" s="95"/>
      <c r="I8" s="95"/>
      <c r="J8" s="95"/>
      <c r="K8" s="95"/>
      <c r="L8" s="95">
        <f>G8+I8+K8</f>
        <v>900000</v>
      </c>
      <c r="M8" s="124"/>
    </row>
    <row r="9" spans="1:13" s="112" customFormat="1" ht="24.95" customHeight="1">
      <c r="A9" s="175">
        <v>4</v>
      </c>
      <c r="B9" s="231" t="str">
        <f>산출집계표!B7</f>
        <v>통신랙</v>
      </c>
      <c r="C9" s="176" t="str">
        <f>산출집계표!C7</f>
        <v>500mm</v>
      </c>
      <c r="D9" s="177" t="str">
        <f>산출집계표!D7</f>
        <v>대</v>
      </c>
      <c r="E9" s="178">
        <f>산출집계표!E7</f>
        <v>2</v>
      </c>
      <c r="F9" s="179">
        <f>자재단가표!H8</f>
        <v>150000</v>
      </c>
      <c r="G9" s="95">
        <f t="shared" si="0"/>
        <v>300000</v>
      </c>
      <c r="H9" s="95">
        <f>일위대가표!I8</f>
        <v>151453</v>
      </c>
      <c r="I9" s="95">
        <f t="shared" ref="I9:I15" si="1">ROUNDDOWN(E9*H9,0)</f>
        <v>302906</v>
      </c>
      <c r="J9" s="95"/>
      <c r="K9" s="95"/>
      <c r="L9" s="95">
        <f t="shared" ref="L9:L22" si="2">G9+I9+K9</f>
        <v>602906</v>
      </c>
      <c r="M9" s="124">
        <f>일위대가표!A5</f>
        <v>1</v>
      </c>
    </row>
    <row r="10" spans="1:13" s="112" customFormat="1" ht="24.95" customHeight="1">
      <c r="A10" s="175">
        <v>5</v>
      </c>
      <c r="B10" s="231" t="str">
        <f>산출집계표!B8</f>
        <v>광케이블</v>
      </c>
      <c r="C10" s="176" t="str">
        <f>산출집계표!C8</f>
        <v>SM 4C</v>
      </c>
      <c r="D10" s="177" t="str">
        <f>산출집계표!D8</f>
        <v>m</v>
      </c>
      <c r="E10" s="178">
        <f>산출집계표!E8</f>
        <v>75</v>
      </c>
      <c r="F10" s="179">
        <f>자재단가표!H9</f>
        <v>1016</v>
      </c>
      <c r="G10" s="95">
        <f t="shared" si="0"/>
        <v>76200</v>
      </c>
      <c r="H10" s="95">
        <f>일위대가표!I14</f>
        <v>5376</v>
      </c>
      <c r="I10" s="95">
        <f t="shared" si="1"/>
        <v>403200</v>
      </c>
      <c r="J10" s="95"/>
      <c r="K10" s="95"/>
      <c r="L10" s="95">
        <f t="shared" si="2"/>
        <v>479400</v>
      </c>
      <c r="M10" s="124">
        <f>일위대가표!A10</f>
        <v>2</v>
      </c>
    </row>
    <row r="11" spans="1:13" s="112" customFormat="1" ht="24.95" customHeight="1">
      <c r="A11" s="175">
        <v>6</v>
      </c>
      <c r="B11" s="231" t="str">
        <f>산출집계표!B9</f>
        <v>광분배함</v>
      </c>
      <c r="C11" s="176" t="str">
        <f>산출집계표!C9</f>
        <v>4Port</v>
      </c>
      <c r="D11" s="177" t="str">
        <f>산출집계표!D9</f>
        <v>대</v>
      </c>
      <c r="E11" s="178">
        <f>산출집계표!E9</f>
        <v>2</v>
      </c>
      <c r="F11" s="179">
        <f>자재단가표!H10</f>
        <v>50000</v>
      </c>
      <c r="G11" s="95">
        <f t="shared" si="0"/>
        <v>100000</v>
      </c>
      <c r="H11" s="95">
        <f>일위대가표!I20</f>
        <v>43883</v>
      </c>
      <c r="I11" s="95">
        <f t="shared" si="1"/>
        <v>87766</v>
      </c>
      <c r="J11" s="95"/>
      <c r="K11" s="95"/>
      <c r="L11" s="95">
        <f t="shared" si="2"/>
        <v>187766</v>
      </c>
      <c r="M11" s="124">
        <f>일위대가표!A16</f>
        <v>3</v>
      </c>
    </row>
    <row r="12" spans="1:13" s="112" customFormat="1" ht="24.95" customHeight="1">
      <c r="A12" s="175">
        <v>7</v>
      </c>
      <c r="B12" s="231" t="str">
        <f>산출집계표!B10</f>
        <v>Pig Tail</v>
      </c>
      <c r="C12" s="176" t="str">
        <f>산출집계표!C10</f>
        <v>SM</v>
      </c>
      <c r="D12" s="177" t="str">
        <f>산출집계표!D10</f>
        <v>개</v>
      </c>
      <c r="E12" s="178">
        <f>산출집계표!E10</f>
        <v>8</v>
      </c>
      <c r="F12" s="179">
        <f>자재단가표!H11</f>
        <v>5000</v>
      </c>
      <c r="G12" s="95">
        <f t="shared" si="0"/>
        <v>40000</v>
      </c>
      <c r="H12" s="95">
        <f>일위대가표!I26</f>
        <v>39586</v>
      </c>
      <c r="I12" s="95">
        <f t="shared" si="1"/>
        <v>316688</v>
      </c>
      <c r="J12" s="95"/>
      <c r="K12" s="95"/>
      <c r="L12" s="95">
        <f t="shared" si="2"/>
        <v>356688</v>
      </c>
      <c r="M12" s="124">
        <f>일위대가표!A22</f>
        <v>4</v>
      </c>
    </row>
    <row r="13" spans="1:13" s="112" customFormat="1" ht="24.95" customHeight="1">
      <c r="A13" s="175">
        <v>8</v>
      </c>
      <c r="B13" s="231" t="str">
        <f>산출집계표!B11</f>
        <v>광점퍼 케이블</v>
      </c>
      <c r="C13" s="176" t="str">
        <f>산출집계표!C11</f>
        <v>SC-LC 40M</v>
      </c>
      <c r="D13" s="177" t="str">
        <f>산출집계표!D11</f>
        <v>개</v>
      </c>
      <c r="E13" s="178">
        <f>산출집계표!E11</f>
        <v>2</v>
      </c>
      <c r="F13" s="179">
        <f>자재단가표!H12</f>
        <v>60000</v>
      </c>
      <c r="G13" s="95">
        <f t="shared" si="0"/>
        <v>120000</v>
      </c>
      <c r="H13" s="95">
        <f>일위대가표!I32</f>
        <v>204336</v>
      </c>
      <c r="I13" s="95">
        <f t="shared" si="1"/>
        <v>408672</v>
      </c>
      <c r="J13" s="95"/>
      <c r="K13" s="95"/>
      <c r="L13" s="95">
        <f t="shared" si="2"/>
        <v>528672</v>
      </c>
      <c r="M13" s="124">
        <f>일위대가표!A28</f>
        <v>5</v>
      </c>
    </row>
    <row r="14" spans="1:13" s="112" customFormat="1" ht="24.95" customHeight="1">
      <c r="A14" s="175">
        <v>9</v>
      </c>
      <c r="B14" s="231" t="str">
        <f>산출집계표!B12</f>
        <v>광점퍼 케이블</v>
      </c>
      <c r="C14" s="176" t="str">
        <f>산출집계표!C12</f>
        <v>SC-LC 30M</v>
      </c>
      <c r="D14" s="177" t="str">
        <f>산출집계표!D12</f>
        <v>개</v>
      </c>
      <c r="E14" s="178">
        <f>산출집계표!E12</f>
        <v>2</v>
      </c>
      <c r="F14" s="179">
        <f>자재단가표!H13</f>
        <v>50000</v>
      </c>
      <c r="G14" s="95">
        <f t="shared" si="0"/>
        <v>100000</v>
      </c>
      <c r="H14" s="95">
        <f>일위대가표!I38</f>
        <v>153252</v>
      </c>
      <c r="I14" s="95">
        <f t="shared" si="1"/>
        <v>306504</v>
      </c>
      <c r="J14" s="95"/>
      <c r="K14" s="95"/>
      <c r="L14" s="95">
        <f t="shared" si="2"/>
        <v>406504</v>
      </c>
      <c r="M14" s="124">
        <f>일위대가표!A34</f>
        <v>6</v>
      </c>
    </row>
    <row r="15" spans="1:13" s="112" customFormat="1" ht="24.95" customHeight="1">
      <c r="A15" s="175">
        <v>10</v>
      </c>
      <c r="B15" s="231" t="str">
        <f>산출집계표!B13</f>
        <v>광점퍼 케이블</v>
      </c>
      <c r="C15" s="176" t="str">
        <f>산출집계표!C13</f>
        <v>SC-LC 10M</v>
      </c>
      <c r="D15" s="177" t="str">
        <f>산출집계표!D13</f>
        <v>개</v>
      </c>
      <c r="E15" s="178">
        <f>산출집계표!E13</f>
        <v>7</v>
      </c>
      <c r="F15" s="179">
        <f>자재단가표!H14</f>
        <v>30000</v>
      </c>
      <c r="G15" s="95">
        <f t="shared" si="0"/>
        <v>210000</v>
      </c>
      <c r="H15" s="95">
        <f>일위대가표!I44</f>
        <v>51083</v>
      </c>
      <c r="I15" s="95">
        <f t="shared" si="1"/>
        <v>357581</v>
      </c>
      <c r="J15" s="95"/>
      <c r="K15" s="95"/>
      <c r="L15" s="95">
        <f t="shared" si="2"/>
        <v>567581</v>
      </c>
      <c r="M15" s="124">
        <f>일위대가표!A40</f>
        <v>7</v>
      </c>
    </row>
    <row r="16" spans="1:13" s="112" customFormat="1" ht="24.95" customHeight="1">
      <c r="A16" s="175">
        <v>11</v>
      </c>
      <c r="B16" s="231" t="str">
        <f>산출집계표!B14</f>
        <v>광점퍼 케이블</v>
      </c>
      <c r="C16" s="176" t="str">
        <f>산출집계표!C14</f>
        <v>SC-LC 3M</v>
      </c>
      <c r="D16" s="177" t="str">
        <f>산출집계표!D14</f>
        <v>개</v>
      </c>
      <c r="E16" s="178">
        <f>산출집계표!E14</f>
        <v>2</v>
      </c>
      <c r="F16" s="179">
        <f>자재단가표!H15</f>
        <v>15000</v>
      </c>
      <c r="G16" s="95">
        <f t="shared" si="0"/>
        <v>30000</v>
      </c>
      <c r="H16" s="95"/>
      <c r="I16" s="95"/>
      <c r="J16" s="95"/>
      <c r="K16" s="95"/>
      <c r="L16" s="95">
        <f t="shared" si="2"/>
        <v>30000</v>
      </c>
      <c r="M16" s="124"/>
    </row>
    <row r="17" spans="1:13" s="112" customFormat="1" ht="24.95" customHeight="1">
      <c r="A17" s="175">
        <v>12</v>
      </c>
      <c r="B17" s="231" t="str">
        <f>산출집계표!B15</f>
        <v>UTP 케이블</v>
      </c>
      <c r="C17" s="176" t="str">
        <f>산출집계표!C15</f>
        <v>Cat.5e, 4P</v>
      </c>
      <c r="D17" s="177" t="str">
        <f>산출집계표!D15</f>
        <v>m</v>
      </c>
      <c r="E17" s="178">
        <f>산출집계표!E15</f>
        <v>430</v>
      </c>
      <c r="F17" s="179">
        <f>자재단가표!H16</f>
        <v>400</v>
      </c>
      <c r="G17" s="95">
        <f t="shared" si="0"/>
        <v>172000</v>
      </c>
      <c r="H17" s="95">
        <f>일위대가표!I49</f>
        <v>6543</v>
      </c>
      <c r="I17" s="95">
        <f>ROUNDDOWN(E17*H17,0)</f>
        <v>2813490</v>
      </c>
      <c r="J17" s="95"/>
      <c r="K17" s="95"/>
      <c r="L17" s="95">
        <f t="shared" si="2"/>
        <v>2985490</v>
      </c>
      <c r="M17" s="124">
        <f>일위대가표!A46</f>
        <v>8</v>
      </c>
    </row>
    <row r="18" spans="1:13" s="112" customFormat="1" ht="24.95" customHeight="1">
      <c r="A18" s="175">
        <v>13</v>
      </c>
      <c r="B18" s="231" t="str">
        <f>산출집계표!B16</f>
        <v>UTP 커넥터</v>
      </c>
      <c r="C18" s="176" t="str">
        <f>산출집계표!C16</f>
        <v>RJ-45</v>
      </c>
      <c r="D18" s="177" t="str">
        <f>산출집계표!D16</f>
        <v>개</v>
      </c>
      <c r="E18" s="178">
        <f>산출집계표!E16</f>
        <v>42</v>
      </c>
      <c r="F18" s="179">
        <f>자재단가표!H17</f>
        <v>400</v>
      </c>
      <c r="G18" s="95">
        <f t="shared" si="0"/>
        <v>16800</v>
      </c>
      <c r="H18" s="95">
        <f>일위대가표!I54</f>
        <v>3703</v>
      </c>
      <c r="I18" s="95">
        <f>ROUNDDOWN(E18*H18,0)</f>
        <v>155526</v>
      </c>
      <c r="J18" s="95"/>
      <c r="K18" s="95"/>
      <c r="L18" s="95">
        <f t="shared" si="2"/>
        <v>172326</v>
      </c>
      <c r="M18" s="124">
        <f>일위대가표!A51</f>
        <v>9</v>
      </c>
    </row>
    <row r="19" spans="1:13" s="112" customFormat="1" ht="24.95" customHeight="1">
      <c r="A19" s="175">
        <v>14</v>
      </c>
      <c r="B19" s="231" t="str">
        <f>산출집계표!B17</f>
        <v>전선관</v>
      </c>
      <c r="C19" s="176" t="str">
        <f>산출집계표!C17</f>
        <v>CD 22mm</v>
      </c>
      <c r="D19" s="177" t="str">
        <f>산출집계표!D17</f>
        <v>m</v>
      </c>
      <c r="E19" s="178">
        <f>산출집계표!E17</f>
        <v>60</v>
      </c>
      <c r="F19" s="179">
        <f>자재단가표!H18</f>
        <v>300</v>
      </c>
      <c r="G19" s="95">
        <f t="shared" si="0"/>
        <v>18000</v>
      </c>
      <c r="H19" s="95">
        <f>일위대가표!I59</f>
        <v>17092</v>
      </c>
      <c r="I19" s="95">
        <f>ROUNDDOWN(E19*H19,0)</f>
        <v>1025520</v>
      </c>
      <c r="J19" s="95"/>
      <c r="K19" s="95"/>
      <c r="L19" s="95">
        <f t="shared" si="2"/>
        <v>1043520</v>
      </c>
      <c r="M19" s="124">
        <f>일위대가표!A56</f>
        <v>10</v>
      </c>
    </row>
    <row r="20" spans="1:13" s="112" customFormat="1" ht="24.95" customHeight="1">
      <c r="A20" s="175">
        <v>15</v>
      </c>
      <c r="B20" s="231" t="str">
        <f>산출집계표!B18</f>
        <v>닥트</v>
      </c>
      <c r="C20" s="176" t="str">
        <f>산출집계표!C18</f>
        <v>PVC 중</v>
      </c>
      <c r="D20" s="177" t="str">
        <f>산출집계표!D18</f>
        <v>개</v>
      </c>
      <c r="E20" s="178">
        <f>산출집계표!E18</f>
        <v>9</v>
      </c>
      <c r="F20" s="179">
        <f>자재단가표!H19</f>
        <v>28000</v>
      </c>
      <c r="G20" s="95">
        <f t="shared" si="0"/>
        <v>252000</v>
      </c>
      <c r="H20" s="95">
        <f>일위대가표!I64</f>
        <v>7122</v>
      </c>
      <c r="I20" s="95">
        <f>ROUNDDOWN(E20*H20,0)</f>
        <v>64098</v>
      </c>
      <c r="J20" s="95"/>
      <c r="K20" s="95"/>
      <c r="L20" s="95">
        <f t="shared" si="2"/>
        <v>316098</v>
      </c>
      <c r="M20" s="124">
        <f>일위대가표!A61</f>
        <v>11</v>
      </c>
    </row>
    <row r="21" spans="1:13" s="112" customFormat="1" ht="24.95" customHeight="1">
      <c r="A21" s="175">
        <v>16</v>
      </c>
      <c r="B21" s="231" t="str">
        <f>산출집계표!B19</f>
        <v>몰드</v>
      </c>
      <c r="C21" s="176" t="str">
        <f>산출집계표!C19</f>
        <v>PVC 중</v>
      </c>
      <c r="D21" s="177" t="str">
        <f>산출집계표!D19</f>
        <v>개</v>
      </c>
      <c r="E21" s="178">
        <f>산출집계표!E19</f>
        <v>16</v>
      </c>
      <c r="F21" s="179">
        <f>자재단가표!H20</f>
        <v>2300</v>
      </c>
      <c r="G21" s="95">
        <f t="shared" si="0"/>
        <v>36800</v>
      </c>
      <c r="H21" s="95">
        <f>일위대가표!I64</f>
        <v>7122</v>
      </c>
      <c r="I21" s="95">
        <f>ROUNDDOWN(E21*H21,0)</f>
        <v>113952</v>
      </c>
      <c r="J21" s="95"/>
      <c r="K21" s="95"/>
      <c r="L21" s="95">
        <f t="shared" si="2"/>
        <v>150752</v>
      </c>
      <c r="M21" s="124">
        <f>일위대가표!A61</f>
        <v>11</v>
      </c>
    </row>
    <row r="22" spans="1:13" ht="21.95" customHeight="1" thickBot="1">
      <c r="A22" s="202">
        <v>17</v>
      </c>
      <c r="B22" s="203" t="s">
        <v>180</v>
      </c>
      <c r="C22" s="204"/>
      <c r="D22" s="205" t="s">
        <v>181</v>
      </c>
      <c r="E22" s="206">
        <v>0.02</v>
      </c>
      <c r="F22" s="239"/>
      <c r="G22" s="207">
        <f>SUM(G6:G21)*2%</f>
        <v>159036</v>
      </c>
      <c r="H22" s="240"/>
      <c r="I22" s="240"/>
      <c r="J22" s="207"/>
      <c r="K22" s="207"/>
      <c r="L22" s="240">
        <f t="shared" si="2"/>
        <v>159036</v>
      </c>
      <c r="M22" s="208"/>
    </row>
  </sheetData>
  <mergeCells count="11">
    <mergeCell ref="M3:M4"/>
    <mergeCell ref="A1:M1"/>
    <mergeCell ref="A3:A4"/>
    <mergeCell ref="C3:C4"/>
    <mergeCell ref="D3:D4"/>
    <mergeCell ref="E3:E4"/>
    <mergeCell ref="F3:G3"/>
    <mergeCell ref="H3:I3"/>
    <mergeCell ref="B3:B4"/>
    <mergeCell ref="J3:K3"/>
    <mergeCell ref="L3:L4"/>
  </mergeCells>
  <phoneticPr fontId="5" type="noConversion"/>
  <pageMargins left="0.47244094488188981" right="0.59055118110236227" top="0.59055118110236227" bottom="0.59055118110236227" header="0.59055118110236227" footer="0.59055118110236227"/>
  <pageSetup paperSize="9" scale="55" orientation="landscape" horizontalDpi="4294967292" r:id="rId1"/>
  <headerFooter alignWithMargins="0">
    <oddHeader>&amp;C&amp;"굴림,굵게"&amp;24설  계  내  역  서(도급)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65"/>
  <sheetViews>
    <sheetView view="pageBreakPreview" zoomScale="70" zoomScaleSheetLayoutView="70" workbookViewId="0">
      <pane ySplit="4" topLeftCell="A41" activePane="bottomLeft" state="frozen"/>
      <selection pane="bottomLeft" activeCell="B61" sqref="B61"/>
    </sheetView>
  </sheetViews>
  <sheetFormatPr defaultRowHeight="13.5"/>
  <cols>
    <col min="1" max="1" width="21" customWidth="1"/>
    <col min="2" max="2" width="21" style="51" customWidth="1"/>
    <col min="3" max="3" width="21" style="52" customWidth="1"/>
    <col min="4" max="10" width="21" customWidth="1"/>
  </cols>
  <sheetData>
    <row r="1" spans="1:10" ht="37.5">
      <c r="A1" s="291" t="s">
        <v>183</v>
      </c>
      <c r="B1" s="291"/>
      <c r="C1" s="291"/>
      <c r="D1" s="291"/>
      <c r="E1" s="291"/>
      <c r="F1" s="291"/>
      <c r="G1" s="291"/>
      <c r="H1" s="291"/>
      <c r="I1" s="291"/>
      <c r="J1" s="291"/>
    </row>
    <row r="2" spans="1:10" ht="24.95" customHeight="1" thickBot="1">
      <c r="A2" s="109"/>
      <c r="B2" s="110"/>
      <c r="C2" s="109"/>
      <c r="D2" s="109"/>
      <c r="E2" s="109"/>
      <c r="F2" s="109"/>
      <c r="G2" s="109"/>
      <c r="H2" s="109"/>
      <c r="I2" s="109"/>
      <c r="J2" s="109"/>
    </row>
    <row r="3" spans="1:10" s="40" customFormat="1" ht="24.95" customHeight="1">
      <c r="A3" s="292" t="s">
        <v>87</v>
      </c>
      <c r="B3" s="294" t="s">
        <v>118</v>
      </c>
      <c r="C3" s="294" t="s">
        <v>119</v>
      </c>
      <c r="D3" s="294" t="s">
        <v>120</v>
      </c>
      <c r="E3" s="294" t="s">
        <v>121</v>
      </c>
      <c r="F3" s="296" t="s">
        <v>122</v>
      </c>
      <c r="G3" s="296"/>
      <c r="H3" s="296" t="s">
        <v>123</v>
      </c>
      <c r="I3" s="296"/>
      <c r="J3" s="297" t="s">
        <v>124</v>
      </c>
    </row>
    <row r="4" spans="1:10" s="40" customFormat="1" ht="28.5" customHeight="1">
      <c r="A4" s="293"/>
      <c r="B4" s="295"/>
      <c r="C4" s="295"/>
      <c r="D4" s="295"/>
      <c r="E4" s="295"/>
      <c r="F4" s="118" t="s">
        <v>40</v>
      </c>
      <c r="G4" s="119" t="s">
        <v>41</v>
      </c>
      <c r="H4" s="118" t="s">
        <v>40</v>
      </c>
      <c r="I4" s="119" t="s">
        <v>41</v>
      </c>
      <c r="J4" s="298"/>
    </row>
    <row r="5" spans="1:10" s="54" customFormat="1" ht="21.75" customHeight="1">
      <c r="A5" s="83">
        <v>1</v>
      </c>
      <c r="B5" s="84" t="s">
        <v>116</v>
      </c>
      <c r="C5" s="85"/>
      <c r="D5" s="85"/>
      <c r="E5" s="85"/>
      <c r="F5" s="86"/>
      <c r="G5" s="86"/>
      <c r="H5" s="86"/>
      <c r="I5" s="86"/>
      <c r="J5" s="87" t="s">
        <v>135</v>
      </c>
    </row>
    <row r="6" spans="1:10" s="41" customFormat="1" ht="21.75" customHeight="1">
      <c r="A6" s="74"/>
      <c r="B6" s="70" t="s">
        <v>163</v>
      </c>
      <c r="C6" s="71" t="s">
        <v>160</v>
      </c>
      <c r="D6" s="71" t="s">
        <v>193</v>
      </c>
      <c r="E6" s="71">
        <v>1</v>
      </c>
      <c r="F6" s="72"/>
      <c r="G6" s="67"/>
      <c r="H6" s="72"/>
      <c r="I6" s="72"/>
      <c r="J6" s="76"/>
    </row>
    <row r="7" spans="1:10" s="41" customFormat="1" ht="21.75" customHeight="1">
      <c r="A7" s="69"/>
      <c r="B7" s="70"/>
      <c r="C7" s="71" t="s">
        <v>136</v>
      </c>
      <c r="D7" s="71" t="s">
        <v>129</v>
      </c>
      <c r="E7" s="71">
        <v>0.48</v>
      </c>
      <c r="F7" s="72"/>
      <c r="G7" s="72"/>
      <c r="H7" s="72">
        <f>노임단가표!C7</f>
        <v>315528</v>
      </c>
      <c r="I7" s="72">
        <f>ROUNDDOWN(E7*H7,0)</f>
        <v>151453</v>
      </c>
      <c r="J7" s="73"/>
    </row>
    <row r="8" spans="1:10" s="41" customFormat="1" ht="21.75" customHeight="1">
      <c r="A8" s="74"/>
      <c r="B8" s="71" t="s">
        <v>131</v>
      </c>
      <c r="C8" s="71"/>
      <c r="D8" s="71"/>
      <c r="E8" s="71"/>
      <c r="F8" s="72"/>
      <c r="G8" s="72"/>
      <c r="H8" s="72"/>
      <c r="I8" s="75">
        <f>SUM(I7:I7)</f>
        <v>151453</v>
      </c>
      <c r="J8" s="76"/>
    </row>
    <row r="9" spans="1:10" s="41" customFormat="1" ht="21.75" customHeight="1">
      <c r="A9" s="74"/>
      <c r="B9" s="71"/>
      <c r="C9" s="71"/>
      <c r="D9" s="71"/>
      <c r="E9" s="71"/>
      <c r="F9" s="72"/>
      <c r="G9" s="72"/>
      <c r="H9" s="72"/>
      <c r="I9" s="75"/>
      <c r="J9" s="76"/>
    </row>
    <row r="10" spans="1:10" s="54" customFormat="1" ht="21.75" customHeight="1">
      <c r="A10" s="78">
        <v>2</v>
      </c>
      <c r="B10" s="79" t="s">
        <v>161</v>
      </c>
      <c r="C10" s="80"/>
      <c r="D10" s="80"/>
      <c r="E10" s="80"/>
      <c r="F10" s="81"/>
      <c r="G10" s="81"/>
      <c r="H10" s="81"/>
      <c r="I10" s="81"/>
      <c r="J10" s="82" t="s">
        <v>125</v>
      </c>
    </row>
    <row r="11" spans="1:10" s="54" customFormat="1" ht="21.75" customHeight="1">
      <c r="A11" s="69"/>
      <c r="B11" s="65" t="s">
        <v>162</v>
      </c>
      <c r="C11" s="66" t="s">
        <v>126</v>
      </c>
      <c r="D11" s="66" t="s">
        <v>127</v>
      </c>
      <c r="E11" s="66">
        <v>1</v>
      </c>
      <c r="F11" s="67"/>
      <c r="G11" s="67"/>
      <c r="H11" s="67"/>
      <c r="I11" s="67"/>
      <c r="J11" s="68"/>
    </row>
    <row r="12" spans="1:10" s="41" customFormat="1" ht="21.75" customHeight="1">
      <c r="A12" s="69"/>
      <c r="B12" s="70"/>
      <c r="C12" s="71" t="s">
        <v>128</v>
      </c>
      <c r="D12" s="71" t="s">
        <v>129</v>
      </c>
      <c r="E12" s="71">
        <v>9.1999999999999998E-3</v>
      </c>
      <c r="F12" s="72"/>
      <c r="G12" s="72"/>
      <c r="H12" s="72">
        <f>노임단가표!C9</f>
        <v>471349</v>
      </c>
      <c r="I12" s="72">
        <f>ROUNDDOWN(E12*H12,0)</f>
        <v>4336</v>
      </c>
      <c r="J12" s="73"/>
    </row>
    <row r="13" spans="1:10" s="41" customFormat="1" ht="21.75" customHeight="1">
      <c r="A13" s="69"/>
      <c r="B13" s="70"/>
      <c r="C13" s="71" t="s">
        <v>130</v>
      </c>
      <c r="D13" s="71" t="s">
        <v>129</v>
      </c>
      <c r="E13" s="71">
        <v>4.5999999999999999E-3</v>
      </c>
      <c r="F13" s="72"/>
      <c r="G13" s="72"/>
      <c r="H13" s="72">
        <f>노임단가표!C5</f>
        <v>226122</v>
      </c>
      <c r="I13" s="72">
        <f>ROUNDDOWN(E13*H13,0)</f>
        <v>1040</v>
      </c>
      <c r="J13" s="73"/>
    </row>
    <row r="14" spans="1:10" s="41" customFormat="1" ht="21.75" customHeight="1">
      <c r="A14" s="74"/>
      <c r="B14" s="71" t="s">
        <v>131</v>
      </c>
      <c r="C14" s="71"/>
      <c r="D14" s="71"/>
      <c r="E14" s="71"/>
      <c r="F14" s="72"/>
      <c r="G14" s="72"/>
      <c r="H14" s="72"/>
      <c r="I14" s="75">
        <f>SUM(I12:I13)</f>
        <v>5376</v>
      </c>
      <c r="J14" s="76"/>
    </row>
    <row r="15" spans="1:10" s="53" customFormat="1" ht="21.75" customHeight="1">
      <c r="A15" s="181"/>
      <c r="B15" s="182"/>
      <c r="C15" s="182"/>
      <c r="D15" s="182"/>
      <c r="E15" s="182"/>
      <c r="F15" s="75"/>
      <c r="G15" s="75"/>
      <c r="H15" s="75"/>
      <c r="I15" s="75"/>
      <c r="J15" s="77"/>
    </row>
    <row r="16" spans="1:10" s="54" customFormat="1" ht="21.75" customHeight="1">
      <c r="A16" s="78">
        <v>3</v>
      </c>
      <c r="B16" s="79" t="s">
        <v>164</v>
      </c>
      <c r="C16" s="80"/>
      <c r="D16" s="80"/>
      <c r="E16" s="80"/>
      <c r="F16" s="81"/>
      <c r="G16" s="81"/>
      <c r="H16" s="81"/>
      <c r="I16" s="81"/>
      <c r="J16" s="82" t="s">
        <v>132</v>
      </c>
    </row>
    <row r="17" spans="1:10" s="54" customFormat="1" ht="21.75" customHeight="1">
      <c r="A17" s="69"/>
      <c r="B17" s="65" t="s">
        <v>165</v>
      </c>
      <c r="C17" s="66"/>
      <c r="D17" s="66" t="s">
        <v>113</v>
      </c>
      <c r="E17" s="66">
        <v>1</v>
      </c>
      <c r="F17" s="67"/>
      <c r="G17" s="67"/>
      <c r="H17" s="67"/>
      <c r="I17" s="67"/>
      <c r="J17" s="68"/>
    </row>
    <row r="18" spans="1:10" s="41" customFormat="1" ht="21.75" customHeight="1">
      <c r="A18" s="69"/>
      <c r="B18" s="70"/>
      <c r="C18" s="71" t="s">
        <v>43</v>
      </c>
      <c r="D18" s="71" t="s">
        <v>166</v>
      </c>
      <c r="E18" s="71">
        <v>0.09</v>
      </c>
      <c r="F18" s="72"/>
      <c r="G18" s="72"/>
      <c r="H18" s="72">
        <f>노임단가표!C7</f>
        <v>315528</v>
      </c>
      <c r="I18" s="72">
        <f>ROUNDDOWN(E18*H18,0)</f>
        <v>28397</v>
      </c>
      <c r="J18" s="73"/>
    </row>
    <row r="19" spans="1:10" s="41" customFormat="1" ht="21.75" customHeight="1">
      <c r="A19" s="69"/>
      <c r="B19" s="70"/>
      <c r="C19" s="71" t="s">
        <v>44</v>
      </c>
      <c r="D19" s="71" t="s">
        <v>129</v>
      </c>
      <c r="E19" s="71">
        <v>0.09</v>
      </c>
      <c r="F19" s="72"/>
      <c r="G19" s="72"/>
      <c r="H19" s="72">
        <f>노임단가표!C4</f>
        <v>172068</v>
      </c>
      <c r="I19" s="72">
        <f>ROUNDDOWN(E19*H19,0)</f>
        <v>15486</v>
      </c>
      <c r="J19" s="73"/>
    </row>
    <row r="20" spans="1:10" s="41" customFormat="1" ht="21.75" customHeight="1">
      <c r="A20" s="74"/>
      <c r="B20" s="71" t="s">
        <v>131</v>
      </c>
      <c r="C20" s="71"/>
      <c r="D20" s="71"/>
      <c r="E20" s="71"/>
      <c r="F20" s="72"/>
      <c r="G20" s="72"/>
      <c r="H20" s="72"/>
      <c r="I20" s="75">
        <f>SUM(I18:I19)</f>
        <v>43883</v>
      </c>
      <c r="J20" s="76"/>
    </row>
    <row r="21" spans="1:10" s="53" customFormat="1" ht="21.75" customHeight="1">
      <c r="A21" s="170"/>
      <c r="B21" s="171"/>
      <c r="C21" s="171"/>
      <c r="D21" s="171"/>
      <c r="E21" s="171"/>
      <c r="F21" s="75"/>
      <c r="G21" s="75"/>
      <c r="H21" s="75"/>
      <c r="I21" s="75"/>
      <c r="J21" s="77"/>
    </row>
    <row r="22" spans="1:10" s="54" customFormat="1" ht="21.75" customHeight="1">
      <c r="A22" s="78">
        <v>4</v>
      </c>
      <c r="B22" s="79" t="s">
        <v>161</v>
      </c>
      <c r="C22" s="80"/>
      <c r="D22" s="80"/>
      <c r="E22" s="80"/>
      <c r="F22" s="81"/>
      <c r="G22" s="81"/>
      <c r="H22" s="81"/>
      <c r="I22" s="81"/>
      <c r="J22" s="82" t="s">
        <v>125</v>
      </c>
    </row>
    <row r="23" spans="1:10" s="54" customFormat="1" ht="21.75" customHeight="1">
      <c r="A23" s="69"/>
      <c r="B23" s="65" t="s">
        <v>167</v>
      </c>
      <c r="C23" s="66"/>
      <c r="D23" s="66" t="s">
        <v>194</v>
      </c>
      <c r="E23" s="66">
        <v>1</v>
      </c>
      <c r="F23" s="67"/>
      <c r="G23" s="67"/>
      <c r="H23" s="67"/>
      <c r="I23" s="67"/>
      <c r="J23" s="68"/>
    </row>
    <row r="24" spans="1:10" s="41" customFormat="1" ht="21.75" customHeight="1">
      <c r="A24" s="69"/>
      <c r="B24" s="70"/>
      <c r="C24" s="71" t="s">
        <v>128</v>
      </c>
      <c r="D24" s="71" t="s">
        <v>129</v>
      </c>
      <c r="E24" s="71">
        <v>0.06</v>
      </c>
      <c r="F24" s="72"/>
      <c r="G24" s="72"/>
      <c r="H24" s="72">
        <f>노임단가표!C9</f>
        <v>471349</v>
      </c>
      <c r="I24" s="72">
        <f>ROUNDDOWN(E24*H24,0)</f>
        <v>28280</v>
      </c>
      <c r="J24" s="73"/>
    </row>
    <row r="25" spans="1:10" s="41" customFormat="1" ht="21.75" customHeight="1">
      <c r="A25" s="69"/>
      <c r="B25" s="70"/>
      <c r="C25" s="71" t="s">
        <v>130</v>
      </c>
      <c r="D25" s="71" t="s">
        <v>129</v>
      </c>
      <c r="E25" s="71">
        <v>0.05</v>
      </c>
      <c r="F25" s="72"/>
      <c r="G25" s="72"/>
      <c r="H25" s="72">
        <f>노임단가표!C5</f>
        <v>226122</v>
      </c>
      <c r="I25" s="72">
        <f>ROUNDDOWN(E25*H25,0)</f>
        <v>11306</v>
      </c>
      <c r="J25" s="73"/>
    </row>
    <row r="26" spans="1:10" s="41" customFormat="1" ht="21.75" customHeight="1">
      <c r="A26" s="74"/>
      <c r="B26" s="71" t="s">
        <v>131</v>
      </c>
      <c r="C26" s="71"/>
      <c r="D26" s="71"/>
      <c r="E26" s="71"/>
      <c r="F26" s="72"/>
      <c r="G26" s="72"/>
      <c r="H26" s="72"/>
      <c r="I26" s="75">
        <f>SUM(I24:I25)</f>
        <v>39586</v>
      </c>
      <c r="J26" s="76"/>
    </row>
    <row r="27" spans="1:10" s="53" customFormat="1" ht="21.75" customHeight="1">
      <c r="A27" s="170"/>
      <c r="B27" s="171"/>
      <c r="C27" s="171"/>
      <c r="D27" s="171"/>
      <c r="E27" s="171"/>
      <c r="F27" s="75"/>
      <c r="G27" s="75"/>
      <c r="H27" s="75"/>
      <c r="I27" s="75"/>
      <c r="J27" s="77"/>
    </row>
    <row r="28" spans="1:10" s="54" customFormat="1" ht="21.75" customHeight="1">
      <c r="A28" s="78">
        <v>5</v>
      </c>
      <c r="B28" s="79" t="s">
        <v>161</v>
      </c>
      <c r="C28" s="80"/>
      <c r="D28" s="80"/>
      <c r="E28" s="80"/>
      <c r="F28" s="81"/>
      <c r="G28" s="81"/>
      <c r="H28" s="81"/>
      <c r="I28" s="81"/>
      <c r="J28" s="82" t="s">
        <v>125</v>
      </c>
    </row>
    <row r="29" spans="1:10" s="54" customFormat="1" ht="21.75" customHeight="1">
      <c r="A29" s="69"/>
      <c r="B29" s="65" t="s">
        <v>168</v>
      </c>
      <c r="C29" s="66"/>
      <c r="D29" s="66" t="s">
        <v>134</v>
      </c>
      <c r="E29" s="66">
        <v>4</v>
      </c>
      <c r="F29" s="67"/>
      <c r="G29" s="67"/>
      <c r="H29" s="67"/>
      <c r="I29" s="67"/>
      <c r="J29" s="68"/>
    </row>
    <row r="30" spans="1:10" s="41" customFormat="1" ht="21.75" customHeight="1">
      <c r="A30" s="69"/>
      <c r="B30" s="70"/>
      <c r="C30" s="71" t="s">
        <v>58</v>
      </c>
      <c r="D30" s="71" t="s">
        <v>129</v>
      </c>
      <c r="E30" s="71">
        <v>7.0000000000000007E-2</v>
      </c>
      <c r="F30" s="72"/>
      <c r="G30" s="72"/>
      <c r="H30" s="72">
        <f>노임단가표!C9</f>
        <v>471349</v>
      </c>
      <c r="I30" s="72">
        <f>ROUNDDOWN(E29*E30*H30,0)</f>
        <v>131977</v>
      </c>
      <c r="J30" s="73"/>
    </row>
    <row r="31" spans="1:10" s="41" customFormat="1" ht="21.75" customHeight="1">
      <c r="A31" s="69"/>
      <c r="B31" s="70"/>
      <c r="C31" s="71" t="s">
        <v>59</v>
      </c>
      <c r="D31" s="71" t="s">
        <v>129</v>
      </c>
      <c r="E31" s="71">
        <v>0.08</v>
      </c>
      <c r="F31" s="72"/>
      <c r="G31" s="72"/>
      <c r="H31" s="72">
        <f>노임단가표!C5</f>
        <v>226122</v>
      </c>
      <c r="I31" s="72">
        <f>ROUNDDOWN(E29*E31*H31,0)</f>
        <v>72359</v>
      </c>
      <c r="J31" s="73"/>
    </row>
    <row r="32" spans="1:10" s="41" customFormat="1" ht="21.75" customHeight="1">
      <c r="A32" s="74"/>
      <c r="B32" s="71" t="s">
        <v>131</v>
      </c>
      <c r="C32" s="71"/>
      <c r="D32" s="71"/>
      <c r="E32" s="71"/>
      <c r="F32" s="72"/>
      <c r="G32" s="72"/>
      <c r="H32" s="72"/>
      <c r="I32" s="75">
        <f>SUM(I30:I31)</f>
        <v>204336</v>
      </c>
      <c r="J32" s="76"/>
    </row>
    <row r="33" spans="1:10" s="53" customFormat="1" ht="21.75" customHeight="1">
      <c r="A33" s="194"/>
      <c r="B33" s="195"/>
      <c r="C33" s="195"/>
      <c r="D33" s="195"/>
      <c r="E33" s="195"/>
      <c r="F33" s="75"/>
      <c r="G33" s="75"/>
      <c r="H33" s="75"/>
      <c r="I33" s="75"/>
      <c r="J33" s="77"/>
    </row>
    <row r="34" spans="1:10" s="54" customFormat="1" ht="21.75" customHeight="1">
      <c r="A34" s="78">
        <v>6</v>
      </c>
      <c r="B34" s="79" t="s">
        <v>133</v>
      </c>
      <c r="C34" s="80"/>
      <c r="D34" s="80"/>
      <c r="E34" s="80"/>
      <c r="F34" s="81"/>
      <c r="G34" s="81"/>
      <c r="H34" s="81"/>
      <c r="I34" s="81"/>
      <c r="J34" s="82" t="s">
        <v>125</v>
      </c>
    </row>
    <row r="35" spans="1:10" s="54" customFormat="1" ht="21.75" customHeight="1">
      <c r="A35" s="69"/>
      <c r="B35" s="65" t="s">
        <v>168</v>
      </c>
      <c r="C35" s="66"/>
      <c r="D35" s="66" t="s">
        <v>134</v>
      </c>
      <c r="E35" s="66">
        <v>3</v>
      </c>
      <c r="F35" s="67"/>
      <c r="G35" s="67"/>
      <c r="H35" s="67"/>
      <c r="I35" s="67"/>
      <c r="J35" s="68"/>
    </row>
    <row r="36" spans="1:10" s="41" customFormat="1" ht="21.75" customHeight="1">
      <c r="A36" s="69"/>
      <c r="B36" s="70"/>
      <c r="C36" s="71" t="s">
        <v>128</v>
      </c>
      <c r="D36" s="71" t="s">
        <v>129</v>
      </c>
      <c r="E36" s="71">
        <v>7.0000000000000007E-2</v>
      </c>
      <c r="F36" s="72"/>
      <c r="G36" s="72"/>
      <c r="H36" s="72">
        <f>노임단가표!C9</f>
        <v>471349</v>
      </c>
      <c r="I36" s="72">
        <f>ROUNDDOWN(E35*E36*H36,0)</f>
        <v>98983</v>
      </c>
      <c r="J36" s="73"/>
    </row>
    <row r="37" spans="1:10" s="41" customFormat="1" ht="21.75" customHeight="1">
      <c r="A37" s="69"/>
      <c r="B37" s="70"/>
      <c r="C37" s="71" t="s">
        <v>130</v>
      </c>
      <c r="D37" s="71" t="s">
        <v>129</v>
      </c>
      <c r="E37" s="71">
        <v>0.08</v>
      </c>
      <c r="F37" s="72"/>
      <c r="G37" s="72"/>
      <c r="H37" s="72">
        <f>노임단가표!C5</f>
        <v>226122</v>
      </c>
      <c r="I37" s="72">
        <f>ROUNDDOWN(E35*E37*H37,0)</f>
        <v>54269</v>
      </c>
      <c r="J37" s="73"/>
    </row>
    <row r="38" spans="1:10" s="41" customFormat="1" ht="21.75" customHeight="1">
      <c r="A38" s="74"/>
      <c r="B38" s="71" t="s">
        <v>131</v>
      </c>
      <c r="C38" s="71"/>
      <c r="D38" s="71"/>
      <c r="E38" s="71"/>
      <c r="F38" s="72"/>
      <c r="G38" s="72"/>
      <c r="H38" s="72"/>
      <c r="I38" s="75">
        <f>SUM(I36:I37)</f>
        <v>153252</v>
      </c>
      <c r="J38" s="76"/>
    </row>
    <row r="39" spans="1:10" s="53" customFormat="1" ht="21.75" customHeight="1">
      <c r="A39" s="170"/>
      <c r="B39" s="171"/>
      <c r="C39" s="171"/>
      <c r="D39" s="171"/>
      <c r="E39" s="171"/>
      <c r="F39" s="75"/>
      <c r="G39" s="75"/>
      <c r="H39" s="75"/>
      <c r="I39" s="75"/>
      <c r="J39" s="77"/>
    </row>
    <row r="40" spans="1:10" s="54" customFormat="1" ht="21.75" customHeight="1">
      <c r="A40" s="78">
        <v>7</v>
      </c>
      <c r="B40" s="79" t="s">
        <v>133</v>
      </c>
      <c r="C40" s="80"/>
      <c r="D40" s="80"/>
      <c r="E40" s="80"/>
      <c r="F40" s="81"/>
      <c r="G40" s="81"/>
      <c r="H40" s="81"/>
      <c r="I40" s="81"/>
      <c r="J40" s="82" t="s">
        <v>125</v>
      </c>
    </row>
    <row r="41" spans="1:10" s="54" customFormat="1" ht="21.75" customHeight="1">
      <c r="A41" s="69"/>
      <c r="B41" s="65" t="s">
        <v>168</v>
      </c>
      <c r="C41" s="66"/>
      <c r="D41" s="66" t="s">
        <v>134</v>
      </c>
      <c r="E41" s="66">
        <v>1</v>
      </c>
      <c r="F41" s="67"/>
      <c r="G41" s="67"/>
      <c r="H41" s="67"/>
      <c r="I41" s="67"/>
      <c r="J41" s="68"/>
    </row>
    <row r="42" spans="1:10" s="41" customFormat="1" ht="21.75" customHeight="1">
      <c r="A42" s="69"/>
      <c r="B42" s="70"/>
      <c r="C42" s="71" t="s">
        <v>128</v>
      </c>
      <c r="D42" s="71" t="s">
        <v>129</v>
      </c>
      <c r="E42" s="71">
        <v>7.0000000000000007E-2</v>
      </c>
      <c r="F42" s="72"/>
      <c r="G42" s="72"/>
      <c r="H42" s="72">
        <f>노임단가표!C9</f>
        <v>471349</v>
      </c>
      <c r="I42" s="72">
        <f>ROUNDDOWN(E41*E42*H42,0)</f>
        <v>32994</v>
      </c>
      <c r="J42" s="73"/>
    </row>
    <row r="43" spans="1:10" s="41" customFormat="1" ht="21.75" customHeight="1">
      <c r="A43" s="69"/>
      <c r="B43" s="70"/>
      <c r="C43" s="71" t="s">
        <v>130</v>
      </c>
      <c r="D43" s="71" t="s">
        <v>129</v>
      </c>
      <c r="E43" s="71">
        <v>0.08</v>
      </c>
      <c r="F43" s="72"/>
      <c r="G43" s="72"/>
      <c r="H43" s="72">
        <f>노임단가표!C5</f>
        <v>226122</v>
      </c>
      <c r="I43" s="72">
        <f>ROUNDDOWN(E41*E43*H43,0)</f>
        <v>18089</v>
      </c>
      <c r="J43" s="73"/>
    </row>
    <row r="44" spans="1:10" s="41" customFormat="1" ht="21.75" customHeight="1">
      <c r="A44" s="74"/>
      <c r="B44" s="71" t="s">
        <v>131</v>
      </c>
      <c r="C44" s="71"/>
      <c r="D44" s="71"/>
      <c r="E44" s="71"/>
      <c r="F44" s="72"/>
      <c r="G44" s="72"/>
      <c r="H44" s="72"/>
      <c r="I44" s="75">
        <f>SUM(I42:I43)</f>
        <v>51083</v>
      </c>
      <c r="J44" s="76"/>
    </row>
    <row r="45" spans="1:10" s="53" customFormat="1" ht="21.75" customHeight="1">
      <c r="A45" s="181"/>
      <c r="B45" s="182"/>
      <c r="C45" s="182"/>
      <c r="D45" s="182"/>
      <c r="E45" s="182"/>
      <c r="F45" s="75"/>
      <c r="G45" s="75"/>
      <c r="H45" s="75"/>
      <c r="I45" s="75"/>
      <c r="J45" s="77"/>
    </row>
    <row r="46" spans="1:10" s="54" customFormat="1" ht="21.75" customHeight="1">
      <c r="A46" s="83">
        <v>8</v>
      </c>
      <c r="B46" s="84" t="s">
        <v>169</v>
      </c>
      <c r="C46" s="85"/>
      <c r="D46" s="85"/>
      <c r="E46" s="85"/>
      <c r="F46" s="86"/>
      <c r="G46" s="86"/>
      <c r="H46" s="86"/>
      <c r="I46" s="86"/>
      <c r="J46" s="87" t="s">
        <v>138</v>
      </c>
    </row>
    <row r="47" spans="1:10" s="41" customFormat="1" ht="21.75" customHeight="1">
      <c r="A47" s="74"/>
      <c r="B47" s="70" t="s">
        <v>170</v>
      </c>
      <c r="C47" s="71" t="s">
        <v>157</v>
      </c>
      <c r="D47" s="71" t="s">
        <v>171</v>
      </c>
      <c r="E47" s="71">
        <v>1</v>
      </c>
      <c r="F47" s="72"/>
      <c r="G47" s="72"/>
      <c r="H47" s="72"/>
      <c r="I47" s="72"/>
      <c r="J47" s="76"/>
    </row>
    <row r="48" spans="1:10" s="41" customFormat="1" ht="21.75" customHeight="1">
      <c r="A48" s="69"/>
      <c r="B48" s="70"/>
      <c r="C48" s="71" t="s">
        <v>137</v>
      </c>
      <c r="D48" s="71" t="s">
        <v>129</v>
      </c>
      <c r="E48" s="71">
        <v>1.4999999999999999E-2</v>
      </c>
      <c r="F48" s="72"/>
      <c r="G48" s="72"/>
      <c r="H48" s="72">
        <f>노임단가표!C8</f>
        <v>436224</v>
      </c>
      <c r="I48" s="72">
        <f>ROUNDDOWN(E48*H48,0)</f>
        <v>6543</v>
      </c>
      <c r="J48" s="73"/>
    </row>
    <row r="49" spans="1:10" s="41" customFormat="1" ht="21.75" customHeight="1">
      <c r="A49" s="74"/>
      <c r="B49" s="71" t="s">
        <v>131</v>
      </c>
      <c r="C49" s="71"/>
      <c r="D49" s="71"/>
      <c r="E49" s="71"/>
      <c r="F49" s="72"/>
      <c r="G49" s="72"/>
      <c r="H49" s="72"/>
      <c r="I49" s="75">
        <f>SUM(I48:I48)</f>
        <v>6543</v>
      </c>
      <c r="J49" s="76"/>
    </row>
    <row r="50" spans="1:10" s="53" customFormat="1" ht="21.75" customHeight="1">
      <c r="A50" s="181"/>
      <c r="B50" s="182"/>
      <c r="C50" s="182"/>
      <c r="D50" s="182"/>
      <c r="E50" s="182"/>
      <c r="F50" s="75"/>
      <c r="G50" s="75"/>
      <c r="H50" s="75"/>
      <c r="I50" s="75"/>
      <c r="J50" s="77"/>
    </row>
    <row r="51" spans="1:10" s="189" customFormat="1" ht="21.75" customHeight="1">
      <c r="A51" s="83">
        <v>9</v>
      </c>
      <c r="B51" s="84" t="s">
        <v>172</v>
      </c>
      <c r="C51" s="85"/>
      <c r="D51" s="85"/>
      <c r="E51" s="85"/>
      <c r="F51" s="86"/>
      <c r="G51" s="86"/>
      <c r="H51" s="86"/>
      <c r="I51" s="86"/>
      <c r="J51" s="87" t="s">
        <v>140</v>
      </c>
    </row>
    <row r="52" spans="1:10" s="41" customFormat="1" ht="21.75" customHeight="1">
      <c r="A52" s="74"/>
      <c r="B52" s="70" t="s">
        <v>173</v>
      </c>
      <c r="C52" s="190" t="str">
        <f>[152]물량내역서!O5</f>
        <v>RJ-45</v>
      </c>
      <c r="D52" s="190" t="str">
        <f>[152]물량내역서!O6</f>
        <v>개</v>
      </c>
      <c r="E52" s="71">
        <v>1</v>
      </c>
      <c r="F52" s="72"/>
      <c r="G52" s="72"/>
      <c r="H52" s="72"/>
      <c r="I52" s="72"/>
      <c r="J52" s="76"/>
    </row>
    <row r="53" spans="1:10" s="41" customFormat="1" ht="21.75" customHeight="1">
      <c r="A53" s="69"/>
      <c r="B53" s="70"/>
      <c r="C53" s="71" t="s">
        <v>141</v>
      </c>
      <c r="D53" s="71" t="s">
        <v>129</v>
      </c>
      <c r="E53" s="201">
        <v>1.2999999999999999E-2</v>
      </c>
      <c r="F53" s="72"/>
      <c r="G53" s="72"/>
      <c r="H53" s="72">
        <f>노임단가표!C6</f>
        <v>284880</v>
      </c>
      <c r="I53" s="72">
        <f>ROUNDDOWN(E53*H53,0)</f>
        <v>3703</v>
      </c>
      <c r="J53" s="73"/>
    </row>
    <row r="54" spans="1:10" s="41" customFormat="1" ht="21.75" customHeight="1">
      <c r="A54" s="74"/>
      <c r="B54" s="71" t="s">
        <v>131</v>
      </c>
      <c r="C54" s="71"/>
      <c r="D54" s="71"/>
      <c r="E54" s="71"/>
      <c r="F54" s="72"/>
      <c r="G54" s="72"/>
      <c r="H54" s="72"/>
      <c r="I54" s="75">
        <f>SUM(I53:I53)</f>
        <v>3703</v>
      </c>
      <c r="J54" s="76"/>
    </row>
    <row r="55" spans="1:10" s="53" customFormat="1" ht="21.75" customHeight="1">
      <c r="A55" s="170"/>
      <c r="B55" s="171"/>
      <c r="C55" s="171"/>
      <c r="D55" s="171"/>
      <c r="E55" s="171"/>
      <c r="F55" s="75"/>
      <c r="G55" s="75"/>
      <c r="H55" s="75"/>
      <c r="I55" s="75"/>
      <c r="J55" s="77"/>
    </row>
    <row r="56" spans="1:10" s="54" customFormat="1" ht="21.75" customHeight="1">
      <c r="A56" s="83">
        <v>10</v>
      </c>
      <c r="B56" s="84" t="s">
        <v>175</v>
      </c>
      <c r="C56" s="85"/>
      <c r="D56" s="85"/>
      <c r="E56" s="85"/>
      <c r="F56" s="86"/>
      <c r="G56" s="86"/>
      <c r="H56" s="86"/>
      <c r="I56" s="86"/>
      <c r="J56" s="87" t="s">
        <v>147</v>
      </c>
    </row>
    <row r="57" spans="1:10" s="41" customFormat="1" ht="21.75" customHeight="1">
      <c r="A57" s="74"/>
      <c r="B57" s="70" t="s">
        <v>176</v>
      </c>
      <c r="C57" s="71" t="s">
        <v>145</v>
      </c>
      <c r="D57" s="71" t="s">
        <v>146</v>
      </c>
      <c r="E57" s="71">
        <v>1</v>
      </c>
      <c r="F57" s="72"/>
      <c r="G57" s="72"/>
      <c r="H57" s="72"/>
      <c r="I57" s="72"/>
      <c r="J57" s="76"/>
    </row>
    <row r="58" spans="1:10" s="41" customFormat="1" ht="21.75" customHeight="1">
      <c r="A58" s="69"/>
      <c r="B58" s="70"/>
      <c r="C58" s="71" t="s">
        <v>144</v>
      </c>
      <c r="D58" s="71" t="s">
        <v>129</v>
      </c>
      <c r="E58" s="188">
        <v>0.06</v>
      </c>
      <c r="F58" s="72"/>
      <c r="G58" s="72"/>
      <c r="H58" s="72">
        <f>노임단가표!C6</f>
        <v>284880</v>
      </c>
      <c r="I58" s="72">
        <f>ROUNDDOWN(E58*H58*E57,0*80%)</f>
        <v>17092</v>
      </c>
      <c r="J58" s="73" t="s">
        <v>174</v>
      </c>
    </row>
    <row r="59" spans="1:10" s="41" customFormat="1" ht="21.75" customHeight="1">
      <c r="A59" s="74"/>
      <c r="B59" s="71" t="s">
        <v>131</v>
      </c>
      <c r="C59" s="71"/>
      <c r="D59" s="71"/>
      <c r="E59" s="71"/>
      <c r="F59" s="72"/>
      <c r="G59" s="72"/>
      <c r="H59" s="72"/>
      <c r="I59" s="75">
        <f>SUM(I58:I58)</f>
        <v>17092</v>
      </c>
      <c r="J59" s="76"/>
    </row>
    <row r="60" spans="1:10" s="41" customFormat="1" ht="21.75" customHeight="1">
      <c r="A60" s="74"/>
      <c r="B60" s="71"/>
      <c r="C60" s="71"/>
      <c r="D60" s="71"/>
      <c r="E60" s="71"/>
      <c r="F60" s="72"/>
      <c r="G60" s="72"/>
      <c r="H60" s="72"/>
      <c r="I60" s="72"/>
      <c r="J60" s="76"/>
    </row>
    <row r="61" spans="1:10" s="54" customFormat="1" ht="21.75" customHeight="1">
      <c r="A61" s="83">
        <v>11</v>
      </c>
      <c r="B61" s="84" t="s">
        <v>177</v>
      </c>
      <c r="C61" s="85"/>
      <c r="D61" s="85"/>
      <c r="E61" s="85"/>
      <c r="F61" s="86"/>
      <c r="G61" s="86"/>
      <c r="H61" s="86"/>
      <c r="I61" s="86"/>
      <c r="J61" s="87" t="s">
        <v>179</v>
      </c>
    </row>
    <row r="62" spans="1:10" s="41" customFormat="1" ht="21.75" customHeight="1">
      <c r="A62" s="74"/>
      <c r="B62" s="70" t="s">
        <v>178</v>
      </c>
      <c r="C62" s="71" t="s">
        <v>142</v>
      </c>
      <c r="D62" s="71" t="s">
        <v>127</v>
      </c>
      <c r="E62" s="71">
        <v>1</v>
      </c>
      <c r="F62" s="72"/>
      <c r="G62" s="72"/>
      <c r="H62" s="72"/>
      <c r="I62" s="72"/>
      <c r="J62" s="76"/>
    </row>
    <row r="63" spans="1:10" s="41" customFormat="1" ht="21.75" customHeight="1">
      <c r="A63" s="69"/>
      <c r="B63" s="70"/>
      <c r="C63" s="71" t="s">
        <v>141</v>
      </c>
      <c r="D63" s="71" t="s">
        <v>129</v>
      </c>
      <c r="E63" s="71">
        <v>2.5000000000000001E-2</v>
      </c>
      <c r="F63" s="72"/>
      <c r="G63" s="72"/>
      <c r="H63" s="72">
        <f>노임단가표!C6</f>
        <v>284880</v>
      </c>
      <c r="I63" s="72">
        <f>ROUNDDOWN(E63*H63,0)</f>
        <v>7122</v>
      </c>
      <c r="J63" s="73"/>
    </row>
    <row r="64" spans="1:10" s="41" customFormat="1" ht="21.75" customHeight="1">
      <c r="A64" s="74"/>
      <c r="B64" s="71" t="s">
        <v>131</v>
      </c>
      <c r="C64" s="71"/>
      <c r="D64" s="71"/>
      <c r="E64" s="71"/>
      <c r="F64" s="72"/>
      <c r="G64" s="72"/>
      <c r="H64" s="72"/>
      <c r="I64" s="75">
        <f>SUM(I63:I63)</f>
        <v>7122</v>
      </c>
      <c r="J64" s="76"/>
    </row>
    <row r="65" spans="1:10" s="53" customFormat="1" ht="21.75" customHeight="1" thickBot="1">
      <c r="A65" s="166"/>
      <c r="B65" s="167"/>
      <c r="C65" s="167"/>
      <c r="D65" s="167"/>
      <c r="E65" s="167"/>
      <c r="F65" s="168"/>
      <c r="G65" s="168"/>
      <c r="H65" s="168"/>
      <c r="I65" s="168"/>
      <c r="J65" s="169"/>
    </row>
  </sheetData>
  <mergeCells count="9">
    <mergeCell ref="A1:J1"/>
    <mergeCell ref="A3:A4"/>
    <mergeCell ref="B3:B4"/>
    <mergeCell ref="C3:C4"/>
    <mergeCell ref="D3:D4"/>
    <mergeCell ref="E3:E4"/>
    <mergeCell ref="F3:G3"/>
    <mergeCell ref="H3:I3"/>
    <mergeCell ref="J3:J4"/>
  </mergeCells>
  <phoneticPr fontId="5" type="noConversion"/>
  <printOptions horizontalCentered="1"/>
  <pageMargins left="0.47244094488188981" right="0.43307086614173229" top="0.74803149606299213" bottom="0.74803149606299213" header="0.31496062992125984" footer="0.31496062992125984"/>
  <pageSetup paperSize="9" scale="57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23"/>
  <sheetViews>
    <sheetView view="pageBreakPreview" zoomScale="85" zoomScaleSheetLayoutView="85" workbookViewId="0">
      <selection activeCell="B19" sqref="B19"/>
    </sheetView>
  </sheetViews>
  <sheetFormatPr defaultRowHeight="13.5"/>
  <cols>
    <col min="1" max="1" width="6.44140625" customWidth="1"/>
    <col min="2" max="2" width="21.77734375" style="52" customWidth="1"/>
    <col min="3" max="3" width="21.77734375" customWidth="1"/>
    <col min="4" max="4" width="9.109375" bestFit="1" customWidth="1"/>
    <col min="5" max="5" width="15.21875" bestFit="1" customWidth="1"/>
    <col min="6" max="6" width="15.21875" customWidth="1"/>
    <col min="7" max="7" width="16.44140625" bestFit="1" customWidth="1"/>
    <col min="8" max="8" width="15.21875" bestFit="1" customWidth="1"/>
    <col min="9" max="9" width="17.77734375" bestFit="1" customWidth="1"/>
  </cols>
  <sheetData>
    <row r="1" spans="1:9" ht="37.5">
      <c r="A1" s="250" t="s">
        <v>159</v>
      </c>
      <c r="B1" s="250"/>
      <c r="C1" s="250"/>
      <c r="D1" s="250"/>
      <c r="E1" s="250"/>
      <c r="F1" s="250"/>
      <c r="G1" s="250"/>
      <c r="H1" s="250"/>
    </row>
    <row r="2" spans="1:9" ht="24.95" customHeight="1" thickBot="1">
      <c r="A2" s="3"/>
      <c r="B2" s="39"/>
      <c r="C2" s="39"/>
      <c r="D2" s="39"/>
      <c r="E2" s="39"/>
      <c r="F2" s="39"/>
      <c r="G2" s="39"/>
      <c r="H2" s="39"/>
    </row>
    <row r="3" spans="1:9" s="113" customFormat="1" ht="24.95" customHeight="1">
      <c r="A3" s="282" t="s">
        <v>87</v>
      </c>
      <c r="B3" s="286" t="s">
        <v>88</v>
      </c>
      <c r="C3" s="286" t="s">
        <v>89</v>
      </c>
      <c r="D3" s="286" t="s">
        <v>90</v>
      </c>
      <c r="E3" s="288" t="s">
        <v>91</v>
      </c>
      <c r="F3" s="302"/>
      <c r="G3" s="284"/>
      <c r="H3" s="279" t="s">
        <v>92</v>
      </c>
    </row>
    <row r="4" spans="1:9" s="113" customFormat="1" ht="24.95" customHeight="1" thickBot="1">
      <c r="A4" s="300"/>
      <c r="B4" s="301"/>
      <c r="C4" s="301"/>
      <c r="D4" s="301"/>
      <c r="E4" s="172" t="s">
        <v>93</v>
      </c>
      <c r="F4" s="172" t="s">
        <v>94</v>
      </c>
      <c r="G4" s="172" t="s">
        <v>95</v>
      </c>
      <c r="H4" s="299"/>
    </row>
    <row r="5" spans="1:9" s="113" customFormat="1" ht="24.6" customHeight="1" thickTop="1">
      <c r="A5" s="173">
        <v>1</v>
      </c>
      <c r="B5" s="228" t="str">
        <f>산출집계표!B4</f>
        <v>L2 스위치</v>
      </c>
      <c r="C5" s="198" t="str">
        <f>산출집계표!C4</f>
        <v>24Port PoE, 
4Port SFP</v>
      </c>
      <c r="D5" s="191" t="str">
        <f>산출집계표!D4</f>
        <v>대</v>
      </c>
      <c r="E5" s="174">
        <v>2000000</v>
      </c>
      <c r="F5" s="174">
        <v>2100000</v>
      </c>
      <c r="G5" s="174">
        <v>2150000</v>
      </c>
      <c r="H5" s="183">
        <f t="shared" ref="H5:H20" si="0">MIN(E5:G5)</f>
        <v>2000000</v>
      </c>
    </row>
    <row r="6" spans="1:9" s="113" customFormat="1" ht="24.6" customHeight="1">
      <c r="A6" s="175">
        <v>2</v>
      </c>
      <c r="B6" s="229" t="str">
        <f>산출집계표!B5</f>
        <v>L2 스위치</v>
      </c>
      <c r="C6" s="199" t="str">
        <f>산출집계표!C5</f>
        <v>8Port Giga, 
2Port SFP</v>
      </c>
      <c r="D6" s="192" t="str">
        <f>산출집계표!D5</f>
        <v>대</v>
      </c>
      <c r="E6" s="108">
        <v>395000</v>
      </c>
      <c r="F6" s="108">
        <v>400000</v>
      </c>
      <c r="G6" s="108">
        <v>420000</v>
      </c>
      <c r="H6" s="153">
        <f t="shared" si="0"/>
        <v>395000</v>
      </c>
      <c r="I6" s="238"/>
    </row>
    <row r="7" spans="1:9" s="113" customFormat="1" ht="24.6" customHeight="1">
      <c r="A7" s="175">
        <v>3</v>
      </c>
      <c r="B7" s="229" t="str">
        <f>산출집계표!B6</f>
        <v>광모듈</v>
      </c>
      <c r="C7" s="199" t="str">
        <f>산출집계표!C6</f>
        <v>1G, BiDi</v>
      </c>
      <c r="D7" s="192" t="str">
        <f>산출집계표!D6</f>
        <v>개</v>
      </c>
      <c r="E7" s="108">
        <v>50000</v>
      </c>
      <c r="F7" s="108">
        <v>50000</v>
      </c>
      <c r="G7" s="108">
        <v>50000</v>
      </c>
      <c r="H7" s="153">
        <f t="shared" si="0"/>
        <v>50000</v>
      </c>
      <c r="I7" s="238" t="s">
        <v>190</v>
      </c>
    </row>
    <row r="8" spans="1:9" s="113" customFormat="1" ht="24.6" customHeight="1">
      <c r="A8" s="175">
        <v>4</v>
      </c>
      <c r="B8" s="229" t="str">
        <f>산출집계표!B7</f>
        <v>통신랙</v>
      </c>
      <c r="C8" s="199" t="str">
        <f>산출집계표!C7</f>
        <v>500mm</v>
      </c>
      <c r="D8" s="192" t="str">
        <f>산출집계표!D7</f>
        <v>대</v>
      </c>
      <c r="E8" s="108">
        <v>150000</v>
      </c>
      <c r="F8" s="108">
        <v>150000</v>
      </c>
      <c r="G8" s="108">
        <v>150000</v>
      </c>
      <c r="H8" s="153">
        <f t="shared" si="0"/>
        <v>150000</v>
      </c>
      <c r="I8" s="238" t="s">
        <v>190</v>
      </c>
    </row>
    <row r="9" spans="1:9" s="113" customFormat="1" ht="24.6" customHeight="1">
      <c r="A9" s="175">
        <v>5</v>
      </c>
      <c r="B9" s="229" t="str">
        <f>산출집계표!B8</f>
        <v>광케이블</v>
      </c>
      <c r="C9" s="199" t="str">
        <f>산출집계표!C8</f>
        <v>SM 4C</v>
      </c>
      <c r="D9" s="192" t="str">
        <f>산출집계표!D8</f>
        <v>m</v>
      </c>
      <c r="E9" s="95">
        <v>1016</v>
      </c>
      <c r="F9" s="95">
        <v>1016</v>
      </c>
      <c r="G9" s="95">
        <v>1016</v>
      </c>
      <c r="H9" s="153">
        <f t="shared" si="0"/>
        <v>1016</v>
      </c>
      <c r="I9" s="238" t="s">
        <v>190</v>
      </c>
    </row>
    <row r="10" spans="1:9" s="113" customFormat="1" ht="24.6" customHeight="1">
      <c r="A10" s="175">
        <v>6</v>
      </c>
      <c r="B10" s="229" t="str">
        <f>산출집계표!B9</f>
        <v>광분배함</v>
      </c>
      <c r="C10" s="199" t="str">
        <f>산출집계표!C9</f>
        <v>4Port</v>
      </c>
      <c r="D10" s="192" t="str">
        <f>산출집계표!D9</f>
        <v>대</v>
      </c>
      <c r="E10" s="95">
        <v>50000</v>
      </c>
      <c r="F10" s="95">
        <v>50000</v>
      </c>
      <c r="G10" s="95">
        <v>50000</v>
      </c>
      <c r="H10" s="153">
        <f t="shared" si="0"/>
        <v>50000</v>
      </c>
      <c r="I10" s="238" t="s">
        <v>190</v>
      </c>
    </row>
    <row r="11" spans="1:9" s="113" customFormat="1" ht="24.6" customHeight="1">
      <c r="A11" s="175">
        <v>7</v>
      </c>
      <c r="B11" s="229" t="str">
        <f>산출집계표!B10</f>
        <v>Pig Tail</v>
      </c>
      <c r="C11" s="199" t="str">
        <f>산출집계표!C10</f>
        <v>SM</v>
      </c>
      <c r="D11" s="192" t="str">
        <f>산출집계표!D10</f>
        <v>개</v>
      </c>
      <c r="E11" s="95">
        <v>5000</v>
      </c>
      <c r="F11" s="95">
        <v>5000</v>
      </c>
      <c r="G11" s="95">
        <v>5000</v>
      </c>
      <c r="H11" s="153">
        <f t="shared" si="0"/>
        <v>5000</v>
      </c>
      <c r="I11" s="238" t="s">
        <v>190</v>
      </c>
    </row>
    <row r="12" spans="1:9" s="113" customFormat="1" ht="24.6" customHeight="1">
      <c r="A12" s="175">
        <v>8</v>
      </c>
      <c r="B12" s="229" t="str">
        <f>산출집계표!B11</f>
        <v>광점퍼 케이블</v>
      </c>
      <c r="C12" s="199" t="str">
        <f>산출집계표!C11</f>
        <v>SC-LC 40M</v>
      </c>
      <c r="D12" s="192" t="str">
        <f>산출집계표!D11</f>
        <v>개</v>
      </c>
      <c r="E12" s="95">
        <v>60000</v>
      </c>
      <c r="F12" s="95">
        <v>62000</v>
      </c>
      <c r="G12" s="95">
        <v>67000</v>
      </c>
      <c r="H12" s="153">
        <f t="shared" si="0"/>
        <v>60000</v>
      </c>
    </row>
    <row r="13" spans="1:9" s="113" customFormat="1" ht="24.6" customHeight="1">
      <c r="A13" s="175">
        <v>9</v>
      </c>
      <c r="B13" s="229" t="str">
        <f>산출집계표!B12</f>
        <v>광점퍼 케이블</v>
      </c>
      <c r="C13" s="199" t="str">
        <f>산출집계표!C12</f>
        <v>SC-LC 30M</v>
      </c>
      <c r="D13" s="192" t="str">
        <f>산출집계표!D12</f>
        <v>개</v>
      </c>
      <c r="E13" s="95">
        <v>50000</v>
      </c>
      <c r="F13" s="95">
        <v>53000</v>
      </c>
      <c r="G13" s="95">
        <v>57000</v>
      </c>
      <c r="H13" s="153">
        <f t="shared" si="0"/>
        <v>50000</v>
      </c>
    </row>
    <row r="14" spans="1:9" s="113" customFormat="1" ht="24.6" customHeight="1">
      <c r="A14" s="175">
        <v>10</v>
      </c>
      <c r="B14" s="229" t="str">
        <f>산출집계표!B13</f>
        <v>광점퍼 케이블</v>
      </c>
      <c r="C14" s="199" t="str">
        <f>산출집계표!C13</f>
        <v>SC-LC 10M</v>
      </c>
      <c r="D14" s="192" t="str">
        <f>산출집계표!D13</f>
        <v>개</v>
      </c>
      <c r="E14" s="95">
        <v>30000</v>
      </c>
      <c r="F14" s="95">
        <v>35000</v>
      </c>
      <c r="G14" s="95">
        <v>38000</v>
      </c>
      <c r="H14" s="153">
        <f t="shared" si="0"/>
        <v>30000</v>
      </c>
    </row>
    <row r="15" spans="1:9" s="113" customFormat="1" ht="24.6" customHeight="1">
      <c r="A15" s="175">
        <v>11</v>
      </c>
      <c r="B15" s="229" t="str">
        <f>산출집계표!B14</f>
        <v>광점퍼 케이블</v>
      </c>
      <c r="C15" s="199" t="str">
        <f>산출집계표!C14</f>
        <v>SC-LC 3M</v>
      </c>
      <c r="D15" s="192" t="str">
        <f>산출집계표!D14</f>
        <v>개</v>
      </c>
      <c r="E15" s="108">
        <v>15000</v>
      </c>
      <c r="F15" s="108">
        <v>15000</v>
      </c>
      <c r="G15" s="108">
        <v>15000</v>
      </c>
      <c r="H15" s="153">
        <f t="shared" si="0"/>
        <v>15000</v>
      </c>
      <c r="I15" s="238" t="s">
        <v>190</v>
      </c>
    </row>
    <row r="16" spans="1:9" s="113" customFormat="1" ht="24.6" customHeight="1">
      <c r="A16" s="175">
        <v>12</v>
      </c>
      <c r="B16" s="229" t="str">
        <f>산출집계표!B15</f>
        <v>UTP 케이블</v>
      </c>
      <c r="C16" s="199" t="str">
        <f>산출집계표!C15</f>
        <v>Cat.5e, 4P</v>
      </c>
      <c r="D16" s="192" t="str">
        <f>산출집계표!D15</f>
        <v>m</v>
      </c>
      <c r="E16" s="95">
        <v>400</v>
      </c>
      <c r="F16" s="95">
        <v>400</v>
      </c>
      <c r="G16" s="95">
        <v>400</v>
      </c>
      <c r="H16" s="153">
        <f t="shared" si="0"/>
        <v>400</v>
      </c>
      <c r="I16" s="238" t="s">
        <v>190</v>
      </c>
    </row>
    <row r="17" spans="1:8" s="113" customFormat="1" ht="24.6" customHeight="1">
      <c r="A17" s="175">
        <v>13</v>
      </c>
      <c r="B17" s="229" t="str">
        <f>산출집계표!B16</f>
        <v>UTP 커넥터</v>
      </c>
      <c r="C17" s="199" t="str">
        <f>산출집계표!C16</f>
        <v>RJ-45</v>
      </c>
      <c r="D17" s="192" t="str">
        <f>산출집계표!D16</f>
        <v>개</v>
      </c>
      <c r="E17" s="95">
        <v>400</v>
      </c>
      <c r="F17" s="95">
        <v>450</v>
      </c>
      <c r="G17" s="95">
        <v>490</v>
      </c>
      <c r="H17" s="153">
        <f t="shared" si="0"/>
        <v>400</v>
      </c>
    </row>
    <row r="18" spans="1:8" s="113" customFormat="1" ht="24.6" customHeight="1">
      <c r="A18" s="175">
        <v>14</v>
      </c>
      <c r="B18" s="229" t="str">
        <f>산출집계표!B17</f>
        <v>전선관</v>
      </c>
      <c r="C18" s="199" t="str">
        <f>산출집계표!C17</f>
        <v>CD 22mm</v>
      </c>
      <c r="D18" s="192" t="str">
        <f>산출집계표!D17</f>
        <v>m</v>
      </c>
      <c r="E18" s="95">
        <v>300</v>
      </c>
      <c r="F18" s="95">
        <v>320</v>
      </c>
      <c r="G18" s="95">
        <v>340</v>
      </c>
      <c r="H18" s="153">
        <f t="shared" si="0"/>
        <v>300</v>
      </c>
    </row>
    <row r="19" spans="1:8" s="113" customFormat="1" ht="24.95" customHeight="1">
      <c r="A19" s="175">
        <v>15</v>
      </c>
      <c r="B19" s="229" t="str">
        <f>산출집계표!B18</f>
        <v>닥트</v>
      </c>
      <c r="C19" s="199" t="str">
        <f>산출집계표!C18</f>
        <v>PVC 중</v>
      </c>
      <c r="D19" s="192" t="str">
        <f>산출집계표!D18</f>
        <v>개</v>
      </c>
      <c r="E19" s="108">
        <v>28000</v>
      </c>
      <c r="F19" s="108">
        <v>32000</v>
      </c>
      <c r="G19" s="108">
        <v>35000</v>
      </c>
      <c r="H19" s="153">
        <f t="shared" si="0"/>
        <v>28000</v>
      </c>
    </row>
    <row r="20" spans="1:8" s="113" customFormat="1" ht="24.95" customHeight="1" thickBot="1">
      <c r="A20" s="180">
        <v>16</v>
      </c>
      <c r="B20" s="230" t="str">
        <f>산출집계표!B19</f>
        <v>몰드</v>
      </c>
      <c r="C20" s="200" t="str">
        <f>산출집계표!C19</f>
        <v>PVC 중</v>
      </c>
      <c r="D20" s="193" t="str">
        <f>산출집계표!D19</f>
        <v>개</v>
      </c>
      <c r="E20" s="196">
        <v>2300</v>
      </c>
      <c r="F20" s="196">
        <v>2500</v>
      </c>
      <c r="G20" s="196">
        <v>2650</v>
      </c>
      <c r="H20" s="154">
        <f t="shared" si="0"/>
        <v>2300</v>
      </c>
    </row>
    <row r="21" spans="1:8">
      <c r="E21" s="151"/>
      <c r="F21" s="151"/>
      <c r="G21" s="151"/>
    </row>
    <row r="22" spans="1:8">
      <c r="E22" s="151"/>
      <c r="F22" s="151"/>
      <c r="G22" s="151"/>
    </row>
    <row r="23" spans="1:8">
      <c r="E23" s="151"/>
      <c r="F23" s="151"/>
      <c r="G23" s="151"/>
    </row>
  </sheetData>
  <mergeCells count="7">
    <mergeCell ref="H3:H4"/>
    <mergeCell ref="A1:H1"/>
    <mergeCell ref="A3:A4"/>
    <mergeCell ref="B3:B4"/>
    <mergeCell ref="C3:C4"/>
    <mergeCell ref="D3:D4"/>
    <mergeCell ref="E3:G3"/>
  </mergeCells>
  <phoneticPr fontId="5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9"/>
  <sheetViews>
    <sheetView view="pageBreakPreview" zoomScaleSheetLayoutView="100" workbookViewId="0">
      <selection activeCell="C7" sqref="C7"/>
    </sheetView>
  </sheetViews>
  <sheetFormatPr defaultRowHeight="13.5"/>
  <cols>
    <col min="1" max="1" width="7.44140625" customWidth="1"/>
    <col min="2" max="4" width="34.109375" customWidth="1"/>
  </cols>
  <sheetData>
    <row r="1" spans="1:4" s="45" customFormat="1" ht="33.950000000000003" customHeight="1">
      <c r="A1" s="250" t="s">
        <v>85</v>
      </c>
      <c r="B1" s="250"/>
      <c r="C1" s="250"/>
      <c r="D1" s="250"/>
    </row>
    <row r="2" spans="1:4" s="45" customFormat="1" ht="24.95" customHeight="1" thickBot="1">
      <c r="A2" s="44"/>
      <c r="B2" s="44"/>
      <c r="C2" s="44"/>
      <c r="D2" s="44"/>
    </row>
    <row r="3" spans="1:4" s="49" customFormat="1" ht="24.95" customHeight="1" thickBot="1">
      <c r="A3" s="114" t="s">
        <v>16</v>
      </c>
      <c r="B3" s="115" t="s">
        <v>42</v>
      </c>
      <c r="C3" s="116" t="s">
        <v>71</v>
      </c>
      <c r="D3" s="117" t="s">
        <v>53</v>
      </c>
    </row>
    <row r="4" spans="1:4" s="47" customFormat="1" ht="24.95" customHeight="1" thickTop="1">
      <c r="A4" s="98">
        <v>1</v>
      </c>
      <c r="B4" s="99" t="s">
        <v>44</v>
      </c>
      <c r="C4" s="99">
        <v>172068</v>
      </c>
      <c r="D4" s="100">
        <v>1002</v>
      </c>
    </row>
    <row r="5" spans="1:4" s="47" customFormat="1" ht="24.95" customHeight="1">
      <c r="A5" s="101">
        <v>2</v>
      </c>
      <c r="B5" s="102" t="s">
        <v>59</v>
      </c>
      <c r="C5" s="102">
        <v>226122</v>
      </c>
      <c r="D5" s="103">
        <v>1003</v>
      </c>
    </row>
    <row r="6" spans="1:4" s="47" customFormat="1" ht="24.95" customHeight="1">
      <c r="A6" s="101">
        <v>3</v>
      </c>
      <c r="B6" s="102" t="s">
        <v>51</v>
      </c>
      <c r="C6" s="102">
        <v>284880</v>
      </c>
      <c r="D6" s="104">
        <v>1086</v>
      </c>
    </row>
    <row r="7" spans="1:4" s="46" customFormat="1" ht="24.95" customHeight="1">
      <c r="A7" s="101">
        <v>4</v>
      </c>
      <c r="B7" s="102" t="s">
        <v>43</v>
      </c>
      <c r="C7" s="102">
        <v>315528</v>
      </c>
      <c r="D7" s="104">
        <v>1087</v>
      </c>
    </row>
    <row r="8" spans="1:4" s="47" customFormat="1" ht="24.95" customHeight="1">
      <c r="A8" s="101">
        <v>5</v>
      </c>
      <c r="B8" s="102" t="s">
        <v>50</v>
      </c>
      <c r="C8" s="102">
        <v>436224</v>
      </c>
      <c r="D8" s="104">
        <v>1089</v>
      </c>
    </row>
    <row r="9" spans="1:4" s="47" customFormat="1" ht="24.95" customHeight="1" thickBot="1">
      <c r="A9" s="105">
        <v>6</v>
      </c>
      <c r="B9" s="106" t="s">
        <v>58</v>
      </c>
      <c r="C9" s="106">
        <v>471349</v>
      </c>
      <c r="D9" s="107">
        <v>2001</v>
      </c>
    </row>
  </sheetData>
  <mergeCells count="1">
    <mergeCell ref="A1:D1"/>
  </mergeCells>
  <phoneticPr fontId="5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/>
  <dimension ref="A1:AA23"/>
  <sheetViews>
    <sheetView view="pageBreakPreview" zoomScale="85" zoomScaleSheetLayoutView="85" workbookViewId="0">
      <selection activeCell="B4" sqref="B4:B20"/>
    </sheetView>
  </sheetViews>
  <sheetFormatPr defaultColWidth="8.88671875" defaultRowHeight="13.5"/>
  <cols>
    <col min="1" max="1" width="8.21875" style="197" customWidth="1"/>
    <col min="2" max="3" width="34.77734375" style="1" customWidth="1"/>
    <col min="4" max="5" width="12.6640625" style="1" customWidth="1"/>
    <col min="6" max="6" width="18.21875" style="1" customWidth="1"/>
    <col min="7" max="16384" width="8.88671875" style="1"/>
  </cols>
  <sheetData>
    <row r="1" spans="1:27" ht="37.5">
      <c r="A1" s="303" t="s">
        <v>39</v>
      </c>
      <c r="B1" s="303"/>
      <c r="C1" s="303"/>
      <c r="D1" s="303"/>
      <c r="E1" s="303"/>
      <c r="F1" s="303"/>
    </row>
    <row r="2" spans="1:27" ht="24.95" customHeight="1" thickBot="1">
      <c r="A2" s="50"/>
      <c r="B2" s="43"/>
      <c r="C2" s="43"/>
      <c r="D2" s="43"/>
      <c r="E2" s="43"/>
      <c r="F2" s="43"/>
    </row>
    <row r="3" spans="1:27" s="35" customFormat="1" ht="24.95" customHeight="1" thickBot="1">
      <c r="A3" s="120" t="s">
        <v>16</v>
      </c>
      <c r="B3" s="121" t="s">
        <v>46</v>
      </c>
      <c r="C3" s="121" t="s">
        <v>70</v>
      </c>
      <c r="D3" s="121" t="s">
        <v>45</v>
      </c>
      <c r="E3" s="121" t="s">
        <v>47</v>
      </c>
      <c r="F3" s="122" t="s">
        <v>48</v>
      </c>
    </row>
    <row r="4" spans="1:27" s="36" customFormat="1" ht="24.95" customHeight="1" thickTop="1">
      <c r="A4" s="209">
        <v>1</v>
      </c>
      <c r="B4" s="210" t="str">
        <f>물량내역서!C3</f>
        <v>L2 스위치</v>
      </c>
      <c r="C4" s="211" t="str">
        <f>물량내역서!C4</f>
        <v>24Port PoE, 
4Port SFP</v>
      </c>
      <c r="D4" s="212" t="str">
        <f>물량내역서!C5</f>
        <v>대</v>
      </c>
      <c r="E4" s="174">
        <f>물량내역서!C6</f>
        <v>2</v>
      </c>
      <c r="F4" s="213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 spans="1:27" s="36" customFormat="1" ht="24.95" customHeight="1">
      <c r="A5" s="214">
        <v>2</v>
      </c>
      <c r="B5" s="215" t="str">
        <f>물량내역서!C3</f>
        <v>L2 스위치</v>
      </c>
      <c r="C5" s="88" t="str">
        <f>물량내역서!D4</f>
        <v>8Port Giga, 
2Port SFP</v>
      </c>
      <c r="D5" s="89" t="str">
        <f>물량내역서!D5</f>
        <v>대</v>
      </c>
      <c r="E5" s="95">
        <f>물량내역서!D6</f>
        <v>4</v>
      </c>
      <c r="F5" s="90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</row>
    <row r="6" spans="1:27" s="36" customFormat="1" ht="24.95" customHeight="1">
      <c r="A6" s="214">
        <v>3</v>
      </c>
      <c r="B6" s="88" t="str">
        <f>물량내역서!E3</f>
        <v>광모듈</v>
      </c>
      <c r="C6" s="88" t="str">
        <f>물량내역서!E4</f>
        <v>1G, BiDi</v>
      </c>
      <c r="D6" s="89" t="str">
        <f>물량내역서!E5</f>
        <v>개</v>
      </c>
      <c r="E6" s="95">
        <f>물량내역서!E6</f>
        <v>18</v>
      </c>
      <c r="F6" s="90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</row>
    <row r="7" spans="1:27" s="36" customFormat="1" ht="24.95" customHeight="1">
      <c r="A7" s="214">
        <v>4</v>
      </c>
      <c r="B7" s="88" t="str">
        <f>물량내역서!F3</f>
        <v>통신랙</v>
      </c>
      <c r="C7" s="88" t="str">
        <f>물량내역서!F4</f>
        <v>500mm</v>
      </c>
      <c r="D7" s="89" t="str">
        <f>물량내역서!F5</f>
        <v>대</v>
      </c>
      <c r="E7" s="95">
        <f>물량내역서!F6</f>
        <v>2</v>
      </c>
      <c r="F7" s="90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 spans="1:27" s="36" customFormat="1" ht="24.95" customHeight="1">
      <c r="A8" s="214">
        <v>5</v>
      </c>
      <c r="B8" s="88" t="str">
        <f>물량내역서!G3</f>
        <v>광케이블</v>
      </c>
      <c r="C8" s="88" t="str">
        <f>물량내역서!G4</f>
        <v>SM 4C</v>
      </c>
      <c r="D8" s="216" t="str">
        <f>물량내역서!G5</f>
        <v>m</v>
      </c>
      <c r="E8" s="96">
        <f>물량내역서!G6</f>
        <v>75</v>
      </c>
      <c r="F8" s="91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</row>
    <row r="9" spans="1:27" s="36" customFormat="1" ht="24.95" customHeight="1">
      <c r="A9" s="214">
        <v>6</v>
      </c>
      <c r="B9" s="88" t="str">
        <f>물량내역서!H3</f>
        <v>광분배함</v>
      </c>
      <c r="C9" s="88" t="str">
        <f>물량내역서!H4</f>
        <v>4Port</v>
      </c>
      <c r="D9" s="89" t="str">
        <f>물량내역서!H5</f>
        <v>대</v>
      </c>
      <c r="E9" s="96">
        <f>물량내역서!H6</f>
        <v>2</v>
      </c>
      <c r="F9" s="91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</row>
    <row r="10" spans="1:27" s="36" customFormat="1" ht="24.95" customHeight="1">
      <c r="A10" s="214">
        <v>7</v>
      </c>
      <c r="B10" s="88" t="str">
        <f>물량내역서!I3</f>
        <v>Pig Tail</v>
      </c>
      <c r="C10" s="88" t="str">
        <f>물량내역서!I4</f>
        <v>SM</v>
      </c>
      <c r="D10" s="89" t="str">
        <f>물량내역서!I5</f>
        <v>개</v>
      </c>
      <c r="E10" s="96">
        <f>물량내역서!I6</f>
        <v>8</v>
      </c>
      <c r="F10" s="91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</row>
    <row r="11" spans="1:27" s="36" customFormat="1" ht="24.95" customHeight="1">
      <c r="A11" s="214">
        <v>8</v>
      </c>
      <c r="B11" s="215" t="str">
        <f>물량내역서!J3</f>
        <v>광점퍼 케이블</v>
      </c>
      <c r="C11" s="88" t="str">
        <f>물량내역서!J4</f>
        <v>SC-LC 40M</v>
      </c>
      <c r="D11" s="89" t="str">
        <f>물량내역서!J5</f>
        <v>개</v>
      </c>
      <c r="E11" s="96">
        <f>물량내역서!J6</f>
        <v>2</v>
      </c>
      <c r="F11" s="91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 spans="1:27" s="36" customFormat="1" ht="24.95" customHeight="1">
      <c r="A12" s="214">
        <v>9</v>
      </c>
      <c r="B12" s="215" t="str">
        <f>물량내역서!J3</f>
        <v>광점퍼 케이블</v>
      </c>
      <c r="C12" s="88" t="str">
        <f>물량내역서!K4</f>
        <v>SC-LC 30M</v>
      </c>
      <c r="D12" s="89" t="str">
        <f>물량내역서!K5</f>
        <v>개</v>
      </c>
      <c r="E12" s="96">
        <f>물량내역서!K6</f>
        <v>2</v>
      </c>
      <c r="F12" s="91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</row>
    <row r="13" spans="1:27" s="36" customFormat="1" ht="24.95" customHeight="1">
      <c r="A13" s="214">
        <v>10</v>
      </c>
      <c r="B13" s="215" t="str">
        <f>물량내역서!J3</f>
        <v>광점퍼 케이블</v>
      </c>
      <c r="C13" s="88" t="str">
        <f>물량내역서!L4</f>
        <v>SC-LC 10M</v>
      </c>
      <c r="D13" s="89" t="str">
        <f>물량내역서!L5</f>
        <v>개</v>
      </c>
      <c r="E13" s="96">
        <f>물량내역서!L6</f>
        <v>7</v>
      </c>
      <c r="F13" s="91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 spans="1:27" s="36" customFormat="1" ht="24.95" customHeight="1">
      <c r="A14" s="214">
        <v>11</v>
      </c>
      <c r="B14" s="215" t="str">
        <f>물량내역서!J3</f>
        <v>광점퍼 케이블</v>
      </c>
      <c r="C14" s="88" t="str">
        <f>물량내역서!M4</f>
        <v>SC-LC 3M</v>
      </c>
      <c r="D14" s="89" t="str">
        <f>물량내역서!M5</f>
        <v>개</v>
      </c>
      <c r="E14" s="96">
        <f>물량내역서!M6</f>
        <v>2</v>
      </c>
      <c r="F14" s="91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</row>
    <row r="15" spans="1:27" s="36" customFormat="1" ht="24.95" customHeight="1">
      <c r="A15" s="214">
        <v>12</v>
      </c>
      <c r="B15" s="88" t="str">
        <f>물량내역서!N3</f>
        <v>UTP 케이블</v>
      </c>
      <c r="C15" s="88" t="str">
        <f>물량내역서!N4</f>
        <v>Cat.5e, 4P</v>
      </c>
      <c r="D15" s="89" t="str">
        <f>물량내역서!N5</f>
        <v>m</v>
      </c>
      <c r="E15" s="96">
        <f>물량내역서!N6</f>
        <v>430</v>
      </c>
      <c r="F15" s="91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 spans="1:27" s="36" customFormat="1" ht="24.95" customHeight="1">
      <c r="A16" s="214">
        <v>13</v>
      </c>
      <c r="B16" s="88" t="str">
        <f>물량내역서!O3</f>
        <v>UTP 커넥터</v>
      </c>
      <c r="C16" s="88" t="str">
        <f>물량내역서!O4</f>
        <v>RJ-45</v>
      </c>
      <c r="D16" s="89" t="str">
        <f>물량내역서!O5</f>
        <v>개</v>
      </c>
      <c r="E16" s="96">
        <f>물량내역서!O6</f>
        <v>42</v>
      </c>
      <c r="F16" s="91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</row>
    <row r="17" spans="1:27" s="36" customFormat="1" ht="24.95" customHeight="1">
      <c r="A17" s="214">
        <v>14</v>
      </c>
      <c r="B17" s="88" t="str">
        <f>물량내역서!P3</f>
        <v>전선관</v>
      </c>
      <c r="C17" s="88" t="str">
        <f>물량내역서!P4</f>
        <v>CD 22mm</v>
      </c>
      <c r="D17" s="89" t="str">
        <f>물량내역서!P5</f>
        <v>m</v>
      </c>
      <c r="E17" s="96">
        <f>물량내역서!P6</f>
        <v>60</v>
      </c>
      <c r="F17" s="91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</row>
    <row r="18" spans="1:27" s="36" customFormat="1" ht="24.95" customHeight="1">
      <c r="A18" s="214">
        <v>15</v>
      </c>
      <c r="B18" s="88" t="str">
        <f>물량내역서!Q3</f>
        <v>닥트</v>
      </c>
      <c r="C18" s="88" t="str">
        <f>물량내역서!Q4</f>
        <v>PVC 중</v>
      </c>
      <c r="D18" s="89" t="str">
        <f>물량내역서!Q5</f>
        <v>개</v>
      </c>
      <c r="E18" s="96">
        <f>물량내역서!Q6</f>
        <v>9</v>
      </c>
      <c r="F18" s="91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</row>
    <row r="19" spans="1:27" s="36" customFormat="1" ht="24.95" customHeight="1" thickBot="1">
      <c r="A19" s="217">
        <v>16</v>
      </c>
      <c r="B19" s="92" t="str">
        <f>물량내역서!R3</f>
        <v>몰드</v>
      </c>
      <c r="C19" s="92" t="str">
        <f>물량내역서!R4</f>
        <v>PVC 중</v>
      </c>
      <c r="D19" s="93" t="str">
        <f>물량내역서!R5</f>
        <v>개</v>
      </c>
      <c r="E19" s="97">
        <f>물량내역서!R6</f>
        <v>16</v>
      </c>
      <c r="F19" s="94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</row>
    <row r="20" spans="1:27" ht="24.6" customHeight="1"/>
    <row r="21" spans="1:27" ht="24.6" customHeight="1"/>
    <row r="22" spans="1:27" ht="24.6" customHeight="1"/>
    <row r="23" spans="1:27" ht="24.6" customHeight="1"/>
  </sheetData>
  <mergeCells count="1">
    <mergeCell ref="A1:F1"/>
  </mergeCells>
  <phoneticPr fontId="5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0" pageOrder="overThenDown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11"/>
  <sheetViews>
    <sheetView view="pageBreakPreview" zoomScale="70" zoomScaleNormal="85" zoomScaleSheetLayoutView="70" workbookViewId="0">
      <selection sqref="A1:R1"/>
    </sheetView>
  </sheetViews>
  <sheetFormatPr defaultColWidth="8.88671875" defaultRowHeight="16.5"/>
  <cols>
    <col min="1" max="1" width="17.88671875" style="33" customWidth="1"/>
    <col min="2" max="2" width="12" style="33" customWidth="1"/>
    <col min="3" max="18" width="13.6640625" style="33" customWidth="1"/>
    <col min="19" max="16384" width="8.88671875" style="33"/>
  </cols>
  <sheetData>
    <row r="1" spans="1:18" customFormat="1" ht="37.5">
      <c r="A1" s="307" t="s">
        <v>158</v>
      </c>
      <c r="B1" s="307"/>
      <c r="C1" s="307"/>
      <c r="D1" s="307"/>
      <c r="E1" s="307"/>
      <c r="F1" s="307"/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</row>
    <row r="2" spans="1:18" s="37" customFormat="1" ht="30" customHeight="1" thickBot="1">
      <c r="A2" s="156" t="s">
        <v>192</v>
      </c>
      <c r="B2" s="156"/>
      <c r="C2" s="156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</row>
    <row r="3" spans="1:18" s="38" customFormat="1" ht="49.9" customHeight="1">
      <c r="A3" s="304" t="s">
        <v>153</v>
      </c>
      <c r="B3" s="233" t="s">
        <v>46</v>
      </c>
      <c r="C3" s="308" t="s">
        <v>154</v>
      </c>
      <c r="D3" s="308"/>
      <c r="E3" s="237" t="s">
        <v>100</v>
      </c>
      <c r="F3" s="237" t="s">
        <v>116</v>
      </c>
      <c r="G3" s="237" t="s">
        <v>186</v>
      </c>
      <c r="H3" s="237" t="s">
        <v>187</v>
      </c>
      <c r="I3" s="237" t="s">
        <v>156</v>
      </c>
      <c r="J3" s="308" t="s">
        <v>155</v>
      </c>
      <c r="K3" s="308"/>
      <c r="L3" s="308"/>
      <c r="M3" s="308"/>
      <c r="N3" s="237" t="s">
        <v>104</v>
      </c>
      <c r="O3" s="237" t="s">
        <v>139</v>
      </c>
      <c r="P3" s="237" t="s">
        <v>105</v>
      </c>
      <c r="Q3" s="237" t="s">
        <v>107</v>
      </c>
      <c r="R3" s="223" t="s">
        <v>117</v>
      </c>
    </row>
    <row r="4" spans="1:18" s="38" customFormat="1" ht="57.6" customHeight="1">
      <c r="A4" s="305"/>
      <c r="B4" s="224" t="s">
        <v>70</v>
      </c>
      <c r="C4" s="157" t="s">
        <v>184</v>
      </c>
      <c r="D4" s="157" t="s">
        <v>185</v>
      </c>
      <c r="E4" s="123" t="s">
        <v>191</v>
      </c>
      <c r="F4" s="123" t="s">
        <v>143</v>
      </c>
      <c r="G4" s="123" t="s">
        <v>151</v>
      </c>
      <c r="H4" s="123" t="s">
        <v>150</v>
      </c>
      <c r="I4" s="123" t="s">
        <v>115</v>
      </c>
      <c r="J4" s="123" t="s">
        <v>148</v>
      </c>
      <c r="K4" s="123" t="s">
        <v>102</v>
      </c>
      <c r="L4" s="123" t="s">
        <v>101</v>
      </c>
      <c r="M4" s="123" t="s">
        <v>103</v>
      </c>
      <c r="N4" s="123" t="s">
        <v>157</v>
      </c>
      <c r="O4" s="123" t="s">
        <v>109</v>
      </c>
      <c r="P4" s="123" t="s">
        <v>106</v>
      </c>
      <c r="Q4" s="123" t="s">
        <v>108</v>
      </c>
      <c r="R4" s="152" t="s">
        <v>108</v>
      </c>
    </row>
    <row r="5" spans="1:18" s="38" customFormat="1" ht="30" customHeight="1">
      <c r="A5" s="305"/>
      <c r="B5" s="224" t="s">
        <v>45</v>
      </c>
      <c r="C5" s="224" t="s">
        <v>113</v>
      </c>
      <c r="D5" s="225" t="s">
        <v>113</v>
      </c>
      <c r="E5" s="225" t="s">
        <v>69</v>
      </c>
      <c r="F5" s="225" t="s">
        <v>114</v>
      </c>
      <c r="G5" s="225" t="s">
        <v>111</v>
      </c>
      <c r="H5" s="225" t="s">
        <v>114</v>
      </c>
      <c r="I5" s="225" t="s">
        <v>110</v>
      </c>
      <c r="J5" s="225" t="s">
        <v>149</v>
      </c>
      <c r="K5" s="225" t="s">
        <v>110</v>
      </c>
      <c r="L5" s="225" t="s">
        <v>110</v>
      </c>
      <c r="M5" s="225" t="s">
        <v>69</v>
      </c>
      <c r="N5" s="225" t="s">
        <v>112</v>
      </c>
      <c r="O5" s="225" t="s">
        <v>110</v>
      </c>
      <c r="P5" s="225" t="s">
        <v>111</v>
      </c>
      <c r="Q5" s="225" t="s">
        <v>110</v>
      </c>
      <c r="R5" s="226" t="s">
        <v>110</v>
      </c>
    </row>
    <row r="6" spans="1:18" s="38" customFormat="1" ht="30" customHeight="1" thickBot="1">
      <c r="A6" s="306"/>
      <c r="B6" s="227" t="s">
        <v>68</v>
      </c>
      <c r="C6" s="158">
        <f t="shared" ref="C6:R6" si="0">SUM(C7:C11)</f>
        <v>2</v>
      </c>
      <c r="D6" s="158">
        <f t="shared" si="0"/>
        <v>4</v>
      </c>
      <c r="E6" s="158">
        <f t="shared" si="0"/>
        <v>18</v>
      </c>
      <c r="F6" s="158">
        <f t="shared" si="0"/>
        <v>2</v>
      </c>
      <c r="G6" s="158">
        <f t="shared" si="0"/>
        <v>75</v>
      </c>
      <c r="H6" s="158">
        <f t="shared" si="0"/>
        <v>2</v>
      </c>
      <c r="I6" s="158">
        <f t="shared" si="0"/>
        <v>8</v>
      </c>
      <c r="J6" s="158">
        <f t="shared" si="0"/>
        <v>2</v>
      </c>
      <c r="K6" s="158">
        <f t="shared" si="0"/>
        <v>2</v>
      </c>
      <c r="L6" s="158">
        <f t="shared" si="0"/>
        <v>7</v>
      </c>
      <c r="M6" s="158">
        <f t="shared" si="0"/>
        <v>2</v>
      </c>
      <c r="N6" s="158">
        <f t="shared" si="0"/>
        <v>430</v>
      </c>
      <c r="O6" s="158">
        <f t="shared" si="0"/>
        <v>42</v>
      </c>
      <c r="P6" s="158">
        <f t="shared" si="0"/>
        <v>60</v>
      </c>
      <c r="Q6" s="158">
        <f t="shared" si="0"/>
        <v>9</v>
      </c>
      <c r="R6" s="165">
        <f t="shared" si="0"/>
        <v>16</v>
      </c>
    </row>
    <row r="7" spans="1:18" s="38" customFormat="1" ht="30" customHeight="1" thickTop="1">
      <c r="A7" s="309" t="s">
        <v>188</v>
      </c>
      <c r="B7" s="218" t="s">
        <v>96</v>
      </c>
      <c r="C7" s="219"/>
      <c r="D7" s="219"/>
      <c r="E7" s="219">
        <v>9</v>
      </c>
      <c r="F7" s="219"/>
      <c r="G7" s="219"/>
      <c r="H7" s="219"/>
      <c r="I7" s="219"/>
      <c r="J7" s="219"/>
      <c r="K7" s="219"/>
      <c r="L7" s="219">
        <v>7</v>
      </c>
      <c r="M7" s="219"/>
      <c r="N7" s="219"/>
      <c r="O7" s="219"/>
      <c r="P7" s="219"/>
      <c r="Q7" s="219"/>
      <c r="R7" s="220"/>
    </row>
    <row r="8" spans="1:18" s="38" customFormat="1" ht="30" customHeight="1">
      <c r="A8" s="310"/>
      <c r="B8" s="221" t="s">
        <v>97</v>
      </c>
      <c r="C8" s="184">
        <v>1</v>
      </c>
      <c r="D8" s="184">
        <v>1</v>
      </c>
      <c r="E8" s="184">
        <v>3</v>
      </c>
      <c r="F8" s="184">
        <v>1</v>
      </c>
      <c r="G8" s="184"/>
      <c r="H8" s="184"/>
      <c r="I8" s="184"/>
      <c r="J8" s="184"/>
      <c r="K8" s="184">
        <v>2</v>
      </c>
      <c r="L8" s="184"/>
      <c r="M8" s="184"/>
      <c r="N8" s="184">
        <v>342</v>
      </c>
      <c r="O8" s="184">
        <v>26</v>
      </c>
      <c r="P8" s="184">
        <v>25</v>
      </c>
      <c r="Q8" s="184">
        <v>3</v>
      </c>
      <c r="R8" s="185">
        <v>12</v>
      </c>
    </row>
    <row r="9" spans="1:18" s="38" customFormat="1" ht="30" customHeight="1">
      <c r="A9" s="310"/>
      <c r="B9" s="221" t="s">
        <v>189</v>
      </c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>
        <v>18</v>
      </c>
      <c r="O9" s="184">
        <v>12</v>
      </c>
      <c r="P9" s="184"/>
      <c r="Q9" s="184"/>
      <c r="R9" s="185">
        <v>4</v>
      </c>
    </row>
    <row r="10" spans="1:18" s="38" customFormat="1" ht="30" customHeight="1">
      <c r="A10" s="310"/>
      <c r="B10" s="221" t="s">
        <v>98</v>
      </c>
      <c r="C10" s="184"/>
      <c r="D10" s="184">
        <v>2</v>
      </c>
      <c r="E10" s="184">
        <v>3</v>
      </c>
      <c r="F10" s="184"/>
      <c r="G10" s="184"/>
      <c r="H10" s="184"/>
      <c r="I10" s="184"/>
      <c r="J10" s="184">
        <v>2</v>
      </c>
      <c r="K10" s="184"/>
      <c r="L10" s="184"/>
      <c r="M10" s="184"/>
      <c r="N10" s="184">
        <f>(20*2)+(15*2)</f>
        <v>70</v>
      </c>
      <c r="O10" s="184">
        <v>4</v>
      </c>
      <c r="P10" s="184">
        <v>35</v>
      </c>
      <c r="Q10" s="184">
        <v>3</v>
      </c>
      <c r="R10" s="185"/>
    </row>
    <row r="11" spans="1:18" s="38" customFormat="1" ht="30" customHeight="1" thickBot="1">
      <c r="A11" s="311"/>
      <c r="B11" s="222" t="s">
        <v>99</v>
      </c>
      <c r="C11" s="186">
        <v>1</v>
      </c>
      <c r="D11" s="186">
        <v>1</v>
      </c>
      <c r="E11" s="186">
        <v>3</v>
      </c>
      <c r="F11" s="186">
        <v>1</v>
      </c>
      <c r="G11" s="186">
        <v>75</v>
      </c>
      <c r="H11" s="186">
        <v>2</v>
      </c>
      <c r="I11" s="186">
        <v>8</v>
      </c>
      <c r="J11" s="186"/>
      <c r="K11" s="186"/>
      <c r="L11" s="186"/>
      <c r="M11" s="186">
        <v>2</v>
      </c>
      <c r="N11" s="186"/>
      <c r="O11" s="186"/>
      <c r="P11" s="186"/>
      <c r="Q11" s="186">
        <v>3</v>
      </c>
      <c r="R11" s="187"/>
    </row>
  </sheetData>
  <mergeCells count="5">
    <mergeCell ref="A3:A6"/>
    <mergeCell ref="A1:R1"/>
    <mergeCell ref="C3:D3"/>
    <mergeCell ref="J3:M3"/>
    <mergeCell ref="A7:A11"/>
  </mergeCells>
  <phoneticPr fontId="5" type="noConversion"/>
  <printOptions horizontalCentered="1"/>
  <pageMargins left="0.43307086614173229" right="0.39370078740157483" top="0.74803149606299213" bottom="0.74803149606299213" header="0.31496062992125984" footer="0.31496062992125984"/>
  <pageSetup paperSize="9" scale="48" orientation="landscape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D5DAB-49EE-4663-819D-2CCFFEC13D8F}">
  <sheetPr>
    <pageSetUpPr fitToPage="1"/>
  </sheetPr>
  <dimension ref="A1:L30"/>
  <sheetViews>
    <sheetView view="pageBreakPreview" zoomScale="98" zoomScaleNormal="100" zoomScaleSheetLayoutView="98" workbookViewId="0">
      <selection activeCell="N19" sqref="N19"/>
    </sheetView>
  </sheetViews>
  <sheetFormatPr defaultRowHeight="13.5"/>
  <sheetData>
    <row r="1" spans="1:12" ht="37.5">
      <c r="A1" s="312" t="s">
        <v>196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</row>
    <row r="2" spans="1:12">
      <c r="A2" s="313"/>
      <c r="B2" s="313"/>
      <c r="C2" s="313"/>
      <c r="D2" s="313"/>
      <c r="E2" s="313"/>
      <c r="F2" s="313"/>
      <c r="G2" s="313"/>
      <c r="H2" s="313"/>
      <c r="I2" s="313"/>
      <c r="J2" s="313"/>
      <c r="K2" s="313"/>
      <c r="L2" s="313"/>
    </row>
    <row r="3" spans="1:12">
      <c r="A3" s="313"/>
      <c r="B3" s="313"/>
      <c r="C3" s="313"/>
      <c r="D3" s="313"/>
      <c r="E3" s="313"/>
      <c r="F3" s="313"/>
      <c r="G3" s="313"/>
      <c r="H3" s="313"/>
      <c r="I3" s="313"/>
      <c r="J3" s="313"/>
      <c r="K3" s="313"/>
      <c r="L3" s="313"/>
    </row>
    <row r="4" spans="1:12">
      <c r="A4" s="313"/>
      <c r="B4" s="313"/>
      <c r="C4" s="313"/>
      <c r="D4" s="313"/>
      <c r="E4" s="313"/>
      <c r="F4" s="313"/>
      <c r="G4" s="313"/>
      <c r="H4" s="313"/>
      <c r="I4" s="313"/>
      <c r="J4" s="313"/>
      <c r="K4" s="313"/>
      <c r="L4" s="313"/>
    </row>
    <row r="5" spans="1:12">
      <c r="A5" s="313"/>
      <c r="B5" s="313"/>
      <c r="C5" s="313"/>
      <c r="D5" s="313"/>
      <c r="E5" s="313"/>
      <c r="F5" s="313"/>
      <c r="G5" s="313"/>
      <c r="H5" s="313"/>
      <c r="I5" s="313"/>
      <c r="J5" s="313"/>
      <c r="K5" s="313"/>
      <c r="L5" s="313"/>
    </row>
    <row r="6" spans="1:12">
      <c r="A6" s="313"/>
      <c r="B6" s="313"/>
      <c r="C6" s="313"/>
      <c r="D6" s="313"/>
      <c r="E6" s="313"/>
      <c r="F6" s="313"/>
      <c r="G6" s="313"/>
      <c r="H6" s="313"/>
      <c r="I6" s="313"/>
      <c r="J6" s="313"/>
      <c r="K6" s="313"/>
      <c r="L6" s="313"/>
    </row>
    <row r="7" spans="1:12">
      <c r="A7" s="313"/>
      <c r="B7" s="313"/>
      <c r="C7" s="313"/>
      <c r="D7" s="313"/>
      <c r="E7" s="313"/>
      <c r="F7" s="313"/>
      <c r="G7" s="313"/>
      <c r="H7" s="313"/>
      <c r="I7" s="313"/>
      <c r="J7" s="313"/>
      <c r="K7" s="313"/>
      <c r="L7" s="313"/>
    </row>
    <row r="8" spans="1:12">
      <c r="A8" s="313"/>
      <c r="B8" s="313"/>
      <c r="C8" s="313"/>
      <c r="D8" s="313"/>
      <c r="E8" s="313"/>
      <c r="F8" s="313"/>
      <c r="G8" s="313"/>
      <c r="H8" s="313"/>
      <c r="I8" s="313"/>
      <c r="J8" s="313"/>
      <c r="K8" s="313"/>
      <c r="L8" s="313"/>
    </row>
    <row r="9" spans="1:12">
      <c r="A9" s="313"/>
      <c r="B9" s="313"/>
      <c r="C9" s="313"/>
      <c r="D9" s="313"/>
      <c r="E9" s="313"/>
      <c r="F9" s="313"/>
      <c r="G9" s="313"/>
      <c r="H9" s="313"/>
      <c r="I9" s="313"/>
      <c r="J9" s="313"/>
      <c r="K9" s="313"/>
      <c r="L9" s="313"/>
    </row>
    <row r="10" spans="1:12">
      <c r="A10" s="313"/>
      <c r="B10" s="313"/>
      <c r="C10" s="313"/>
      <c r="D10" s="313"/>
      <c r="E10" s="313"/>
      <c r="F10" s="313"/>
      <c r="G10" s="313"/>
      <c r="H10" s="313"/>
      <c r="I10" s="313"/>
      <c r="J10" s="313"/>
      <c r="K10" s="313"/>
      <c r="L10" s="313"/>
    </row>
    <row r="11" spans="1:12">
      <c r="A11" s="313"/>
      <c r="B11" s="313"/>
      <c r="C11" s="313"/>
      <c r="D11" s="313"/>
      <c r="E11" s="313"/>
      <c r="F11" s="313"/>
      <c r="G11" s="313"/>
      <c r="H11" s="313"/>
      <c r="I11" s="313"/>
      <c r="J11" s="313"/>
      <c r="K11" s="313"/>
      <c r="L11" s="313"/>
    </row>
    <row r="12" spans="1:12">
      <c r="A12" s="313"/>
      <c r="B12" s="313"/>
      <c r="C12" s="313"/>
      <c r="D12" s="313"/>
      <c r="E12" s="313"/>
      <c r="F12" s="313"/>
      <c r="G12" s="313"/>
      <c r="H12" s="313"/>
      <c r="I12" s="313"/>
      <c r="J12" s="313"/>
      <c r="K12" s="313"/>
      <c r="L12" s="313"/>
    </row>
    <row r="13" spans="1:12">
      <c r="A13" s="313"/>
      <c r="B13" s="313"/>
      <c r="C13" s="313"/>
      <c r="D13" s="313"/>
      <c r="E13" s="313"/>
      <c r="F13" s="313"/>
      <c r="G13" s="313"/>
      <c r="H13" s="313"/>
      <c r="I13" s="313"/>
      <c r="J13" s="313"/>
      <c r="K13" s="313"/>
      <c r="L13" s="313"/>
    </row>
    <row r="14" spans="1:12">
      <c r="A14" s="313"/>
      <c r="B14" s="313"/>
      <c r="C14" s="313"/>
      <c r="D14" s="313"/>
      <c r="E14" s="313"/>
      <c r="F14" s="313"/>
      <c r="G14" s="313"/>
      <c r="H14" s="313"/>
      <c r="I14" s="313"/>
      <c r="J14" s="313"/>
      <c r="K14" s="313"/>
      <c r="L14" s="313"/>
    </row>
    <row r="15" spans="1:12">
      <c r="A15" s="313"/>
      <c r="B15" s="313"/>
      <c r="C15" s="313"/>
      <c r="D15" s="313"/>
      <c r="E15" s="313"/>
      <c r="F15" s="313"/>
      <c r="G15" s="313"/>
      <c r="H15" s="313"/>
      <c r="I15" s="313"/>
      <c r="J15" s="313"/>
      <c r="K15" s="313"/>
      <c r="L15" s="313"/>
    </row>
    <row r="16" spans="1:12">
      <c r="A16" s="313"/>
      <c r="B16" s="313"/>
      <c r="C16" s="313"/>
      <c r="D16" s="313"/>
      <c r="E16" s="313"/>
      <c r="F16" s="313"/>
      <c r="G16" s="313"/>
      <c r="H16" s="313"/>
      <c r="I16" s="313"/>
      <c r="J16" s="313"/>
      <c r="K16" s="313"/>
      <c r="L16" s="313"/>
    </row>
    <row r="17" spans="1:12">
      <c r="A17" s="313"/>
      <c r="B17" s="313"/>
      <c r="C17" s="313"/>
      <c r="D17" s="313"/>
      <c r="E17" s="313"/>
      <c r="F17" s="313"/>
      <c r="G17" s="313"/>
      <c r="H17" s="313"/>
      <c r="I17" s="313"/>
      <c r="J17" s="313"/>
      <c r="K17" s="313"/>
      <c r="L17" s="313"/>
    </row>
    <row r="18" spans="1:12">
      <c r="A18" s="313"/>
      <c r="B18" s="313"/>
      <c r="C18" s="313"/>
      <c r="D18" s="313"/>
      <c r="E18" s="313"/>
      <c r="F18" s="313"/>
      <c r="G18" s="313"/>
      <c r="H18" s="313"/>
      <c r="I18" s="313"/>
      <c r="J18" s="313"/>
      <c r="K18" s="313"/>
      <c r="L18" s="313"/>
    </row>
    <row r="19" spans="1:12">
      <c r="A19" s="313"/>
      <c r="B19" s="313"/>
      <c r="C19" s="313"/>
      <c r="D19" s="313"/>
      <c r="E19" s="313"/>
      <c r="F19" s="313"/>
      <c r="G19" s="313"/>
      <c r="H19" s="313"/>
      <c r="I19" s="313"/>
      <c r="J19" s="313"/>
      <c r="K19" s="313"/>
      <c r="L19" s="313"/>
    </row>
    <row r="20" spans="1:12">
      <c r="A20" s="313"/>
      <c r="B20" s="313"/>
      <c r="C20" s="313"/>
      <c r="D20" s="313"/>
      <c r="E20" s="313"/>
      <c r="F20" s="313"/>
      <c r="G20" s="313"/>
      <c r="H20" s="313"/>
      <c r="I20" s="313"/>
      <c r="J20" s="313"/>
      <c r="K20" s="313"/>
      <c r="L20" s="313"/>
    </row>
    <row r="21" spans="1:12">
      <c r="A21" s="313"/>
      <c r="B21" s="313"/>
      <c r="C21" s="313"/>
      <c r="D21" s="313"/>
      <c r="E21" s="313"/>
      <c r="F21" s="313"/>
      <c r="G21" s="313"/>
      <c r="H21" s="313"/>
      <c r="I21" s="313"/>
      <c r="J21" s="313"/>
      <c r="K21" s="313"/>
      <c r="L21" s="313"/>
    </row>
    <row r="22" spans="1:12">
      <c r="A22" s="313"/>
      <c r="B22" s="313"/>
      <c r="C22" s="313"/>
      <c r="D22" s="313"/>
      <c r="E22" s="313"/>
      <c r="F22" s="313"/>
      <c r="G22" s="313"/>
      <c r="H22" s="313"/>
      <c r="I22" s="313"/>
      <c r="J22" s="313"/>
      <c r="K22" s="313"/>
      <c r="L22" s="313"/>
    </row>
    <row r="23" spans="1:12">
      <c r="A23" s="313"/>
      <c r="B23" s="313"/>
      <c r="C23" s="313"/>
      <c r="D23" s="313"/>
      <c r="E23" s="313"/>
      <c r="F23" s="313"/>
      <c r="G23" s="313"/>
      <c r="H23" s="313"/>
      <c r="I23" s="313"/>
      <c r="J23" s="313"/>
      <c r="K23" s="313"/>
      <c r="L23" s="313"/>
    </row>
    <row r="24" spans="1:12">
      <c r="A24" s="313"/>
      <c r="B24" s="313"/>
      <c r="C24" s="313"/>
      <c r="D24" s="313"/>
      <c r="E24" s="313"/>
      <c r="F24" s="313"/>
      <c r="G24" s="313"/>
      <c r="H24" s="313"/>
      <c r="I24" s="313"/>
      <c r="J24" s="313"/>
      <c r="K24" s="313"/>
      <c r="L24" s="313"/>
    </row>
    <row r="25" spans="1:12">
      <c r="A25" s="313"/>
      <c r="B25" s="313"/>
      <c r="C25" s="313"/>
      <c r="D25" s="313"/>
      <c r="E25" s="313"/>
      <c r="F25" s="313"/>
      <c r="G25" s="313"/>
      <c r="H25" s="313"/>
      <c r="I25" s="313"/>
      <c r="J25" s="313"/>
      <c r="K25" s="313"/>
      <c r="L25" s="313"/>
    </row>
    <row r="26" spans="1:12">
      <c r="A26" s="313"/>
      <c r="B26" s="313"/>
      <c r="C26" s="313"/>
      <c r="D26" s="313"/>
      <c r="E26" s="313"/>
      <c r="F26" s="313"/>
      <c r="G26" s="313"/>
      <c r="H26" s="313"/>
      <c r="I26" s="313"/>
      <c r="J26" s="313"/>
      <c r="K26" s="313"/>
      <c r="L26" s="313"/>
    </row>
    <row r="27" spans="1:12">
      <c r="A27" s="313"/>
      <c r="B27" s="313"/>
      <c r="C27" s="313"/>
      <c r="D27" s="313"/>
      <c r="E27" s="313"/>
      <c r="F27" s="313"/>
      <c r="G27" s="313"/>
      <c r="H27" s="313"/>
      <c r="I27" s="313"/>
      <c r="J27" s="313"/>
      <c r="K27" s="313"/>
      <c r="L27" s="313"/>
    </row>
    <row r="28" spans="1:12">
      <c r="A28" s="313"/>
      <c r="B28" s="313"/>
      <c r="C28" s="313"/>
      <c r="D28" s="313"/>
      <c r="E28" s="313"/>
      <c r="F28" s="313"/>
      <c r="G28" s="313"/>
      <c r="H28" s="313"/>
      <c r="I28" s="313"/>
      <c r="J28" s="313"/>
      <c r="K28" s="313"/>
      <c r="L28" s="313"/>
    </row>
    <row r="29" spans="1:12">
      <c r="A29" s="313"/>
      <c r="B29" s="313"/>
      <c r="C29" s="313"/>
      <c r="D29" s="313"/>
      <c r="E29" s="313"/>
      <c r="F29" s="313"/>
      <c r="G29" s="313"/>
      <c r="H29" s="313"/>
      <c r="I29" s="313"/>
      <c r="J29" s="313"/>
      <c r="K29" s="313"/>
      <c r="L29" s="313"/>
    </row>
    <row r="30" spans="1:12">
      <c r="A30" s="313"/>
      <c r="B30" s="313"/>
      <c r="C30" s="313"/>
      <c r="D30" s="313"/>
      <c r="E30" s="313"/>
      <c r="F30" s="313"/>
      <c r="G30" s="313"/>
      <c r="H30" s="313"/>
      <c r="I30" s="313"/>
      <c r="J30" s="313"/>
      <c r="K30" s="313"/>
      <c r="L30" s="313"/>
    </row>
  </sheetData>
  <mergeCells count="2">
    <mergeCell ref="A1:L1"/>
    <mergeCell ref="A2:L30"/>
  </mergeCells>
  <phoneticPr fontId="5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10</vt:i4>
      </vt:variant>
    </vt:vector>
  </HeadingPairs>
  <TitlesOfParts>
    <vt:vector size="20" baseType="lpstr">
      <vt:lpstr>설계예산서</vt:lpstr>
      <vt:lpstr>표지</vt:lpstr>
      <vt:lpstr>원가계산서</vt:lpstr>
      <vt:lpstr>설계내역서</vt:lpstr>
      <vt:lpstr>일위대가표</vt:lpstr>
      <vt:lpstr>자재단가표</vt:lpstr>
      <vt:lpstr>노임단가표</vt:lpstr>
      <vt:lpstr>산출집계표</vt:lpstr>
      <vt:lpstr>물량내역서</vt:lpstr>
      <vt:lpstr>구성도</vt:lpstr>
      <vt:lpstr>물량내역서!Print_Area</vt:lpstr>
      <vt:lpstr>산출집계표!Print_Area</vt:lpstr>
      <vt:lpstr>설계내역서!Print_Area</vt:lpstr>
      <vt:lpstr>설계예산서!Print_Area</vt:lpstr>
      <vt:lpstr>일위대가표!Print_Area</vt:lpstr>
      <vt:lpstr>자재단가표!Print_Area</vt:lpstr>
      <vt:lpstr>표지!Print_Area</vt:lpstr>
      <vt:lpstr>산출집계표!Print_Titles</vt:lpstr>
      <vt:lpstr>설계내역서!Print_Titles</vt:lpstr>
      <vt:lpstr>일위대가표!Print_Titles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USER</cp:lastModifiedBy>
  <cp:lastPrinted>2026-03-27T07:47:31Z</cp:lastPrinted>
  <dcterms:created xsi:type="dcterms:W3CDTF">1994-02-11T15:41:25Z</dcterms:created>
  <dcterms:modified xsi:type="dcterms:W3CDTF">2026-03-30T11:03:56Z</dcterms:modified>
</cp:coreProperties>
</file>